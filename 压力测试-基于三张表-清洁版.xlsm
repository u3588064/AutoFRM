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0.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https://connecthkuhk-my.sharepoint.com/personal/u3588064_connect_hku_hk/Documents/研究/风险/风险模型/"/>
    </mc:Choice>
  </mc:AlternateContent>
  <xr:revisionPtr revIDLastSave="90" documentId="8_{4F8D5F20-7430-427B-8DE7-6546F2ED560C}" xr6:coauthVersionLast="47" xr6:coauthVersionMax="47" xr10:uidLastSave="{D72CAB3E-B0DC-4995-965C-25B9D52F3C47}"/>
  <bookViews>
    <workbookView xWindow="-103" yWindow="-103" windowWidth="16663" windowHeight="8863" firstSheet="1" activeTab="1" xr2:uid="{00000000-000D-0000-FFFF-FFFF00000000}"/>
  </bookViews>
  <sheets>
    <sheet name="目录" sheetId="33" state="hidden" r:id="rId1"/>
    <sheet name="说明" sheetId="111" r:id="rId2"/>
    <sheet name="压力测试" sheetId="103" r:id="rId3"/>
    <sheet name="压力测试 日志" sheetId="110" r:id="rId4"/>
    <sheet name="财务基础数据" sheetId="9" r:id="rId5"/>
    <sheet name="财务附注数据" sheetId="55" r:id="rId6"/>
    <sheet name="收入成本" sheetId="105" r:id="rId7"/>
    <sheet name="销售预测" sheetId="1" r:id="rId8"/>
    <sheet name="资产预测" sheetId="2" r:id="rId9"/>
    <sheet name="折旧摊销测算" sheetId="94" r:id="rId10"/>
    <sheet name="资产负债表" sheetId="10" r:id="rId11"/>
    <sheet name="利润表" sheetId="11" r:id="rId12"/>
    <sheet name="现金流量表" sheetId="12" r:id="rId13"/>
  </sheets>
  <externalReferences>
    <externalReference r:id="rId14"/>
    <externalReference r:id="rId15"/>
  </externalReferences>
  <definedNames>
    <definedName name="solver_adj" localSheetId="8" hidden="1">资产预测!$P$238:$Y$238</definedName>
    <definedName name="solver_cvg" localSheetId="8" hidden="1">0.0001</definedName>
    <definedName name="solver_drv" localSheetId="8" hidden="1">1</definedName>
    <definedName name="solver_est" localSheetId="8" hidden="1">1</definedName>
    <definedName name="solver_itr" localSheetId="8" hidden="1">100</definedName>
    <definedName name="solver_lin" localSheetId="8" hidden="1">2</definedName>
    <definedName name="solver_neg" localSheetId="8" hidden="1">2</definedName>
    <definedName name="solver_num" localSheetId="8" hidden="1">0</definedName>
    <definedName name="solver_nwt" localSheetId="8" hidden="1">1</definedName>
    <definedName name="solver_opt" localSheetId="8" hidden="1">资产预测!$H$239</definedName>
    <definedName name="solver_pre" localSheetId="8" hidden="1">0.000001</definedName>
    <definedName name="solver_scl" localSheetId="8" hidden="1">2</definedName>
    <definedName name="solver_sho" localSheetId="8" hidden="1">2</definedName>
    <definedName name="solver_tim" localSheetId="8" hidden="1">100</definedName>
    <definedName name="solver_tol" localSheetId="8" hidden="1">0.05</definedName>
    <definedName name="solver_typ" localSheetId="8" hidden="1">2</definedName>
    <definedName name="solver_val" localSheetId="8" hidden="1">0</definedName>
    <definedName name="财务年度">IF('[1]图表输出-各种增长率对比图表'!$G$3=1,'[1]图表输出-各种增长率对比图表'!$B$2:$F$2,'[1]图表输出-各种增长率对比图表'!$D$2:$F$2)</definedName>
    <definedName name="指标2">IF('[1]图表输出-各种增长率对比图表'!$G$3=1,'[1]图表输出-各种增长率对比图表'!$M$7:$Q$7,'[1]图表输出-各种增长率对比图表'!$O$7:$Q$7)</definedName>
    <definedName name="指标3">IF('[1]图表输出-各种增长率对比图表'!$G$3=1,'[1]图表输出-各种增长率对比图表'!$M$8:$Q$8,'[1]图表输出-各种增长率对比图表'!$O$8:$Q$8)</definedName>
    <definedName name="指标4">IF('[1]图表输出-各种增长率对比图表'!$G$3=1,'[1]图表输出-各种增长率对比图表'!$M$44:$Q$44,'[1]图表输出-各种增长率对比图表'!$O$44:$Q$44)</definedName>
    <definedName name="指标5">IF('[1]图表输出-各种增长率对比图表'!$G$3=1,'[1]图表输出-各种增长率对比图表'!$M$45:$Q$45,'[1]图表输出-各种增长率对比图表'!$O$45:$Q$45)</definedName>
    <definedName name="指标6">IF('[1]图表输出-各种增长率对比图表'!$G$3=1,'[1]图表输出-各种增长率对比图表'!$M$46:$Q$46,'[1]图表输出-各种增长率对比图表'!$O$46:$Q$46)</definedName>
    <definedName name="指标7">IF('[1]图表输出-各种增长率对比图表'!$G$3=1,'[1]图表输出-各种增长率对比图表'!$M$82:$Q$82,'[1]图表输出-各种增长率对比图表'!$O$82:$Q$82)</definedName>
    <definedName name="指标8">IF('[1]图表输出-各种增长率对比图表'!$G$3=1,'[1]图表输出-各种增长率对比图表'!$M$83:$Q$83,'[1]图表输出-各种增长率对比图表'!$O$83:$Q$83)</definedName>
    <definedName name="指标9">IF('[1]图表输出-各种增长率对比图表'!$G$3=1,'[1]图表输出-各种增长率对比图表'!$M$84:$Q$84,'[1]图表输出-各种增长率对比图表'!$O$84:$Q$84)</definedName>
  </definedNames>
  <calcPr calcId="181029"/>
</workbook>
</file>

<file path=xl/calcChain.xml><?xml version="1.0" encoding="utf-8"?>
<calcChain xmlns="http://schemas.openxmlformats.org/spreadsheetml/2006/main">
  <c r="R252" i="2" l="1"/>
  <c r="Q252" i="2"/>
  <c r="R249" i="2"/>
  <c r="Q249" i="2"/>
  <c r="R248" i="2"/>
  <c r="Q248" i="2"/>
  <c r="P252" i="2"/>
  <c r="P249" i="2"/>
  <c r="P248" i="2"/>
  <c r="R217" i="2"/>
  <c r="Q217" i="2"/>
  <c r="P217" i="2"/>
  <c r="Q144" i="2"/>
  <c r="P144" i="2"/>
  <c r="R132" i="2"/>
  <c r="Q132" i="2"/>
  <c r="P132" i="2"/>
  <c r="R119" i="2"/>
  <c r="Q119" i="2"/>
  <c r="P119" i="2"/>
  <c r="R115" i="2"/>
  <c r="Q115" i="2"/>
  <c r="P115" i="2"/>
  <c r="R56" i="2"/>
  <c r="Q56" i="2"/>
  <c r="P56" i="2"/>
  <c r="R53" i="2"/>
  <c r="Q53" i="2"/>
  <c r="P53" i="2"/>
  <c r="R50" i="2"/>
  <c r="Q50" i="2"/>
  <c r="P50" i="2"/>
  <c r="R47" i="2"/>
  <c r="Q47" i="2"/>
  <c r="P47" i="2"/>
  <c r="R40" i="2"/>
  <c r="Q40" i="2"/>
  <c r="P40" i="2"/>
  <c r="R30" i="2"/>
  <c r="Q30" i="2"/>
  <c r="P30" i="2"/>
  <c r="R26" i="2"/>
  <c r="Q26" i="2"/>
  <c r="P26" i="2"/>
  <c r="R22" i="2"/>
  <c r="Q22" i="2"/>
  <c r="P22" i="2"/>
  <c r="R19" i="2"/>
  <c r="Q19" i="2"/>
  <c r="P19" i="2"/>
  <c r="R15" i="2"/>
  <c r="Q15" i="2"/>
  <c r="P15" i="2"/>
  <c r="X43" i="1"/>
  <c r="W43" i="1"/>
  <c r="V43" i="1"/>
  <c r="X32" i="1"/>
  <c r="W32" i="1"/>
  <c r="V32" i="1"/>
  <c r="X29" i="1"/>
  <c r="W29" i="1"/>
  <c r="V29" i="1"/>
  <c r="AN88" i="11"/>
  <c r="AM88" i="11"/>
  <c r="AL88" i="11"/>
  <c r="AN85" i="11"/>
  <c r="AM85" i="11"/>
  <c r="AL85" i="11"/>
  <c r="AN84" i="11"/>
  <c r="AM84" i="11"/>
  <c r="AL84" i="11"/>
  <c r="AN79" i="11"/>
  <c r="AM79" i="11"/>
  <c r="AL79" i="11"/>
  <c r="AN72" i="11"/>
  <c r="AM72" i="11"/>
  <c r="AL72" i="11"/>
  <c r="AN71" i="11"/>
  <c r="AM71" i="11"/>
  <c r="AL71" i="11"/>
  <c r="AN70" i="11"/>
  <c r="AM70" i="11"/>
  <c r="AL70" i="11"/>
  <c r="AN69" i="11"/>
  <c r="AM69" i="11"/>
  <c r="AL69" i="11"/>
  <c r="AN68" i="11"/>
  <c r="AM68" i="11"/>
  <c r="AL68" i="11"/>
  <c r="AN67" i="11"/>
  <c r="AM67" i="11"/>
  <c r="AL67" i="11"/>
  <c r="AN60" i="11"/>
  <c r="AM60" i="11"/>
  <c r="AL60" i="11"/>
  <c r="AN59" i="11"/>
  <c r="AM59" i="11"/>
  <c r="AL59" i="11"/>
  <c r="AN41" i="11"/>
  <c r="AM41" i="11"/>
  <c r="AL41" i="11"/>
  <c r="AN40" i="11"/>
  <c r="AM40" i="11"/>
  <c r="AL40" i="11"/>
  <c r="AN34" i="11"/>
  <c r="AM34" i="11"/>
  <c r="AL34" i="11"/>
  <c r="AN33" i="11"/>
  <c r="AM33" i="11"/>
  <c r="AL33" i="11"/>
  <c r="AN29" i="11"/>
  <c r="AM29" i="11"/>
  <c r="AL29" i="11"/>
  <c r="AN25" i="11"/>
  <c r="AM25" i="11"/>
  <c r="AL25" i="11"/>
  <c r="AN19" i="11"/>
  <c r="AM19" i="11"/>
  <c r="AL19" i="11"/>
  <c r="AN18" i="11"/>
  <c r="AM18" i="11"/>
  <c r="AL18" i="11"/>
  <c r="AN13" i="11"/>
  <c r="AM13" i="11"/>
  <c r="AL13" i="11"/>
  <c r="D12" i="103"/>
  <c r="E12" i="103" s="1"/>
  <c r="F12" i="103" s="1"/>
  <c r="V6" i="1"/>
  <c r="W6" i="1"/>
  <c r="X6" i="1"/>
  <c r="H49" i="105"/>
  <c r="H50" i="105" s="1"/>
  <c r="G49" i="105"/>
  <c r="G50" i="105" s="1"/>
  <c r="F49" i="105"/>
  <c r="F50" i="105" s="1"/>
  <c r="H38" i="105"/>
  <c r="G38" i="105"/>
  <c r="G39" i="105" s="1"/>
  <c r="F38" i="105"/>
  <c r="F39" i="105" s="1"/>
  <c r="H20" i="105"/>
  <c r="G20" i="105"/>
  <c r="F20" i="105"/>
  <c r="H8" i="105"/>
  <c r="G8" i="105"/>
  <c r="F8" i="105"/>
  <c r="G64" i="105"/>
  <c r="H64" i="105" s="1"/>
  <c r="F64" i="105"/>
  <c r="F63" i="105"/>
  <c r="G63" i="105" s="1"/>
  <c r="H63" i="105" s="1"/>
  <c r="G62" i="105"/>
  <c r="H62" i="105" s="1"/>
  <c r="F62" i="105"/>
  <c r="H61" i="105"/>
  <c r="G61" i="105"/>
  <c r="F61" i="105"/>
  <c r="G60" i="105"/>
  <c r="H60" i="105" s="1"/>
  <c r="F60" i="105"/>
  <c r="F59" i="105"/>
  <c r="G59" i="105" s="1"/>
  <c r="H58" i="105"/>
  <c r="G58" i="105"/>
  <c r="F58" i="105"/>
  <c r="F57" i="105"/>
  <c r="F56" i="105" s="1"/>
  <c r="F6" i="105" s="1"/>
  <c r="H47" i="105"/>
  <c r="G47" i="105"/>
  <c r="F47" i="105"/>
  <c r="F36" i="105"/>
  <c r="G36" i="105" s="1"/>
  <c r="H36" i="105" s="1"/>
  <c r="F34" i="105"/>
  <c r="E34" i="105"/>
  <c r="D34" i="105"/>
  <c r="C34" i="105"/>
  <c r="F32" i="105"/>
  <c r="G32" i="105" s="1"/>
  <c r="E30" i="105"/>
  <c r="D30" i="105"/>
  <c r="C30" i="105"/>
  <c r="G29" i="105"/>
  <c r="H29" i="105" s="1"/>
  <c r="F29" i="105"/>
  <c r="F28" i="105"/>
  <c r="F30" i="105" s="1"/>
  <c r="E26" i="105"/>
  <c r="D26" i="105"/>
  <c r="C26" i="105"/>
  <c r="G25" i="105"/>
  <c r="H25" i="105" s="1"/>
  <c r="F25" i="105"/>
  <c r="F24" i="105"/>
  <c r="G24" i="105" s="1"/>
  <c r="H24" i="105" s="1"/>
  <c r="G23" i="105"/>
  <c r="G26" i="105" s="1"/>
  <c r="F23" i="105"/>
  <c r="F26" i="105" s="1"/>
  <c r="E21" i="105"/>
  <c r="D21" i="105"/>
  <c r="C21" i="105"/>
  <c r="F19" i="105"/>
  <c r="G19" i="105" s="1"/>
  <c r="H19" i="105" s="1"/>
  <c r="F18" i="105"/>
  <c r="E16" i="105"/>
  <c r="D16" i="105"/>
  <c r="C16" i="105"/>
  <c r="G15" i="105"/>
  <c r="H15" i="105" s="1"/>
  <c r="F15" i="105"/>
  <c r="F14" i="105"/>
  <c r="F16" i="105" s="1"/>
  <c r="E12" i="105"/>
  <c r="D12" i="105"/>
  <c r="C12" i="105"/>
  <c r="G11" i="105"/>
  <c r="H11" i="105" s="1"/>
  <c r="F11" i="105"/>
  <c r="F10" i="105"/>
  <c r="F12" i="105" s="1"/>
  <c r="B3" i="105"/>
  <c r="AJ9" i="10"/>
  <c r="D5" i="33"/>
  <c r="B5" i="12"/>
  <c r="AD8" i="10"/>
  <c r="L146" i="2"/>
  <c r="N146" i="2"/>
  <c r="K124" i="2"/>
  <c r="E76" i="94"/>
  <c r="G76" i="94"/>
  <c r="G84" i="94"/>
  <c r="H84" i="94"/>
  <c r="D90" i="94"/>
  <c r="D89" i="94"/>
  <c r="H91" i="94" s="1"/>
  <c r="H76" i="94" s="1"/>
  <c r="D88" i="94"/>
  <c r="D87" i="94"/>
  <c r="E86" i="94"/>
  <c r="E84" i="94" s="1"/>
  <c r="D86" i="94"/>
  <c r="O65" i="94"/>
  <c r="O67" i="94"/>
  <c r="O68" i="94"/>
  <c r="O69" i="94"/>
  <c r="O70" i="94"/>
  <c r="O66" i="94"/>
  <c r="D85" i="94"/>
  <c r="D83" i="94"/>
  <c r="D75" i="94"/>
  <c r="D77" i="94" s="1"/>
  <c r="F83" i="12"/>
  <c r="G83" i="12"/>
  <c r="H83" i="12"/>
  <c r="I83" i="12"/>
  <c r="J83" i="12"/>
  <c r="K83" i="12"/>
  <c r="L83" i="12"/>
  <c r="M83" i="12"/>
  <c r="N83" i="12"/>
  <c r="O83" i="12"/>
  <c r="P83" i="12"/>
  <c r="Q83" i="12"/>
  <c r="R83" i="12"/>
  <c r="S83" i="12"/>
  <c r="T83" i="12"/>
  <c r="U83" i="12"/>
  <c r="V83" i="12"/>
  <c r="W83" i="12"/>
  <c r="X83" i="12"/>
  <c r="Y83" i="12"/>
  <c r="Z83" i="12"/>
  <c r="AA83" i="12"/>
  <c r="AB83" i="12"/>
  <c r="AC83" i="12"/>
  <c r="AD83" i="12"/>
  <c r="AE83" i="12"/>
  <c r="AF83" i="12"/>
  <c r="AG83" i="12"/>
  <c r="AH83" i="12"/>
  <c r="AI83" i="12"/>
  <c r="AJ83" i="12"/>
  <c r="AK83" i="12"/>
  <c r="F85" i="12"/>
  <c r="G85" i="12"/>
  <c r="H85" i="12"/>
  <c r="I85" i="12"/>
  <c r="J85" i="12"/>
  <c r="K85" i="12"/>
  <c r="L85" i="12"/>
  <c r="M85" i="12"/>
  <c r="N85" i="12"/>
  <c r="O85" i="12"/>
  <c r="P85" i="12"/>
  <c r="Q85" i="12"/>
  <c r="R85" i="12"/>
  <c r="S85" i="12"/>
  <c r="T85" i="12"/>
  <c r="U85" i="12"/>
  <c r="V85" i="12"/>
  <c r="W85" i="12"/>
  <c r="X85" i="12"/>
  <c r="Y85" i="12"/>
  <c r="Z85" i="12"/>
  <c r="AA85" i="12"/>
  <c r="AB85" i="12"/>
  <c r="AC85" i="12"/>
  <c r="AD85" i="12"/>
  <c r="AE85" i="12"/>
  <c r="AF85" i="12"/>
  <c r="AG85" i="12"/>
  <c r="AH85" i="12"/>
  <c r="AI85" i="12"/>
  <c r="AJ85" i="12"/>
  <c r="AK85" i="12"/>
  <c r="F87" i="12"/>
  <c r="G87" i="12"/>
  <c r="H87" i="12"/>
  <c r="I87" i="12"/>
  <c r="J87" i="12"/>
  <c r="K87" i="12"/>
  <c r="L87" i="12"/>
  <c r="M87" i="12"/>
  <c r="N87" i="12"/>
  <c r="O87" i="12"/>
  <c r="P87" i="12"/>
  <c r="Q87" i="12"/>
  <c r="R87" i="12"/>
  <c r="S87" i="12"/>
  <c r="T87" i="12"/>
  <c r="U87" i="12"/>
  <c r="V87" i="12"/>
  <c r="W87" i="12"/>
  <c r="X87" i="12"/>
  <c r="Y87" i="12"/>
  <c r="Z87" i="12"/>
  <c r="AA87" i="12"/>
  <c r="AB87" i="12"/>
  <c r="AC87" i="12"/>
  <c r="AD87" i="12"/>
  <c r="AE87" i="12"/>
  <c r="AF87" i="12"/>
  <c r="AG87" i="12"/>
  <c r="AH87" i="12"/>
  <c r="AI87" i="12"/>
  <c r="AJ87" i="12"/>
  <c r="AK87" i="12"/>
  <c r="E87" i="12"/>
  <c r="E85" i="12"/>
  <c r="E83" i="12"/>
  <c r="AO33" i="11"/>
  <c r="AP33" i="11"/>
  <c r="AQ33" i="11"/>
  <c r="AR33" i="11"/>
  <c r="AS33" i="11"/>
  <c r="AT33" i="11"/>
  <c r="AU33" i="11"/>
  <c r="S249" i="2"/>
  <c r="T249" i="2"/>
  <c r="U249" i="2"/>
  <c r="V249" i="2"/>
  <c r="W249" i="2"/>
  <c r="X249" i="2"/>
  <c r="Y249" i="2"/>
  <c r="Y34" i="1"/>
  <c r="Z34" i="1"/>
  <c r="AP61" i="11" s="1"/>
  <c r="AA34" i="1"/>
  <c r="AQ61" i="11"/>
  <c r="AB34" i="1"/>
  <c r="AR61" i="11" s="1"/>
  <c r="AC34" i="1"/>
  <c r="AS61" i="11" s="1"/>
  <c r="AD34" i="1"/>
  <c r="AT61" i="11"/>
  <c r="AE34" i="1"/>
  <c r="AU61" i="11"/>
  <c r="AC53" i="10"/>
  <c r="AE52" i="10"/>
  <c r="AF52" i="10"/>
  <c r="AG52" i="10"/>
  <c r="K35" i="2" s="1"/>
  <c r="AH52" i="10"/>
  <c r="AI52" i="10"/>
  <c r="M35" i="2" s="1"/>
  <c r="AJ52" i="10"/>
  <c r="N35" i="2" s="1"/>
  <c r="AK52" i="10"/>
  <c r="O35" i="2"/>
  <c r="O36" i="2" s="1"/>
  <c r="AE53" i="10"/>
  <c r="AF53" i="10"/>
  <c r="AF62" i="10" s="1"/>
  <c r="AG53" i="10"/>
  <c r="AH53" i="10"/>
  <c r="AI53" i="10"/>
  <c r="AJ53" i="10"/>
  <c r="N39" i="2" s="1"/>
  <c r="AK53" i="10"/>
  <c r="AD53" i="10"/>
  <c r="AC52" i="10"/>
  <c r="J35" i="2" s="1"/>
  <c r="AD52" i="10"/>
  <c r="AN254" i="9"/>
  <c r="AO254" i="9"/>
  <c r="AP254" i="9"/>
  <c r="C3" i="55"/>
  <c r="E3" i="55"/>
  <c r="B3" i="55"/>
  <c r="AM50" i="12"/>
  <c r="AN50" i="12"/>
  <c r="AO50" i="12"/>
  <c r="AP50" i="12"/>
  <c r="AQ50" i="12"/>
  <c r="AR50" i="12"/>
  <c r="AS50" i="12"/>
  <c r="AT50" i="12"/>
  <c r="AU50" i="12"/>
  <c r="AL50" i="12"/>
  <c r="AO45" i="12"/>
  <c r="AP45" i="12"/>
  <c r="AQ45" i="12"/>
  <c r="AR45" i="12"/>
  <c r="AS45" i="12"/>
  <c r="AT45" i="12"/>
  <c r="AU45" i="12"/>
  <c r="AO52" i="12"/>
  <c r="AP52" i="12"/>
  <c r="AQ52" i="12"/>
  <c r="AR52" i="12"/>
  <c r="AS52" i="12"/>
  <c r="AT52" i="12"/>
  <c r="AU52" i="12"/>
  <c r="AN17" i="12"/>
  <c r="AO17" i="12"/>
  <c r="AP17" i="12"/>
  <c r="AQ17" i="12"/>
  <c r="AR17" i="12"/>
  <c r="AS17" i="12"/>
  <c r="AS15" i="12" s="1"/>
  <c r="AT17" i="12"/>
  <c r="AU17" i="12"/>
  <c r="AL17" i="12"/>
  <c r="P266" i="2"/>
  <c r="Q266" i="2"/>
  <c r="R266" i="2"/>
  <c r="S266" i="2"/>
  <c r="T266" i="2"/>
  <c r="T265" i="2" s="1"/>
  <c r="AP58" i="11" s="1"/>
  <c r="AP13" i="12" s="1"/>
  <c r="U266" i="2"/>
  <c r="V266" i="2"/>
  <c r="W266" i="2"/>
  <c r="X266" i="2"/>
  <c r="Y266" i="2"/>
  <c r="Q279" i="2"/>
  <c r="AM52" i="11" s="1"/>
  <c r="R279" i="2"/>
  <c r="AN52" i="11" s="1"/>
  <c r="S279" i="2"/>
  <c r="AO52" i="11" s="1"/>
  <c r="AO21" i="12" s="1"/>
  <c r="T279" i="2"/>
  <c r="AP52" i="11" s="1"/>
  <c r="U279" i="2"/>
  <c r="AQ52" i="11" s="1"/>
  <c r="AQ21" i="12" s="1"/>
  <c r="V279" i="2"/>
  <c r="AR52" i="11"/>
  <c r="AR21" i="12" s="1"/>
  <c r="W279" i="2"/>
  <c r="AS52" i="11" s="1"/>
  <c r="AS21" i="12"/>
  <c r="X279" i="2"/>
  <c r="AT52" i="11" s="1"/>
  <c r="AT21" i="12" s="1"/>
  <c r="Y279" i="2"/>
  <c r="AU52" i="11" s="1"/>
  <c r="AU21" i="12" s="1"/>
  <c r="P279" i="2"/>
  <c r="AL52" i="11" s="1"/>
  <c r="S252" i="2"/>
  <c r="T252" i="2"/>
  <c r="U252" i="2"/>
  <c r="V252" i="2"/>
  <c r="W252" i="2"/>
  <c r="X252" i="2"/>
  <c r="Y252" i="2"/>
  <c r="S248" i="2"/>
  <c r="T248" i="2"/>
  <c r="U248" i="2"/>
  <c r="V248" i="2"/>
  <c r="W248" i="2"/>
  <c r="X248" i="2"/>
  <c r="Y248" i="2"/>
  <c r="Q192" i="2"/>
  <c r="Q193" i="2" s="1"/>
  <c r="R192" i="2"/>
  <c r="R193" i="2" s="1"/>
  <c r="S192" i="2"/>
  <c r="S193" i="2"/>
  <c r="T192" i="2"/>
  <c r="T193" i="2"/>
  <c r="U192" i="2"/>
  <c r="U193" i="2" s="1"/>
  <c r="V192" i="2"/>
  <c r="V193" i="2" s="1"/>
  <c r="W192" i="2"/>
  <c r="W193" i="2" s="1"/>
  <c r="X192" i="2"/>
  <c r="X193" i="2"/>
  <c r="Y192" i="2"/>
  <c r="Y193" i="2" s="1"/>
  <c r="I169" i="2"/>
  <c r="J169" i="2"/>
  <c r="K169" i="2"/>
  <c r="K168" i="2"/>
  <c r="J168" i="2"/>
  <c r="I168" i="2"/>
  <c r="O149" i="2"/>
  <c r="N149" i="2"/>
  <c r="M149" i="2"/>
  <c r="L149" i="2"/>
  <c r="K149" i="2"/>
  <c r="P147" i="2" s="1"/>
  <c r="P149" i="2" s="1"/>
  <c r="Q147" i="2" s="1"/>
  <c r="Q149" i="2" s="1"/>
  <c r="R147" i="2" s="1"/>
  <c r="R149" i="2" s="1"/>
  <c r="S147" i="2" s="1"/>
  <c r="S149" i="2" s="1"/>
  <c r="T147" i="2" s="1"/>
  <c r="T149" i="2" s="1"/>
  <c r="U147" i="2" s="1"/>
  <c r="U149" i="2" s="1"/>
  <c r="V147" i="2" s="1"/>
  <c r="V149" i="2" s="1"/>
  <c r="W147" i="2" s="1"/>
  <c r="W149" i="2" s="1"/>
  <c r="X147" i="2" s="1"/>
  <c r="X149" i="2" s="1"/>
  <c r="Y147" i="2" s="1"/>
  <c r="Y149" i="2" s="1"/>
  <c r="J149" i="2"/>
  <c r="I149" i="2"/>
  <c r="J147" i="2" s="1"/>
  <c r="I147" i="2"/>
  <c r="O145" i="2"/>
  <c r="O143" i="2"/>
  <c r="N145" i="2"/>
  <c r="M145" i="2"/>
  <c r="L145" i="2"/>
  <c r="K145" i="2"/>
  <c r="J145" i="2"/>
  <c r="K143" i="2" s="1"/>
  <c r="K144" i="2" s="1"/>
  <c r="K146" i="2" s="1"/>
  <c r="I145" i="2"/>
  <c r="I143" i="2"/>
  <c r="O141" i="2"/>
  <c r="N141" i="2"/>
  <c r="M141" i="2"/>
  <c r="M139" i="2"/>
  <c r="L141" i="2"/>
  <c r="K141" i="2"/>
  <c r="J141" i="2"/>
  <c r="K139" i="2" s="1"/>
  <c r="I141" i="2"/>
  <c r="J139" i="2" s="1"/>
  <c r="I139" i="2"/>
  <c r="I140" i="2" s="1"/>
  <c r="O124" i="2"/>
  <c r="N124" i="2"/>
  <c r="M124" i="2"/>
  <c r="M122" i="2"/>
  <c r="L124" i="2"/>
  <c r="J124" i="2"/>
  <c r="I124" i="2"/>
  <c r="J122" i="2" s="1"/>
  <c r="I122" i="2"/>
  <c r="I123" i="2" s="1"/>
  <c r="N120" i="2"/>
  <c r="O120" i="2"/>
  <c r="M120" i="2"/>
  <c r="L120" i="2"/>
  <c r="K120" i="2"/>
  <c r="P118" i="2" s="1"/>
  <c r="J120" i="2"/>
  <c r="K118" i="2" s="1"/>
  <c r="K119" i="2" s="1"/>
  <c r="I120" i="2"/>
  <c r="J118" i="2" s="1"/>
  <c r="I118" i="2"/>
  <c r="I119" i="2" s="1"/>
  <c r="L116" i="2"/>
  <c r="M116" i="2"/>
  <c r="N116" i="2"/>
  <c r="O116" i="2"/>
  <c r="K116" i="2"/>
  <c r="P114" i="2" s="1"/>
  <c r="J116" i="2"/>
  <c r="I116" i="2"/>
  <c r="J114" i="2"/>
  <c r="J115" i="2" s="1"/>
  <c r="I114" i="2"/>
  <c r="Q93" i="2"/>
  <c r="R93" i="2"/>
  <c r="S93" i="2"/>
  <c r="T93" i="2"/>
  <c r="U93" i="2"/>
  <c r="V93" i="2"/>
  <c r="W93" i="2"/>
  <c r="X93" i="2"/>
  <c r="Y93" i="2"/>
  <c r="P93" i="2"/>
  <c r="F79" i="12"/>
  <c r="G79" i="12"/>
  <c r="H79" i="12"/>
  <c r="I79" i="12"/>
  <c r="J79" i="12"/>
  <c r="K79" i="12"/>
  <c r="L79" i="12"/>
  <c r="M79" i="12"/>
  <c r="N79" i="12"/>
  <c r="O79" i="12"/>
  <c r="P79" i="12"/>
  <c r="Q79" i="12"/>
  <c r="R79" i="12"/>
  <c r="S79" i="12"/>
  <c r="T79" i="12"/>
  <c r="U79" i="12"/>
  <c r="V79" i="12"/>
  <c r="W79" i="12"/>
  <c r="X79" i="12"/>
  <c r="Y79" i="12"/>
  <c r="Z79" i="12"/>
  <c r="AA79" i="12"/>
  <c r="AB79" i="12"/>
  <c r="AC79" i="12"/>
  <c r="AD79" i="12"/>
  <c r="AE79" i="12"/>
  <c r="AF79" i="12"/>
  <c r="AG79" i="12"/>
  <c r="AH79" i="12"/>
  <c r="AI79" i="12"/>
  <c r="AJ79" i="12"/>
  <c r="AK79" i="12"/>
  <c r="E79" i="12"/>
  <c r="H64" i="12"/>
  <c r="I64" i="12"/>
  <c r="J64" i="12"/>
  <c r="K64" i="12"/>
  <c r="L64" i="12"/>
  <c r="M64" i="12"/>
  <c r="N64" i="12"/>
  <c r="O64" i="12"/>
  <c r="P64" i="12"/>
  <c r="Q64" i="12"/>
  <c r="R64" i="12"/>
  <c r="S64" i="12"/>
  <c r="T64" i="12"/>
  <c r="U64" i="12"/>
  <c r="V64" i="12"/>
  <c r="W64" i="12"/>
  <c r="X64" i="12"/>
  <c r="Y64" i="12"/>
  <c r="Z64" i="12"/>
  <c r="AA64" i="12"/>
  <c r="AB64" i="12"/>
  <c r="AC64" i="12"/>
  <c r="AD64" i="12"/>
  <c r="AE64" i="12"/>
  <c r="AF64" i="12"/>
  <c r="AG64" i="12"/>
  <c r="AH64" i="12"/>
  <c r="AI64" i="12"/>
  <c r="AJ64" i="12"/>
  <c r="AK64" i="12"/>
  <c r="F64" i="12"/>
  <c r="G64" i="12"/>
  <c r="E64" i="12"/>
  <c r="AO6" i="11"/>
  <c r="AO70" i="11" s="1"/>
  <c r="AP6" i="11"/>
  <c r="AQ6" i="11"/>
  <c r="AR6" i="11"/>
  <c r="AS6" i="11"/>
  <c r="AT6" i="11"/>
  <c r="AU6" i="11"/>
  <c r="F63" i="11"/>
  <c r="F64" i="11" s="1"/>
  <c r="G63" i="11"/>
  <c r="H63" i="11"/>
  <c r="I63" i="11"/>
  <c r="J63" i="11"/>
  <c r="K63" i="11"/>
  <c r="L63" i="11"/>
  <c r="M63" i="11"/>
  <c r="N63" i="11"/>
  <c r="N74" i="11" s="1"/>
  <c r="O63" i="11"/>
  <c r="E63" i="11"/>
  <c r="R72" i="10"/>
  <c r="S72" i="10"/>
  <c r="T72" i="10"/>
  <c r="U72" i="10"/>
  <c r="V72" i="10"/>
  <c r="W72" i="10"/>
  <c r="X72" i="10"/>
  <c r="E76" i="11"/>
  <c r="P63" i="11"/>
  <c r="Q63" i="11"/>
  <c r="R63" i="11"/>
  <c r="V65" i="11" s="1"/>
  <c r="S63" i="11"/>
  <c r="S65" i="11"/>
  <c r="T63" i="11"/>
  <c r="T74" i="11" s="1"/>
  <c r="U63" i="11"/>
  <c r="V63" i="11"/>
  <c r="W63" i="11"/>
  <c r="X63" i="11"/>
  <c r="Y63" i="11"/>
  <c r="Z63" i="11"/>
  <c r="Z65" i="11" s="1"/>
  <c r="AA63" i="11"/>
  <c r="AB63" i="11"/>
  <c r="AB65" i="11" s="1"/>
  <c r="AC63" i="11"/>
  <c r="AD63" i="11"/>
  <c r="AE63" i="11"/>
  <c r="AF63" i="11"/>
  <c r="AG63" i="11"/>
  <c r="AG65" i="11" s="1"/>
  <c r="AH63" i="11"/>
  <c r="AH74" i="11" s="1"/>
  <c r="AI63" i="11"/>
  <c r="AJ63" i="11"/>
  <c r="AJ64" i="11" s="1"/>
  <c r="AK63" i="11"/>
  <c r="AH41" i="10"/>
  <c r="AI41" i="10"/>
  <c r="AJ41" i="10"/>
  <c r="AK41" i="10"/>
  <c r="AH87" i="10"/>
  <c r="AI87" i="10"/>
  <c r="AJ87" i="10"/>
  <c r="AK87" i="10"/>
  <c r="AH68" i="10"/>
  <c r="AI68" i="10"/>
  <c r="AJ68" i="10"/>
  <c r="AK68" i="10"/>
  <c r="AE11" i="10"/>
  <c r="AG12" i="10"/>
  <c r="K14" i="2" s="1"/>
  <c r="AK69" i="10"/>
  <c r="AH69" i="10"/>
  <c r="AI69" i="10"/>
  <c r="AJ69" i="10"/>
  <c r="AD12" i="10"/>
  <c r="AE12" i="10"/>
  <c r="AC58" i="10"/>
  <c r="AD58" i="10"/>
  <c r="AE58" i="10"/>
  <c r="AF58" i="10"/>
  <c r="AG58" i="10"/>
  <c r="AG32" i="10"/>
  <c r="AC31" i="10"/>
  <c r="AD31" i="10"/>
  <c r="AE31" i="10"/>
  <c r="AF31" i="10"/>
  <c r="AG31" i="10"/>
  <c r="K128" i="2" s="1"/>
  <c r="K125" i="2" s="1"/>
  <c r="Z11" i="10"/>
  <c r="AB18" i="10"/>
  <c r="AC69" i="10"/>
  <c r="AD69" i="10"/>
  <c r="AE69" i="10"/>
  <c r="AF69" i="10"/>
  <c r="AG69" i="10"/>
  <c r="AL69" i="10" s="1"/>
  <c r="AM69" i="10" s="1"/>
  <c r="AN69" i="10" s="1"/>
  <c r="AO69" i="10" s="1"/>
  <c r="AP69" i="10" s="1"/>
  <c r="AQ69" i="10" s="1"/>
  <c r="AR69" i="10" s="1"/>
  <c r="AS69" i="10" s="1"/>
  <c r="AT69" i="10" s="1"/>
  <c r="AU69" i="10" s="1"/>
  <c r="G69" i="10"/>
  <c r="H69" i="10"/>
  <c r="I69" i="10"/>
  <c r="J69" i="10"/>
  <c r="K69" i="10"/>
  <c r="L69" i="10"/>
  <c r="M69" i="10"/>
  <c r="N69" i="10"/>
  <c r="O69" i="10"/>
  <c r="P69" i="10"/>
  <c r="Q69" i="10"/>
  <c r="R69" i="10"/>
  <c r="S69" i="10"/>
  <c r="T69" i="10"/>
  <c r="U69" i="10"/>
  <c r="V69" i="10"/>
  <c r="W69" i="10"/>
  <c r="X69" i="10"/>
  <c r="Y69" i="10"/>
  <c r="Z69" i="10"/>
  <c r="AA69" i="10"/>
  <c r="AB69" i="10"/>
  <c r="F69" i="10"/>
  <c r="G68" i="10"/>
  <c r="H68" i="10"/>
  <c r="I68" i="10"/>
  <c r="J68" i="10"/>
  <c r="K68" i="10"/>
  <c r="L68" i="10"/>
  <c r="M68" i="10"/>
  <c r="N68" i="10"/>
  <c r="O68" i="10"/>
  <c r="P68" i="10"/>
  <c r="P73" i="10" s="1"/>
  <c r="P74" i="10" s="1"/>
  <c r="Q68" i="10"/>
  <c r="R68" i="10"/>
  <c r="S68" i="10"/>
  <c r="T68" i="10"/>
  <c r="U68" i="10"/>
  <c r="V68" i="10"/>
  <c r="W68" i="10"/>
  <c r="W73" i="10" s="1"/>
  <c r="X68" i="10"/>
  <c r="Y68" i="10"/>
  <c r="Z68" i="10"/>
  <c r="AA68" i="10"/>
  <c r="AB68" i="10"/>
  <c r="AC68" i="10"/>
  <c r="AD68" i="10"/>
  <c r="AE68" i="10"/>
  <c r="AF68" i="10"/>
  <c r="AF73" i="10" s="1"/>
  <c r="AF74" i="10" s="1"/>
  <c r="AG68" i="10"/>
  <c r="AL68" i="10" s="1"/>
  <c r="AM68" i="10" s="1"/>
  <c r="AN68" i="10" s="1"/>
  <c r="AD41" i="10"/>
  <c r="AE41" i="10"/>
  <c r="AF41" i="10"/>
  <c r="AG41" i="10"/>
  <c r="AL41" i="10" s="1"/>
  <c r="AM41" i="10" s="1"/>
  <c r="AN41" i="10" s="1"/>
  <c r="G41" i="10"/>
  <c r="H41" i="10"/>
  <c r="I41" i="10"/>
  <c r="J41" i="10"/>
  <c r="K41" i="10"/>
  <c r="L41" i="10"/>
  <c r="M41" i="10"/>
  <c r="N41" i="10"/>
  <c r="O41" i="10"/>
  <c r="P41" i="10"/>
  <c r="Q41" i="10"/>
  <c r="R41" i="10"/>
  <c r="S41" i="10"/>
  <c r="T41" i="10"/>
  <c r="U41" i="10"/>
  <c r="V41" i="10"/>
  <c r="W41" i="10"/>
  <c r="X41" i="10"/>
  <c r="Y41" i="10"/>
  <c r="Z41" i="10"/>
  <c r="AA41" i="10"/>
  <c r="AB41" i="10"/>
  <c r="AC41" i="10"/>
  <c r="F41" i="10"/>
  <c r="F68" i="10"/>
  <c r="Y87" i="10"/>
  <c r="Z87" i="10"/>
  <c r="AA87" i="10"/>
  <c r="AB87" i="10"/>
  <c r="AC87" i="10"/>
  <c r="AD87" i="10"/>
  <c r="AE87" i="10"/>
  <c r="AF87" i="10"/>
  <c r="AG87" i="10"/>
  <c r="O87" i="10"/>
  <c r="P87" i="10"/>
  <c r="Q87" i="10"/>
  <c r="R87" i="10"/>
  <c r="S87" i="10"/>
  <c r="T87" i="10"/>
  <c r="U87" i="10"/>
  <c r="V87" i="10"/>
  <c r="W87" i="10"/>
  <c r="X87" i="10"/>
  <c r="G87" i="10"/>
  <c r="H87" i="10"/>
  <c r="I87" i="10"/>
  <c r="J87" i="10"/>
  <c r="K87" i="10"/>
  <c r="L87" i="10"/>
  <c r="M87" i="10"/>
  <c r="N87" i="10"/>
  <c r="F87" i="10"/>
  <c r="D7" i="33"/>
  <c r="Y7" i="1"/>
  <c r="Y8" i="1" s="1"/>
  <c r="Z7" i="1"/>
  <c r="Z8" i="1" s="1"/>
  <c r="AA7" i="1"/>
  <c r="AA8" i="1" s="1"/>
  <c r="AB7" i="1"/>
  <c r="AB8" i="1" s="1"/>
  <c r="AC7" i="1"/>
  <c r="AC8" i="1"/>
  <c r="AD7" i="1"/>
  <c r="AD8" i="1" s="1"/>
  <c r="AE7" i="1"/>
  <c r="AE8" i="1"/>
  <c r="Y39" i="1"/>
  <c r="AO71" i="11" s="1"/>
  <c r="Z39" i="1"/>
  <c r="AP71" i="11"/>
  <c r="AA39" i="1"/>
  <c r="AQ71" i="11" s="1"/>
  <c r="AB39" i="1"/>
  <c r="AR71" i="11"/>
  <c r="AC39" i="1"/>
  <c r="AS71" i="11" s="1"/>
  <c r="AD39" i="1"/>
  <c r="AT71" i="11"/>
  <c r="AT20" i="12" s="1"/>
  <c r="AE39" i="1"/>
  <c r="AU71" i="11"/>
  <c r="P192" i="2"/>
  <c r="P193" i="2" s="1"/>
  <c r="P223" i="2"/>
  <c r="P224" i="2" s="1"/>
  <c r="Q223" i="2"/>
  <c r="Q224" i="2" s="1"/>
  <c r="R223" i="2"/>
  <c r="R224" i="2" s="1"/>
  <c r="S223" i="2"/>
  <c r="S224" i="2"/>
  <c r="T223" i="2"/>
  <c r="T224" i="2"/>
  <c r="U223" i="2"/>
  <c r="U224" i="2"/>
  <c r="V223" i="2"/>
  <c r="V224" i="2" s="1"/>
  <c r="W223" i="2"/>
  <c r="W224" i="2" s="1"/>
  <c r="X223" i="2"/>
  <c r="X224" i="2"/>
  <c r="Y223" i="2"/>
  <c r="Y224" i="2"/>
  <c r="L280" i="2"/>
  <c r="M280" i="2"/>
  <c r="N280" i="2"/>
  <c r="O280" i="2"/>
  <c r="A7" i="9"/>
  <c r="A8" i="9"/>
  <c r="A9" i="9" s="1"/>
  <c r="A10" i="9" s="1"/>
  <c r="A11" i="9" s="1"/>
  <c r="A12" i="9" s="1"/>
  <c r="A13" i="9" s="1"/>
  <c r="A14" i="9" s="1"/>
  <c r="A15" i="9" s="1"/>
  <c r="A16" i="9" s="1"/>
  <c r="A17" i="9" s="1"/>
  <c r="A18" i="9" s="1"/>
  <c r="A19" i="9" s="1"/>
  <c r="A20" i="9" s="1"/>
  <c r="A21" i="9" s="1"/>
  <c r="A22" i="9"/>
  <c r="A23" i="9" s="1"/>
  <c r="A24" i="9"/>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80" i="9"/>
  <c r="C80" i="9"/>
  <c r="F81" i="9"/>
  <c r="G81" i="9"/>
  <c r="H81" i="9"/>
  <c r="I81" i="9"/>
  <c r="J81" i="9"/>
  <c r="K81" i="9"/>
  <c r="L81" i="9"/>
  <c r="M81" i="9"/>
  <c r="N81" i="9"/>
  <c r="O81" i="9"/>
  <c r="P81" i="9"/>
  <c r="Q81" i="9"/>
  <c r="R81" i="9"/>
  <c r="S81" i="9"/>
  <c r="T81" i="9"/>
  <c r="U81" i="9"/>
  <c r="V81" i="9"/>
  <c r="W81" i="9"/>
  <c r="X81" i="9"/>
  <c r="Y81" i="9"/>
  <c r="Z81" i="9"/>
  <c r="AA81" i="9"/>
  <c r="AB81" i="9"/>
  <c r="AC81" i="9"/>
  <c r="AI81" i="9"/>
  <c r="AJ81" i="9"/>
  <c r="AK81" i="9"/>
  <c r="AL81" i="9"/>
  <c r="AM81" i="9"/>
  <c r="AN81" i="9"/>
  <c r="AO81" i="9"/>
  <c r="AP81" i="9"/>
  <c r="A83" i="9"/>
  <c r="A84" i="9"/>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A176" i="9" s="1"/>
  <c r="A177" i="9" s="1"/>
  <c r="A178" i="9" s="1"/>
  <c r="A179" i="9" s="1"/>
  <c r="A180" i="9" s="1"/>
  <c r="A181" i="9" s="1"/>
  <c r="A182" i="9" s="1"/>
  <c r="A183" i="9" s="1"/>
  <c r="A184" i="9" s="1"/>
  <c r="A185" i="9" s="1"/>
  <c r="A186" i="9" s="1"/>
  <c r="A187" i="9" s="1"/>
  <c r="A188" i="9" s="1"/>
  <c r="A189" i="9" s="1"/>
  <c r="A190" i="9" s="1"/>
  <c r="A191" i="9" s="1"/>
  <c r="A192" i="9" s="1"/>
  <c r="A193" i="9" s="1"/>
  <c r="A194" i="9" s="1"/>
  <c r="A195" i="9" s="1"/>
  <c r="A196" i="9" s="1"/>
  <c r="A197" i="9" s="1"/>
  <c r="A198" i="9" s="1"/>
  <c r="A199" i="9" s="1"/>
  <c r="A200" i="9" s="1"/>
  <c r="A201" i="9" s="1"/>
  <c r="A202" i="9" s="1"/>
  <c r="A203" i="9" s="1"/>
  <c r="A204" i="9" s="1"/>
  <c r="A205" i="9" s="1"/>
  <c r="A206" i="9" s="1"/>
  <c r="A207" i="9" s="1"/>
  <c r="A208" i="9" s="1"/>
  <c r="A209" i="9" s="1"/>
  <c r="A210" i="9" s="1"/>
  <c r="A211" i="9" s="1"/>
  <c r="A212" i="9" s="1"/>
  <c r="A213" i="9" s="1"/>
  <c r="A214" i="9" s="1"/>
  <c r="A215" i="9" s="1"/>
  <c r="A216" i="9" s="1"/>
  <c r="A217" i="9" s="1"/>
  <c r="A253" i="9"/>
  <c r="C253" i="9"/>
  <c r="F254" i="9"/>
  <c r="G254" i="9"/>
  <c r="H254" i="9"/>
  <c r="I254" i="9"/>
  <c r="J254" i="9"/>
  <c r="K254" i="9"/>
  <c r="L254" i="9"/>
  <c r="M254" i="9"/>
  <c r="N254" i="9"/>
  <c r="O254" i="9"/>
  <c r="P254" i="9"/>
  <c r="Q254" i="9"/>
  <c r="R254" i="9"/>
  <c r="S254" i="9"/>
  <c r="T254" i="9"/>
  <c r="U254" i="9"/>
  <c r="V254" i="9"/>
  <c r="W254" i="9"/>
  <c r="X254" i="9"/>
  <c r="Y254" i="9"/>
  <c r="Z254" i="9"/>
  <c r="AA254" i="9"/>
  <c r="AB254" i="9"/>
  <c r="AC254" i="9"/>
  <c r="AI254" i="9"/>
  <c r="AJ254" i="9"/>
  <c r="AK254" i="9"/>
  <c r="AL254" i="9"/>
  <c r="AM254" i="9"/>
  <c r="G4" i="55"/>
  <c r="H4" i="55"/>
  <c r="I4" i="55"/>
  <c r="J4" i="55"/>
  <c r="K4" i="55"/>
  <c r="L4" i="55"/>
  <c r="M4" i="55"/>
  <c r="N4" i="55"/>
  <c r="O4" i="55"/>
  <c r="P4" i="55"/>
  <c r="Q4" i="55"/>
  <c r="R4" i="55"/>
  <c r="S4" i="55"/>
  <c r="T4" i="55"/>
  <c r="U4" i="55"/>
  <c r="V4" i="55"/>
  <c r="W4" i="55"/>
  <c r="X4" i="55"/>
  <c r="Y4" i="55"/>
  <c r="Z4" i="55"/>
  <c r="AA4" i="55"/>
  <c r="AB4" i="55"/>
  <c r="AC4" i="55"/>
  <c r="AD4" i="55"/>
  <c r="AE4" i="55"/>
  <c r="AF4" i="55"/>
  <c r="AG4" i="55"/>
  <c r="AH4" i="55"/>
  <c r="AI4" i="55"/>
  <c r="AJ4" i="55"/>
  <c r="AK4" i="55"/>
  <c r="AL4" i="55"/>
  <c r="AM4" i="55"/>
  <c r="AN4" i="55"/>
  <c r="AO4" i="55"/>
  <c r="AP4" i="55"/>
  <c r="E4" i="10"/>
  <c r="F4" i="10"/>
  <c r="G4" i="10"/>
  <c r="H4" i="10"/>
  <c r="I4" i="10"/>
  <c r="J4" i="10"/>
  <c r="K4" i="10"/>
  <c r="K4" i="12"/>
  <c r="L4" i="10"/>
  <c r="M4" i="10"/>
  <c r="N4" i="10"/>
  <c r="N4" i="12"/>
  <c r="O4" i="10"/>
  <c r="P4" i="10"/>
  <c r="P4" i="11" s="1"/>
  <c r="Q4" i="10"/>
  <c r="Q4" i="11"/>
  <c r="R4" i="10"/>
  <c r="R4" i="12"/>
  <c r="S4" i="10"/>
  <c r="T4" i="10"/>
  <c r="U4" i="10"/>
  <c r="U4" i="12"/>
  <c r="V4" i="10"/>
  <c r="V4" i="12" s="1"/>
  <c r="W4" i="10"/>
  <c r="X4" i="10"/>
  <c r="Y4" i="10"/>
  <c r="I4" i="2" s="1"/>
  <c r="Z4" i="10"/>
  <c r="AA4" i="10"/>
  <c r="AB4" i="10"/>
  <c r="AB4" i="11"/>
  <c r="AC4" i="10"/>
  <c r="AD4" i="10"/>
  <c r="AE4" i="10"/>
  <c r="AF4" i="10"/>
  <c r="AG4" i="10"/>
  <c r="AG4" i="11" s="1"/>
  <c r="AH4" i="10"/>
  <c r="AI4" i="10"/>
  <c r="M4" i="2"/>
  <c r="AJ4" i="10"/>
  <c r="N4" i="2" s="1"/>
  <c r="AK4" i="10"/>
  <c r="AK4" i="12" s="1"/>
  <c r="AL4" i="10"/>
  <c r="F4" i="105" s="1"/>
  <c r="E8" i="10"/>
  <c r="E21" i="10" s="1"/>
  <c r="F8" i="10"/>
  <c r="G8" i="10"/>
  <c r="H8" i="10"/>
  <c r="I8" i="10"/>
  <c r="J8" i="10"/>
  <c r="K8" i="10"/>
  <c r="L8" i="10"/>
  <c r="M8" i="10"/>
  <c r="N8" i="10"/>
  <c r="O8" i="10"/>
  <c r="P8" i="10"/>
  <c r="Q8" i="10"/>
  <c r="R8" i="10"/>
  <c r="S8" i="10"/>
  <c r="T8" i="10"/>
  <c r="T21" i="10" s="1"/>
  <c r="T22" i="10" s="1"/>
  <c r="U8" i="10"/>
  <c r="I257" i="2" s="1"/>
  <c r="V8" i="10"/>
  <c r="W8" i="10"/>
  <c r="X8" i="10"/>
  <c r="Y8" i="10"/>
  <c r="J257" i="2" s="1"/>
  <c r="Z8" i="10"/>
  <c r="Z21" i="10" s="1"/>
  <c r="Z22" i="10" s="1"/>
  <c r="AA8" i="10"/>
  <c r="AB8" i="10"/>
  <c r="AC8" i="10"/>
  <c r="AE8" i="10"/>
  <c r="AF8" i="10"/>
  <c r="AG8" i="10"/>
  <c r="AH8" i="10"/>
  <c r="AI8" i="10"/>
  <c r="M258" i="2" s="1"/>
  <c r="AJ8" i="10"/>
  <c r="N258" i="2" s="1"/>
  <c r="AK8" i="10"/>
  <c r="O258" i="2" s="1"/>
  <c r="E9" i="10"/>
  <c r="F9" i="10"/>
  <c r="G9" i="10"/>
  <c r="H9" i="10"/>
  <c r="I9" i="10"/>
  <c r="J9" i="10"/>
  <c r="K9" i="10"/>
  <c r="L9" i="10"/>
  <c r="M9" i="10"/>
  <c r="N9" i="10"/>
  <c r="O9" i="10"/>
  <c r="P9" i="10"/>
  <c r="Q9" i="10"/>
  <c r="R9" i="10"/>
  <c r="S9" i="10"/>
  <c r="S21" i="10" s="1"/>
  <c r="S22" i="10" s="1"/>
  <c r="T9" i="10"/>
  <c r="U9" i="10"/>
  <c r="V9" i="10"/>
  <c r="W9" i="10"/>
  <c r="X9" i="10"/>
  <c r="Y9" i="10"/>
  <c r="I68" i="2"/>
  <c r="Z9" i="10"/>
  <c r="AA9" i="10"/>
  <c r="AB9" i="10"/>
  <c r="AC9" i="10"/>
  <c r="AD9" i="10"/>
  <c r="AE9" i="10"/>
  <c r="AF9" i="10"/>
  <c r="AG9" i="10"/>
  <c r="K68" i="2" s="1"/>
  <c r="P68" i="2" s="1"/>
  <c r="Q68" i="2" s="1"/>
  <c r="AH9" i="10"/>
  <c r="L68" i="2" s="1"/>
  <c r="AI9" i="10"/>
  <c r="M68" i="2" s="1"/>
  <c r="N68" i="2"/>
  <c r="N69" i="2" s="1"/>
  <c r="AK9" i="10"/>
  <c r="I72" i="2"/>
  <c r="L72" i="2"/>
  <c r="L73" i="2"/>
  <c r="M72" i="2"/>
  <c r="M73" i="2"/>
  <c r="N72" i="2"/>
  <c r="AK10" i="10"/>
  <c r="O72" i="2" s="1"/>
  <c r="E11" i="10"/>
  <c r="F11" i="10"/>
  <c r="G11" i="10"/>
  <c r="H11" i="10"/>
  <c r="I11" i="10"/>
  <c r="J11" i="10"/>
  <c r="K11" i="10"/>
  <c r="L11" i="10"/>
  <c r="M11" i="10"/>
  <c r="N11" i="10"/>
  <c r="O11" i="10"/>
  <c r="P11" i="10"/>
  <c r="Q11" i="10"/>
  <c r="R11" i="10"/>
  <c r="S11" i="10"/>
  <c r="T11" i="10"/>
  <c r="U11" i="10"/>
  <c r="V11" i="10"/>
  <c r="W11" i="10"/>
  <c r="W21" i="10" s="1"/>
  <c r="W45" i="10" s="1"/>
  <c r="X11" i="10"/>
  <c r="Y11" i="10"/>
  <c r="AA11" i="10"/>
  <c r="AB11" i="10"/>
  <c r="AC11" i="10"/>
  <c r="J10" i="2" s="1"/>
  <c r="AD11" i="10"/>
  <c r="AF11" i="10"/>
  <c r="AG11" i="10"/>
  <c r="K10" i="2" s="1"/>
  <c r="AH11" i="10"/>
  <c r="L10" i="2" s="1"/>
  <c r="AI11" i="10"/>
  <c r="M10" i="2" s="1"/>
  <c r="AJ11" i="10"/>
  <c r="N10" i="2" s="1"/>
  <c r="AK11" i="10"/>
  <c r="O10" i="2" s="1"/>
  <c r="E12" i="10"/>
  <c r="F12" i="10"/>
  <c r="G12" i="10"/>
  <c r="H12" i="10"/>
  <c r="I12" i="10"/>
  <c r="J12" i="10"/>
  <c r="K12" i="10"/>
  <c r="L12" i="10"/>
  <c r="M12" i="10"/>
  <c r="N12" i="10"/>
  <c r="O12" i="10"/>
  <c r="P12" i="10"/>
  <c r="Q12" i="10"/>
  <c r="R12" i="10"/>
  <c r="S12" i="10"/>
  <c r="T12" i="10"/>
  <c r="U12" i="10"/>
  <c r="V12" i="10"/>
  <c r="V21" i="10" s="1"/>
  <c r="W12" i="10"/>
  <c r="X12" i="10"/>
  <c r="Y12" i="10"/>
  <c r="Z12" i="10"/>
  <c r="AA12" i="10"/>
  <c r="AB12" i="10"/>
  <c r="AC12" i="10"/>
  <c r="AF12" i="10"/>
  <c r="AH12" i="10"/>
  <c r="L14" i="2" s="1"/>
  <c r="AI12" i="10"/>
  <c r="M14" i="2"/>
  <c r="AJ12" i="10"/>
  <c r="N14" i="2" s="1"/>
  <c r="AK12" i="10"/>
  <c r="E13" i="10"/>
  <c r="F13" i="10"/>
  <c r="F21" i="10" s="1"/>
  <c r="G13" i="10"/>
  <c r="H13" i="10"/>
  <c r="I13" i="10"/>
  <c r="J13" i="10"/>
  <c r="K13" i="10"/>
  <c r="L13" i="10"/>
  <c r="M13" i="10"/>
  <c r="N13" i="10"/>
  <c r="O13" i="10"/>
  <c r="P13" i="10"/>
  <c r="Q13" i="10"/>
  <c r="R13" i="10"/>
  <c r="S13" i="10"/>
  <c r="T13" i="10"/>
  <c r="U13" i="10"/>
  <c r="V13" i="10"/>
  <c r="W13" i="10"/>
  <c r="X13" i="10"/>
  <c r="Y13" i="10"/>
  <c r="Z13" i="10"/>
  <c r="AA13" i="10"/>
  <c r="AB13" i="10"/>
  <c r="AC13" i="10"/>
  <c r="AD13" i="10"/>
  <c r="AD21" i="10" s="1"/>
  <c r="AE13" i="10"/>
  <c r="AF13" i="10"/>
  <c r="AG13" i="10"/>
  <c r="AL13" i="10" s="1"/>
  <c r="AM13" i="10" s="1"/>
  <c r="AN13" i="10" s="1"/>
  <c r="AO13" i="10" s="1"/>
  <c r="AP13" i="10" s="1"/>
  <c r="AQ13" i="10" s="1"/>
  <c r="AR13" i="10" s="1"/>
  <c r="AS13" i="10" s="1"/>
  <c r="AT13" i="10" s="1"/>
  <c r="AU13" i="10" s="1"/>
  <c r="AH13" i="10"/>
  <c r="AI13" i="10"/>
  <c r="AJ13" i="10"/>
  <c r="AK13" i="10"/>
  <c r="AK21" i="10" s="1"/>
  <c r="E14" i="10"/>
  <c r="F14" i="10"/>
  <c r="G14" i="10"/>
  <c r="H14" i="10"/>
  <c r="I14" i="10"/>
  <c r="J14" i="10"/>
  <c r="K14" i="10"/>
  <c r="L14" i="10"/>
  <c r="M14" i="10"/>
  <c r="N14" i="10"/>
  <c r="O14" i="10"/>
  <c r="P14" i="10"/>
  <c r="Q14" i="10"/>
  <c r="R14" i="10"/>
  <c r="S14" i="10"/>
  <c r="T14" i="10"/>
  <c r="U14" i="10"/>
  <c r="V14" i="10"/>
  <c r="W14" i="10"/>
  <c r="X14" i="10"/>
  <c r="Y14" i="10"/>
  <c r="I18" i="2" s="1"/>
  <c r="Z14" i="10"/>
  <c r="AA14" i="10"/>
  <c r="AB14" i="10"/>
  <c r="AB21" i="10" s="1"/>
  <c r="AC14" i="10"/>
  <c r="J18" i="2" s="1"/>
  <c r="AD14" i="10"/>
  <c r="AE14" i="10"/>
  <c r="AF14" i="10"/>
  <c r="AG14" i="10"/>
  <c r="K18" i="2" s="1"/>
  <c r="AH14" i="10"/>
  <c r="AI14" i="10"/>
  <c r="M18" i="2" s="1"/>
  <c r="AJ14" i="10"/>
  <c r="N18" i="2" s="1"/>
  <c r="AK14" i="10"/>
  <c r="O18" i="2" s="1"/>
  <c r="O19" i="2" s="1"/>
  <c r="E15" i="10"/>
  <c r="F15" i="10"/>
  <c r="G15" i="10"/>
  <c r="H15" i="10"/>
  <c r="I15" i="10"/>
  <c r="J15" i="10"/>
  <c r="K15" i="10"/>
  <c r="L15" i="10"/>
  <c r="M15" i="10"/>
  <c r="N15" i="10"/>
  <c r="O15" i="10"/>
  <c r="P15" i="10"/>
  <c r="Q15" i="10"/>
  <c r="R15" i="10"/>
  <c r="S15" i="10"/>
  <c r="T15" i="10"/>
  <c r="U15" i="10"/>
  <c r="V15" i="10"/>
  <c r="W15" i="10"/>
  <c r="X15" i="10"/>
  <c r="Y15" i="10"/>
  <c r="Z15" i="10"/>
  <c r="AA15" i="10"/>
  <c r="AB15" i="10"/>
  <c r="AC15" i="10"/>
  <c r="AD15" i="10"/>
  <c r="AE15" i="10"/>
  <c r="AF15" i="10"/>
  <c r="AG15" i="10"/>
  <c r="AH15" i="10"/>
  <c r="L21" i="2"/>
  <c r="AI15" i="10"/>
  <c r="M21" i="2" s="1"/>
  <c r="AJ15" i="10"/>
  <c r="N21" i="2"/>
  <c r="AK15" i="10"/>
  <c r="O21" i="2" s="1"/>
  <c r="O22" i="2" s="1"/>
  <c r="E16" i="10"/>
  <c r="F16" i="10"/>
  <c r="G16" i="10"/>
  <c r="H16" i="10"/>
  <c r="I16" i="10"/>
  <c r="J16" i="10"/>
  <c r="K16" i="10"/>
  <c r="L16" i="10"/>
  <c r="M16" i="10"/>
  <c r="N16" i="10"/>
  <c r="O16" i="10"/>
  <c r="P16" i="10"/>
  <c r="Q16" i="10"/>
  <c r="R16" i="10"/>
  <c r="S16" i="10"/>
  <c r="T16" i="10"/>
  <c r="U16" i="10"/>
  <c r="V16" i="10"/>
  <c r="W16" i="10"/>
  <c r="X16" i="10"/>
  <c r="Y16" i="10"/>
  <c r="Z16" i="10"/>
  <c r="AA16" i="10"/>
  <c r="AB16" i="10"/>
  <c r="AC16" i="10"/>
  <c r="AD16" i="10"/>
  <c r="AE16" i="10"/>
  <c r="AF16" i="10"/>
  <c r="AG16" i="10"/>
  <c r="AH16" i="10"/>
  <c r="L25" i="2" s="1"/>
  <c r="AI16" i="10"/>
  <c r="M25" i="2" s="1"/>
  <c r="AJ16" i="10"/>
  <c r="N25" i="2" s="1"/>
  <c r="AK16" i="10"/>
  <c r="O25" i="2"/>
  <c r="O27" i="2" s="1"/>
  <c r="O26" i="2"/>
  <c r="E17" i="10"/>
  <c r="F17" i="10"/>
  <c r="G17" i="10"/>
  <c r="H17" i="10"/>
  <c r="I17" i="10"/>
  <c r="J17" i="10"/>
  <c r="K17" i="10"/>
  <c r="L17" i="10"/>
  <c r="M17" i="10"/>
  <c r="N17" i="10"/>
  <c r="O17" i="10"/>
  <c r="P17" i="10"/>
  <c r="Q17" i="10"/>
  <c r="R17" i="10"/>
  <c r="S17" i="10"/>
  <c r="T17" i="10"/>
  <c r="U17" i="10"/>
  <c r="V17" i="10"/>
  <c r="W17" i="10"/>
  <c r="X17" i="10"/>
  <c r="Y17" i="10"/>
  <c r="I29" i="2" s="1"/>
  <c r="Z17" i="10"/>
  <c r="AA17" i="10"/>
  <c r="AB17" i="10"/>
  <c r="AC17" i="10"/>
  <c r="AD17" i="10"/>
  <c r="AE17" i="10"/>
  <c r="AF17" i="10"/>
  <c r="AG17" i="10"/>
  <c r="K29" i="2" s="1"/>
  <c r="AH17" i="10"/>
  <c r="L29" i="2" s="1"/>
  <c r="AI17" i="10"/>
  <c r="M29" i="2" s="1"/>
  <c r="M59" i="2" s="1"/>
  <c r="AJ17" i="10"/>
  <c r="N29" i="2" s="1"/>
  <c r="AK17" i="10"/>
  <c r="O29" i="2" s="1"/>
  <c r="E18" i="10"/>
  <c r="F18" i="10"/>
  <c r="G18" i="10"/>
  <c r="H18" i="10"/>
  <c r="I18" i="10"/>
  <c r="J18" i="10"/>
  <c r="K18" i="10"/>
  <c r="L18" i="10"/>
  <c r="M18" i="10"/>
  <c r="N18" i="10"/>
  <c r="O18" i="10"/>
  <c r="P18" i="10"/>
  <c r="Q18" i="10"/>
  <c r="R18" i="10"/>
  <c r="S18" i="10"/>
  <c r="T18" i="10"/>
  <c r="U18" i="10"/>
  <c r="V18" i="10"/>
  <c r="W18" i="10"/>
  <c r="X18" i="10"/>
  <c r="Y18" i="10"/>
  <c r="Z18" i="10"/>
  <c r="AA18" i="10"/>
  <c r="AC18" i="10"/>
  <c r="AD18" i="10"/>
  <c r="AE18" i="10"/>
  <c r="AF18" i="10"/>
  <c r="AG18" i="10"/>
  <c r="AL18" i="10" s="1"/>
  <c r="AM18" i="10" s="1"/>
  <c r="AN18" i="10" s="1"/>
  <c r="AO18" i="10" s="1"/>
  <c r="AP18" i="10" s="1"/>
  <c r="AQ18" i="10" s="1"/>
  <c r="AR18" i="10" s="1"/>
  <c r="AS18" i="10" s="1"/>
  <c r="AT18" i="10" s="1"/>
  <c r="AH18" i="10"/>
  <c r="AI18" i="10"/>
  <c r="AJ18" i="10"/>
  <c r="AK18" i="10"/>
  <c r="E19" i="10"/>
  <c r="F19" i="10"/>
  <c r="G19" i="10"/>
  <c r="H19" i="10"/>
  <c r="I19" i="10"/>
  <c r="J19" i="10"/>
  <c r="K19" i="10"/>
  <c r="L19" i="10"/>
  <c r="M19" i="10"/>
  <c r="N19" i="10"/>
  <c r="O19" i="10"/>
  <c r="P19" i="10"/>
  <c r="Q19" i="10"/>
  <c r="R19" i="10"/>
  <c r="S19" i="10"/>
  <c r="T19" i="10"/>
  <c r="U19" i="10"/>
  <c r="V19" i="10"/>
  <c r="W19" i="10"/>
  <c r="X19" i="10"/>
  <c r="Y19" i="10"/>
  <c r="Z19" i="10"/>
  <c r="AA19" i="10"/>
  <c r="AB19" i="10"/>
  <c r="AC19" i="10"/>
  <c r="AD19" i="10"/>
  <c r="AE19" i="10"/>
  <c r="AF19" i="10"/>
  <c r="AG19" i="10"/>
  <c r="AL19" i="10" s="1"/>
  <c r="AM19" i="10" s="1"/>
  <c r="AN19" i="10" s="1"/>
  <c r="AO19" i="10" s="1"/>
  <c r="AP19" i="10" s="1"/>
  <c r="AQ19" i="10" s="1"/>
  <c r="AR19" i="10" s="1"/>
  <c r="AS19" i="10" s="1"/>
  <c r="AT19" i="10" s="1"/>
  <c r="AU19" i="10" s="1"/>
  <c r="AH19" i="10"/>
  <c r="AI19" i="10"/>
  <c r="AJ19" i="10"/>
  <c r="AK19" i="10"/>
  <c r="E20" i="10"/>
  <c r="F20" i="10"/>
  <c r="G20" i="10"/>
  <c r="H20" i="10"/>
  <c r="I20" i="10"/>
  <c r="J20" i="10"/>
  <c r="K20" i="10"/>
  <c r="L20" i="10"/>
  <c r="M20" i="10"/>
  <c r="N20" i="10"/>
  <c r="O20" i="10"/>
  <c r="P20" i="10"/>
  <c r="Q20" i="10"/>
  <c r="R20" i="10"/>
  <c r="S20" i="10"/>
  <c r="T20" i="10"/>
  <c r="U20" i="10"/>
  <c r="V20" i="10"/>
  <c r="W20" i="10"/>
  <c r="X20" i="10"/>
  <c r="Y20" i="10"/>
  <c r="I76" i="2" s="1"/>
  <c r="J77" i="2" s="1"/>
  <c r="Z20" i="10"/>
  <c r="AA20" i="10"/>
  <c r="AB20" i="10"/>
  <c r="AC20" i="10"/>
  <c r="J76" i="2" s="1"/>
  <c r="AD20" i="10"/>
  <c r="AE20" i="10"/>
  <c r="AF20" i="10"/>
  <c r="AG20" i="10"/>
  <c r="AH20" i="10"/>
  <c r="L76" i="2"/>
  <c r="AI20" i="10"/>
  <c r="M76" i="2" s="1"/>
  <c r="M77" i="2" s="1"/>
  <c r="AJ20" i="10"/>
  <c r="N76" i="2"/>
  <c r="N77" i="2"/>
  <c r="AK20" i="10"/>
  <c r="O76" i="2" s="1"/>
  <c r="O77" i="2" s="1"/>
  <c r="E24" i="10"/>
  <c r="F24" i="10"/>
  <c r="G24" i="10"/>
  <c r="H24" i="10"/>
  <c r="H42" i="10" s="1"/>
  <c r="H43" i="10" s="1"/>
  <c r="I24" i="10"/>
  <c r="I42" i="10" s="1"/>
  <c r="I43" i="10" s="1"/>
  <c r="J24" i="10"/>
  <c r="K24" i="10"/>
  <c r="L24" i="10"/>
  <c r="M24" i="10"/>
  <c r="N24" i="10"/>
  <c r="O24" i="10"/>
  <c r="P24" i="10"/>
  <c r="P42" i="10" s="1"/>
  <c r="P43" i="10" s="1"/>
  <c r="Q24" i="10"/>
  <c r="Q42" i="10" s="1"/>
  <c r="Q43" i="10" s="1"/>
  <c r="R24" i="10"/>
  <c r="S24" i="10"/>
  <c r="T24" i="10"/>
  <c r="U24" i="10"/>
  <c r="V24" i="10"/>
  <c r="W24" i="10"/>
  <c r="X24" i="10"/>
  <c r="Y24" i="10"/>
  <c r="I96" i="2" s="1"/>
  <c r="J97" i="2" s="1"/>
  <c r="Z24" i="10"/>
  <c r="AA24" i="10"/>
  <c r="AB24" i="10"/>
  <c r="AC24" i="10"/>
  <c r="J96" i="2" s="1"/>
  <c r="AD24" i="10"/>
  <c r="AE24" i="10"/>
  <c r="AF24" i="10"/>
  <c r="AG24" i="10"/>
  <c r="AL24" i="10" s="1"/>
  <c r="AM24" i="10" s="1"/>
  <c r="AN24" i="10" s="1"/>
  <c r="AH24" i="10"/>
  <c r="AI24" i="10"/>
  <c r="AJ24" i="10"/>
  <c r="AK24" i="10"/>
  <c r="O96" i="2" s="1"/>
  <c r="O97" i="2" s="1"/>
  <c r="E25" i="10"/>
  <c r="F25" i="10"/>
  <c r="G25" i="10"/>
  <c r="H25" i="10"/>
  <c r="I25" i="10"/>
  <c r="J25" i="10"/>
  <c r="K25" i="10"/>
  <c r="L25" i="10"/>
  <c r="M25" i="10"/>
  <c r="N25" i="10"/>
  <c r="O25" i="10"/>
  <c r="O42" i="10" s="1"/>
  <c r="O43" i="10" s="1"/>
  <c r="P25" i="10"/>
  <c r="Q25" i="10"/>
  <c r="R25" i="10"/>
  <c r="S25" i="10"/>
  <c r="T25" i="10"/>
  <c r="U25" i="10"/>
  <c r="V25" i="10"/>
  <c r="W25" i="10"/>
  <c r="X25" i="10"/>
  <c r="Y25" i="10"/>
  <c r="Z25" i="10"/>
  <c r="AA25" i="10"/>
  <c r="AB25" i="10"/>
  <c r="AC25" i="10"/>
  <c r="AD25" i="10"/>
  <c r="AE25" i="10"/>
  <c r="AF25" i="10"/>
  <c r="AG25" i="10"/>
  <c r="AL25" i="10" s="1"/>
  <c r="AM25" i="10" s="1"/>
  <c r="AN25" i="10" s="1"/>
  <c r="AH25" i="10"/>
  <c r="AI25" i="10"/>
  <c r="AJ25" i="10"/>
  <c r="AK25" i="10"/>
  <c r="E26" i="10"/>
  <c r="F26" i="10"/>
  <c r="F42" i="10" s="1"/>
  <c r="F43" i="10" s="1"/>
  <c r="G26" i="10"/>
  <c r="G42" i="10" s="1"/>
  <c r="G43" i="10" s="1"/>
  <c r="H26" i="10"/>
  <c r="I26" i="10"/>
  <c r="J26" i="10"/>
  <c r="K26" i="10"/>
  <c r="L26" i="10"/>
  <c r="M26" i="10"/>
  <c r="N26" i="10"/>
  <c r="O26" i="10"/>
  <c r="P26" i="10"/>
  <c r="Q26" i="10"/>
  <c r="R26" i="10"/>
  <c r="S26" i="10"/>
  <c r="T26" i="10"/>
  <c r="U26" i="10"/>
  <c r="V26" i="10"/>
  <c r="V42" i="10" s="1"/>
  <c r="W26" i="10"/>
  <c r="X26" i="10"/>
  <c r="Y26" i="10"/>
  <c r="I99" i="2" s="1"/>
  <c r="Z26" i="10"/>
  <c r="AA26" i="10"/>
  <c r="AB26" i="10"/>
  <c r="AC26" i="10"/>
  <c r="J99" i="2" s="1"/>
  <c r="J100" i="2" s="1"/>
  <c r="AD26" i="10"/>
  <c r="AE26" i="10"/>
  <c r="AF26" i="10"/>
  <c r="AG26" i="10"/>
  <c r="K99" i="2"/>
  <c r="AH26" i="10"/>
  <c r="L99" i="2" s="1"/>
  <c r="L100" i="2" s="1"/>
  <c r="AI26" i="10"/>
  <c r="M99" i="2" s="1"/>
  <c r="M100" i="2" s="1"/>
  <c r="AJ26" i="10"/>
  <c r="AJ42" i="10" s="1"/>
  <c r="AJ43" i="10" s="1"/>
  <c r="N99" i="2"/>
  <c r="N100" i="2" s="1"/>
  <c r="AK26" i="10"/>
  <c r="O99" i="2"/>
  <c r="O100" i="2" s="1"/>
  <c r="E27" i="10"/>
  <c r="F27" i="10"/>
  <c r="G27" i="10"/>
  <c r="H27" i="10"/>
  <c r="I27" i="10"/>
  <c r="J27" i="10"/>
  <c r="K27" i="10"/>
  <c r="L27" i="10"/>
  <c r="M27" i="10"/>
  <c r="N27" i="10"/>
  <c r="O27" i="10"/>
  <c r="P27" i="10"/>
  <c r="Q27" i="10"/>
  <c r="R27" i="10"/>
  <c r="S27" i="10"/>
  <c r="T27" i="10"/>
  <c r="U27" i="10"/>
  <c r="V27" i="10"/>
  <c r="W27" i="10"/>
  <c r="X27" i="10"/>
  <c r="Y27" i="10"/>
  <c r="I102" i="2" s="1"/>
  <c r="J103" i="2" s="1"/>
  <c r="Z27" i="10"/>
  <c r="AA27" i="10"/>
  <c r="AB27" i="10"/>
  <c r="AC27" i="10"/>
  <c r="AD27" i="10"/>
  <c r="AE27" i="10"/>
  <c r="AF27" i="10"/>
  <c r="AG27" i="10"/>
  <c r="AH27" i="10"/>
  <c r="L102" i="2" s="1"/>
  <c r="L103" i="2" s="1"/>
  <c r="AI27" i="10"/>
  <c r="AJ27" i="10"/>
  <c r="N102" i="2" s="1"/>
  <c r="N103" i="2" s="1"/>
  <c r="AK27" i="10"/>
  <c r="O102" i="2"/>
  <c r="O103" i="2" s="1"/>
  <c r="E28" i="10"/>
  <c r="E42" i="10" s="1"/>
  <c r="E43" i="10" s="1"/>
  <c r="F28" i="10"/>
  <c r="G28" i="10"/>
  <c r="H28" i="10"/>
  <c r="I28" i="10"/>
  <c r="J28" i="10"/>
  <c r="K28" i="10"/>
  <c r="L28" i="10"/>
  <c r="M28" i="10"/>
  <c r="M42" i="10" s="1"/>
  <c r="M43" i="10" s="1"/>
  <c r="N28" i="10"/>
  <c r="O28" i="10"/>
  <c r="P28" i="10"/>
  <c r="Q28" i="10"/>
  <c r="R28" i="10"/>
  <c r="S28" i="10"/>
  <c r="T28" i="10"/>
  <c r="U28" i="10"/>
  <c r="U42" i="10" s="1"/>
  <c r="U43" i="10" s="1"/>
  <c r="V28" i="10"/>
  <c r="W28" i="10"/>
  <c r="X28" i="10"/>
  <c r="Y28" i="10"/>
  <c r="I105" i="2" s="1"/>
  <c r="Z28" i="10"/>
  <c r="AA28" i="10"/>
  <c r="AB28" i="10"/>
  <c r="AC28" i="10"/>
  <c r="J105" i="2" s="1"/>
  <c r="K106" i="2" s="1"/>
  <c r="AD28" i="10"/>
  <c r="AE28" i="10"/>
  <c r="AF28" i="10"/>
  <c r="AG28" i="10"/>
  <c r="AH28" i="10"/>
  <c r="AI28" i="10"/>
  <c r="M105" i="2"/>
  <c r="M106" i="2" s="1"/>
  <c r="AJ28" i="10"/>
  <c r="AK28" i="10"/>
  <c r="O105" i="2" s="1"/>
  <c r="O106" i="2" s="1"/>
  <c r="E29" i="10"/>
  <c r="F29" i="10"/>
  <c r="G29" i="10"/>
  <c r="H29" i="10"/>
  <c r="I29" i="10"/>
  <c r="J29" i="10"/>
  <c r="J42" i="10" s="1"/>
  <c r="J43" i="10" s="1"/>
  <c r="K29" i="10"/>
  <c r="K42" i="10" s="1"/>
  <c r="K43" i="10" s="1"/>
  <c r="L29" i="10"/>
  <c r="M29" i="10"/>
  <c r="N29" i="10"/>
  <c r="O29" i="10"/>
  <c r="P29" i="10"/>
  <c r="Q29" i="10"/>
  <c r="R29" i="10"/>
  <c r="R42" i="10" s="1"/>
  <c r="S29" i="10"/>
  <c r="S42" i="10" s="1"/>
  <c r="S43" i="10" s="1"/>
  <c r="T29" i="10"/>
  <c r="U29" i="10"/>
  <c r="V29" i="10"/>
  <c r="W29" i="10"/>
  <c r="X29" i="10"/>
  <c r="Y29" i="10"/>
  <c r="Z29" i="10"/>
  <c r="Z42" i="10" s="1"/>
  <c r="Z43" i="10" s="1"/>
  <c r="AA29" i="10"/>
  <c r="AB29" i="10"/>
  <c r="AC29" i="10"/>
  <c r="AD29" i="10"/>
  <c r="AE29" i="10"/>
  <c r="AF29" i="10"/>
  <c r="AG29" i="10"/>
  <c r="AL29" i="10" s="1"/>
  <c r="AM29" i="10" s="1"/>
  <c r="AN29" i="10" s="1"/>
  <c r="AO29" i="10" s="1"/>
  <c r="AP29" i="10" s="1"/>
  <c r="AQ29" i="10" s="1"/>
  <c r="AR29" i="10" s="1"/>
  <c r="AS29" i="10" s="1"/>
  <c r="AT29" i="10" s="1"/>
  <c r="AU29" i="10"/>
  <c r="AH29" i="10"/>
  <c r="AH42" i="10" s="1"/>
  <c r="AH43" i="10" s="1"/>
  <c r="AI29" i="10"/>
  <c r="AJ29" i="10"/>
  <c r="AK29" i="10"/>
  <c r="E30" i="10"/>
  <c r="F30" i="10"/>
  <c r="G30" i="10"/>
  <c r="H30" i="10"/>
  <c r="I30" i="10"/>
  <c r="J30" i="10"/>
  <c r="K30" i="10"/>
  <c r="L30" i="10"/>
  <c r="M30" i="10"/>
  <c r="N30" i="10"/>
  <c r="O30" i="10"/>
  <c r="P30" i="10"/>
  <c r="Q30" i="10"/>
  <c r="R30" i="10"/>
  <c r="S30" i="10"/>
  <c r="T30" i="10"/>
  <c r="U30" i="10"/>
  <c r="I161" i="2" s="1"/>
  <c r="V30" i="10"/>
  <c r="W30" i="10"/>
  <c r="X30" i="10"/>
  <c r="Y30" i="10"/>
  <c r="J161" i="2" s="1"/>
  <c r="Z30" i="10"/>
  <c r="AA30" i="10"/>
  <c r="AB30" i="10"/>
  <c r="AC30" i="10"/>
  <c r="AD30" i="10"/>
  <c r="AE30" i="10"/>
  <c r="AF30" i="10"/>
  <c r="AG30" i="10"/>
  <c r="K170" i="2" s="1"/>
  <c r="AH30" i="10"/>
  <c r="AI30" i="10"/>
  <c r="AJ30" i="10"/>
  <c r="AK30" i="10"/>
  <c r="E31" i="10"/>
  <c r="F31" i="10"/>
  <c r="G31" i="10"/>
  <c r="H31" i="10"/>
  <c r="I31" i="10"/>
  <c r="J31" i="10"/>
  <c r="K31" i="10"/>
  <c r="L31" i="10"/>
  <c r="M31" i="10"/>
  <c r="N31" i="10"/>
  <c r="O31" i="10"/>
  <c r="P31" i="10"/>
  <c r="Q31" i="10"/>
  <c r="R31" i="10"/>
  <c r="S31" i="10"/>
  <c r="T31" i="10"/>
  <c r="U31" i="10"/>
  <c r="V31" i="10"/>
  <c r="W31" i="10"/>
  <c r="X31" i="10"/>
  <c r="Y31" i="10"/>
  <c r="Z31" i="10"/>
  <c r="AA31" i="10"/>
  <c r="AB31" i="10"/>
  <c r="AH31" i="10"/>
  <c r="L128" i="2" s="1"/>
  <c r="AI31" i="10"/>
  <c r="M128" i="2"/>
  <c r="M125" i="2" s="1"/>
  <c r="AJ31" i="10"/>
  <c r="N128" i="2" s="1"/>
  <c r="AK31" i="10"/>
  <c r="O128" i="2" s="1"/>
  <c r="E32" i="10"/>
  <c r="F32" i="10"/>
  <c r="G32" i="10"/>
  <c r="H32" i="10"/>
  <c r="I32" i="10"/>
  <c r="J32" i="10"/>
  <c r="K32" i="10"/>
  <c r="L32" i="10"/>
  <c r="M32" i="10"/>
  <c r="N32" i="10"/>
  <c r="O32" i="10"/>
  <c r="P32" i="10"/>
  <c r="Q32" i="10"/>
  <c r="R32" i="10"/>
  <c r="S32" i="10"/>
  <c r="T32" i="10"/>
  <c r="U32" i="10"/>
  <c r="I131" i="2"/>
  <c r="V32" i="10"/>
  <c r="W32" i="10"/>
  <c r="X32" i="10"/>
  <c r="Y32" i="10"/>
  <c r="J131" i="2" s="1"/>
  <c r="Z32" i="10"/>
  <c r="AA32" i="10"/>
  <c r="AB32" i="10"/>
  <c r="AC32" i="10"/>
  <c r="AD32" i="10"/>
  <c r="AE32" i="10"/>
  <c r="AF32" i="10"/>
  <c r="AH32" i="10"/>
  <c r="M131" i="2" s="1"/>
  <c r="AI32" i="10"/>
  <c r="AJ32" i="10"/>
  <c r="N135" i="2" s="1"/>
  <c r="N132" i="2" s="1"/>
  <c r="N179" i="2" s="1"/>
  <c r="AK32" i="10"/>
  <c r="O135" i="2"/>
  <c r="O132" i="2" s="1"/>
  <c r="E33" i="10"/>
  <c r="F33" i="10"/>
  <c r="G33" i="10"/>
  <c r="H33" i="10"/>
  <c r="I33" i="10"/>
  <c r="J33" i="10"/>
  <c r="K33" i="10"/>
  <c r="L33" i="10"/>
  <c r="M33" i="10"/>
  <c r="N33" i="10"/>
  <c r="O33" i="10"/>
  <c r="P33" i="10"/>
  <c r="Q33" i="10"/>
  <c r="R33" i="10"/>
  <c r="S33" i="10"/>
  <c r="T33" i="10"/>
  <c r="U33" i="10"/>
  <c r="V33" i="10"/>
  <c r="W33" i="10"/>
  <c r="X33" i="10"/>
  <c r="Y33" i="10"/>
  <c r="Z33" i="10"/>
  <c r="AA33" i="10"/>
  <c r="AB33" i="10"/>
  <c r="AC33" i="10"/>
  <c r="AD33" i="10"/>
  <c r="AE33" i="10"/>
  <c r="AF33" i="10"/>
  <c r="AG33" i="10"/>
  <c r="AL33" i="10" s="1"/>
  <c r="AM33" i="10" s="1"/>
  <c r="AN33" i="10" s="1"/>
  <c r="AO33" i="10" s="1"/>
  <c r="AP33" i="10" s="1"/>
  <c r="AQ33" i="10" s="1"/>
  <c r="AR33" i="10" s="1"/>
  <c r="AS33" i="10" s="1"/>
  <c r="AT33" i="10" s="1"/>
  <c r="AU33" i="10" s="1"/>
  <c r="AH33" i="10"/>
  <c r="AI33" i="10"/>
  <c r="AJ33" i="10"/>
  <c r="AK33" i="10"/>
  <c r="E34" i="10"/>
  <c r="F34" i="10"/>
  <c r="G34" i="10"/>
  <c r="H34" i="10"/>
  <c r="I34" i="10"/>
  <c r="J34" i="10"/>
  <c r="K34" i="10"/>
  <c r="L34" i="10"/>
  <c r="M34" i="10"/>
  <c r="N34" i="10"/>
  <c r="O34" i="10"/>
  <c r="P34" i="10"/>
  <c r="Q34" i="10"/>
  <c r="R34" i="10"/>
  <c r="S34" i="10"/>
  <c r="T34" i="10"/>
  <c r="U34" i="10"/>
  <c r="V34" i="10"/>
  <c r="W34" i="10"/>
  <c r="X34" i="10"/>
  <c r="Y34" i="10"/>
  <c r="Z34" i="10"/>
  <c r="AA34" i="10"/>
  <c r="AB34" i="10"/>
  <c r="AC34" i="10"/>
  <c r="AD34" i="10"/>
  <c r="AE34" i="10"/>
  <c r="AF34" i="10"/>
  <c r="AG34" i="10"/>
  <c r="AL34" i="10" s="1"/>
  <c r="AM34" i="10" s="1"/>
  <c r="AN34" i="10" s="1"/>
  <c r="AH34" i="10"/>
  <c r="AI34" i="10"/>
  <c r="AJ34" i="10"/>
  <c r="AK34" i="10"/>
  <c r="E35" i="10"/>
  <c r="F35" i="10"/>
  <c r="G35" i="10"/>
  <c r="H35" i="10"/>
  <c r="I35" i="10"/>
  <c r="J35" i="10"/>
  <c r="K35" i="10"/>
  <c r="L35" i="10"/>
  <c r="M35" i="10"/>
  <c r="N35" i="10"/>
  <c r="O35" i="10"/>
  <c r="P35" i="10"/>
  <c r="Q35" i="10"/>
  <c r="R35" i="10"/>
  <c r="S35" i="10"/>
  <c r="T35" i="10"/>
  <c r="U35" i="10"/>
  <c r="I173" i="2"/>
  <c r="V35" i="10"/>
  <c r="W35" i="10"/>
  <c r="X35" i="10"/>
  <c r="Y35" i="10"/>
  <c r="Z35" i="10"/>
  <c r="AA35" i="10"/>
  <c r="AB35" i="10"/>
  <c r="AC35" i="10"/>
  <c r="J177" i="2" s="1"/>
  <c r="AD35" i="10"/>
  <c r="AE35" i="10"/>
  <c r="AF35" i="10"/>
  <c r="AG35" i="10"/>
  <c r="AH35" i="10"/>
  <c r="AI35" i="10"/>
  <c r="M177" i="2" s="1"/>
  <c r="M174" i="2" s="1"/>
  <c r="AJ35" i="10"/>
  <c r="AK35" i="10"/>
  <c r="AK42" i="10" s="1"/>
  <c r="AK43" i="10" s="1"/>
  <c r="O177" i="2"/>
  <c r="O174" i="2" s="1"/>
  <c r="E36" i="10"/>
  <c r="F36" i="10"/>
  <c r="G36" i="10"/>
  <c r="H36" i="10"/>
  <c r="I36" i="10"/>
  <c r="J36" i="10"/>
  <c r="K36" i="10"/>
  <c r="L36" i="10"/>
  <c r="M36" i="10"/>
  <c r="N36" i="10"/>
  <c r="O36" i="10"/>
  <c r="P36" i="10"/>
  <c r="Q36" i="10"/>
  <c r="R36" i="10"/>
  <c r="S36" i="10"/>
  <c r="T36" i="10"/>
  <c r="U36" i="10"/>
  <c r="V36" i="10"/>
  <c r="W36" i="10"/>
  <c r="X36" i="10"/>
  <c r="Y36" i="10"/>
  <c r="Z36" i="10"/>
  <c r="AA36" i="10"/>
  <c r="AB36" i="10"/>
  <c r="AB42" i="10" s="1"/>
  <c r="AB43" i="10" s="1"/>
  <c r="AC36" i="10"/>
  <c r="AD36" i="10"/>
  <c r="AE36" i="10"/>
  <c r="AF36" i="10"/>
  <c r="AG36" i="10"/>
  <c r="AH36" i="10"/>
  <c r="L150" i="2"/>
  <c r="AI36" i="10"/>
  <c r="M150" i="2" s="1"/>
  <c r="AJ36" i="10"/>
  <c r="N150" i="2" s="1"/>
  <c r="AK36" i="10"/>
  <c r="E37" i="10"/>
  <c r="F37" i="10"/>
  <c r="G37" i="10"/>
  <c r="H37" i="10"/>
  <c r="I37" i="10"/>
  <c r="J37" i="10"/>
  <c r="K37" i="10"/>
  <c r="L37" i="10"/>
  <c r="M37" i="10"/>
  <c r="N37" i="10"/>
  <c r="O37" i="10"/>
  <c r="P37" i="10"/>
  <c r="Q37" i="10"/>
  <c r="R37" i="10"/>
  <c r="S37" i="10"/>
  <c r="T37" i="10"/>
  <c r="U37" i="10"/>
  <c r="V37" i="10"/>
  <c r="W37" i="10"/>
  <c r="X37" i="10"/>
  <c r="Y37" i="10"/>
  <c r="I152" i="2" s="1"/>
  <c r="Z37" i="10"/>
  <c r="AA37" i="10"/>
  <c r="AB37" i="10"/>
  <c r="AC37" i="10"/>
  <c r="J152" i="2" s="1"/>
  <c r="AD37" i="10"/>
  <c r="AE37" i="10"/>
  <c r="AF37" i="10"/>
  <c r="AG37" i="10"/>
  <c r="K152" i="2" s="1"/>
  <c r="AH37" i="10"/>
  <c r="L152" i="2" s="1"/>
  <c r="AI37" i="10"/>
  <c r="M152" i="2" s="1"/>
  <c r="AJ37" i="10"/>
  <c r="N152" i="2" s="1"/>
  <c r="AK37" i="10"/>
  <c r="O152" i="2" s="1"/>
  <c r="E38" i="10"/>
  <c r="F38" i="10"/>
  <c r="G38" i="10"/>
  <c r="H38" i="10"/>
  <c r="I38" i="10"/>
  <c r="J38" i="10"/>
  <c r="K38" i="10"/>
  <c r="L38" i="10"/>
  <c r="M38" i="10"/>
  <c r="N38" i="10"/>
  <c r="O38" i="10"/>
  <c r="P38" i="10"/>
  <c r="Q38" i="10"/>
  <c r="R38" i="10"/>
  <c r="S38" i="10"/>
  <c r="T38" i="10"/>
  <c r="U38" i="10"/>
  <c r="I155" i="2" s="1"/>
  <c r="V38" i="10"/>
  <c r="W38" i="10"/>
  <c r="X38" i="10"/>
  <c r="Y38" i="10"/>
  <c r="Z38" i="10"/>
  <c r="AA38" i="10"/>
  <c r="AB38" i="10"/>
  <c r="AC38" i="10"/>
  <c r="J158" i="2" s="1"/>
  <c r="AD38" i="10"/>
  <c r="AE38" i="10"/>
  <c r="AF38" i="10"/>
  <c r="AG38" i="10"/>
  <c r="AH38" i="10"/>
  <c r="AI38" i="10"/>
  <c r="M158" i="2" s="1"/>
  <c r="M156" i="2" s="1"/>
  <c r="AJ38" i="10"/>
  <c r="AK38" i="10"/>
  <c r="O158" i="2"/>
  <c r="O156" i="2" s="1"/>
  <c r="E39" i="10"/>
  <c r="F39" i="10"/>
  <c r="G39" i="10"/>
  <c r="H39" i="10"/>
  <c r="I39" i="10"/>
  <c r="J39" i="10"/>
  <c r="K39" i="10"/>
  <c r="L39" i="10"/>
  <c r="M39" i="10"/>
  <c r="N39" i="10"/>
  <c r="O39" i="10"/>
  <c r="P39" i="10"/>
  <c r="Q39" i="10"/>
  <c r="R39" i="10"/>
  <c r="S39" i="10"/>
  <c r="T39" i="10"/>
  <c r="U39" i="10"/>
  <c r="V39" i="10"/>
  <c r="W39" i="10"/>
  <c r="X39" i="10"/>
  <c r="Y39" i="10"/>
  <c r="I108" i="2" s="1"/>
  <c r="Z39" i="10"/>
  <c r="AA39" i="10"/>
  <c r="AB39" i="10"/>
  <c r="AC39" i="10"/>
  <c r="J108" i="2" s="1"/>
  <c r="J109" i="2" s="1"/>
  <c r="AD39" i="10"/>
  <c r="AE39" i="10"/>
  <c r="AF39" i="10"/>
  <c r="AG39" i="10"/>
  <c r="K108" i="2"/>
  <c r="AH39" i="10"/>
  <c r="L108" i="2" s="1"/>
  <c r="AI39" i="10"/>
  <c r="M108" i="2" s="1"/>
  <c r="M109" i="2" s="1"/>
  <c r="AJ39" i="10"/>
  <c r="N108" i="2" s="1"/>
  <c r="N109" i="2" s="1"/>
  <c r="AK39" i="10"/>
  <c r="O108" i="2" s="1"/>
  <c r="O109" i="2" s="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L40" i="10" s="1"/>
  <c r="AM40" i="10" s="1"/>
  <c r="AN40" i="10" s="1"/>
  <c r="AH40" i="10"/>
  <c r="AI40" i="10"/>
  <c r="AJ40" i="10"/>
  <c r="AK40" i="10"/>
  <c r="E41" i="10"/>
  <c r="E49" i="10"/>
  <c r="F49" i="10"/>
  <c r="G49" i="10"/>
  <c r="H49" i="10"/>
  <c r="I49" i="10"/>
  <c r="J49" i="10"/>
  <c r="K49" i="10"/>
  <c r="L49" i="10"/>
  <c r="M49" i="10"/>
  <c r="N49" i="10"/>
  <c r="O49" i="10"/>
  <c r="P49" i="10"/>
  <c r="P101" i="10" s="1"/>
  <c r="Q49" i="10"/>
  <c r="Q101" i="10" s="1"/>
  <c r="R49" i="10"/>
  <c r="S49" i="10"/>
  <c r="T49" i="10"/>
  <c r="U49" i="10"/>
  <c r="V49" i="10"/>
  <c r="W49" i="10"/>
  <c r="X49" i="10"/>
  <c r="X62" i="10" s="1"/>
  <c r="X63" i="10" s="1"/>
  <c r="Y49" i="10"/>
  <c r="Y101" i="10" s="1"/>
  <c r="Z49" i="10"/>
  <c r="AA49" i="10"/>
  <c r="AB49" i="10"/>
  <c r="AC49" i="10"/>
  <c r="AD49" i="10"/>
  <c r="AE49" i="10"/>
  <c r="AF49" i="10"/>
  <c r="AF101" i="10" s="1"/>
  <c r="AG49" i="10"/>
  <c r="P241" i="2" s="1"/>
  <c r="P242" i="2" s="1"/>
  <c r="AL78" i="12" s="1"/>
  <c r="AH49" i="10"/>
  <c r="AI49" i="10"/>
  <c r="AJ49" i="10"/>
  <c r="AK49" i="10"/>
  <c r="O244" i="2" s="1"/>
  <c r="O242" i="2" s="1"/>
  <c r="E50" i="10"/>
  <c r="F50" i="10"/>
  <c r="G50" i="10"/>
  <c r="H50" i="10"/>
  <c r="I50" i="10"/>
  <c r="J50" i="10"/>
  <c r="K50" i="10"/>
  <c r="L50" i="10"/>
  <c r="M50" i="10"/>
  <c r="N50" i="10"/>
  <c r="O50" i="10"/>
  <c r="O62" i="10" s="1"/>
  <c r="O63" i="10" s="1"/>
  <c r="P50" i="10"/>
  <c r="Q50" i="10"/>
  <c r="R50" i="10"/>
  <c r="S50" i="10"/>
  <c r="T50" i="10"/>
  <c r="U50" i="10"/>
  <c r="V50" i="10"/>
  <c r="W50" i="10"/>
  <c r="W62" i="10" s="1"/>
  <c r="W63" i="10" s="1"/>
  <c r="X50" i="10"/>
  <c r="Y50" i="10"/>
  <c r="Z50" i="10"/>
  <c r="AA50" i="10"/>
  <c r="AB50" i="10"/>
  <c r="AC50" i="10"/>
  <c r="J80" i="2"/>
  <c r="AD50" i="10"/>
  <c r="AE50" i="10"/>
  <c r="AE62" i="10" s="1"/>
  <c r="AE63" i="10" s="1"/>
  <c r="AF50" i="10"/>
  <c r="AG50" i="10"/>
  <c r="AH50" i="10"/>
  <c r="L80" i="2"/>
  <c r="AI50" i="10"/>
  <c r="M80" i="2"/>
  <c r="AJ50" i="10"/>
  <c r="N80" i="2" s="1"/>
  <c r="AK50" i="10"/>
  <c r="O80" i="2" s="1"/>
  <c r="O81" i="2" s="1"/>
  <c r="I84" i="2"/>
  <c r="K84" i="2"/>
  <c r="L84" i="2"/>
  <c r="M84" i="2"/>
  <c r="M85" i="2"/>
  <c r="AK51" i="10"/>
  <c r="O84" i="2" s="1"/>
  <c r="O85" i="2"/>
  <c r="E52" i="10"/>
  <c r="F52" i="10"/>
  <c r="G52" i="10"/>
  <c r="H52" i="10"/>
  <c r="I52" i="10"/>
  <c r="J52" i="10"/>
  <c r="K52" i="10"/>
  <c r="L52" i="10"/>
  <c r="M52" i="10"/>
  <c r="N52" i="10"/>
  <c r="O52" i="10"/>
  <c r="P52" i="10"/>
  <c r="Q52" i="10"/>
  <c r="R52" i="10"/>
  <c r="S52" i="10"/>
  <c r="T52" i="10"/>
  <c r="U52" i="10"/>
  <c r="V52" i="10"/>
  <c r="W52" i="10"/>
  <c r="X52" i="10"/>
  <c r="Y52" i="10"/>
  <c r="Z52" i="10"/>
  <c r="AA52" i="10"/>
  <c r="AB52" i="10"/>
  <c r="E53" i="10"/>
  <c r="F53" i="10"/>
  <c r="G53" i="10"/>
  <c r="H53" i="10"/>
  <c r="I53" i="10"/>
  <c r="J53" i="10"/>
  <c r="K53" i="10"/>
  <c r="L53" i="10"/>
  <c r="M53" i="10"/>
  <c r="N53" i="10"/>
  <c r="O53" i="10"/>
  <c r="P53" i="10"/>
  <c r="Q53" i="10"/>
  <c r="R53" i="10"/>
  <c r="S53" i="10"/>
  <c r="T53" i="10"/>
  <c r="U53" i="10"/>
  <c r="V53" i="10"/>
  <c r="W53" i="10"/>
  <c r="X53" i="10"/>
  <c r="Y53" i="10"/>
  <c r="I39" i="2" s="1"/>
  <c r="Z53" i="10"/>
  <c r="AA53" i="10"/>
  <c r="AB53" i="10"/>
  <c r="E54" i="10"/>
  <c r="F54" i="10"/>
  <c r="G54" i="10"/>
  <c r="H54" i="10"/>
  <c r="I54" i="10"/>
  <c r="J54" i="10"/>
  <c r="K54" i="10"/>
  <c r="L54" i="10"/>
  <c r="M54" i="10"/>
  <c r="N54" i="10"/>
  <c r="O54" i="10"/>
  <c r="P54" i="10"/>
  <c r="Q54" i="10"/>
  <c r="R54" i="10"/>
  <c r="S54" i="10"/>
  <c r="T54" i="10"/>
  <c r="U54" i="10"/>
  <c r="V54" i="10"/>
  <c r="W54" i="10"/>
  <c r="X54" i="10"/>
  <c r="Y54" i="10"/>
  <c r="I43" i="2" s="1"/>
  <c r="Z54" i="10"/>
  <c r="AA54" i="10"/>
  <c r="AB54" i="10"/>
  <c r="AC54" i="10"/>
  <c r="J43" i="2" s="1"/>
  <c r="AD54" i="10"/>
  <c r="AE54" i="10"/>
  <c r="AF54" i="10"/>
  <c r="AG54" i="10"/>
  <c r="AH54" i="10"/>
  <c r="AI54" i="10"/>
  <c r="M43" i="2" s="1"/>
  <c r="AJ54" i="10"/>
  <c r="N43" i="2" s="1"/>
  <c r="AK54" i="10"/>
  <c r="E55" i="10"/>
  <c r="F55" i="10"/>
  <c r="G55" i="10"/>
  <c r="H55" i="10"/>
  <c r="I55" i="10"/>
  <c r="J55" i="10"/>
  <c r="K55" i="10"/>
  <c r="K62" i="10" s="1"/>
  <c r="L55" i="10"/>
  <c r="M55" i="10"/>
  <c r="N55" i="10"/>
  <c r="O55" i="10"/>
  <c r="P55" i="10"/>
  <c r="Q55" i="10"/>
  <c r="R55" i="10"/>
  <c r="S55" i="10"/>
  <c r="S62" i="10" s="1"/>
  <c r="T55" i="10"/>
  <c r="U55" i="10"/>
  <c r="V55" i="10"/>
  <c r="W55" i="10"/>
  <c r="X55" i="10"/>
  <c r="Y55" i="10"/>
  <c r="I46" i="2" s="1"/>
  <c r="Z55" i="10"/>
  <c r="AA55" i="10"/>
  <c r="AB55" i="10"/>
  <c r="AC55" i="10"/>
  <c r="J46" i="2" s="1"/>
  <c r="AD55" i="10"/>
  <c r="AE55" i="10"/>
  <c r="AF55" i="10"/>
  <c r="AG55" i="10"/>
  <c r="K46" i="2" s="1"/>
  <c r="AH55" i="10"/>
  <c r="AI55" i="10"/>
  <c r="M46" i="2" s="1"/>
  <c r="AJ55" i="10"/>
  <c r="N46" i="2" s="1"/>
  <c r="AK55" i="10"/>
  <c r="O46" i="2"/>
  <c r="E56" i="10"/>
  <c r="F56" i="10"/>
  <c r="G56" i="10"/>
  <c r="H56" i="10"/>
  <c r="I56" i="10"/>
  <c r="J56" i="10"/>
  <c r="K56" i="10"/>
  <c r="L56" i="10"/>
  <c r="M56" i="10"/>
  <c r="N56" i="10"/>
  <c r="O56" i="10"/>
  <c r="P56" i="10"/>
  <c r="Q56" i="10"/>
  <c r="R56" i="10"/>
  <c r="S56" i="10"/>
  <c r="T56" i="10"/>
  <c r="U56" i="10"/>
  <c r="V56" i="10"/>
  <c r="W56" i="10"/>
  <c r="X56" i="10"/>
  <c r="Y56" i="10"/>
  <c r="Z56" i="10"/>
  <c r="AA56" i="10"/>
  <c r="AB56" i="10"/>
  <c r="AC56" i="10"/>
  <c r="J49" i="2" s="1"/>
  <c r="AD56" i="10"/>
  <c r="AE56" i="10"/>
  <c r="AF56" i="10"/>
  <c r="AG56" i="10"/>
  <c r="K49" i="2" s="1"/>
  <c r="AH56" i="10"/>
  <c r="L49" i="2"/>
  <c r="AI56" i="10"/>
  <c r="AJ56" i="10"/>
  <c r="AK56" i="10"/>
  <c r="O49" i="2" s="1"/>
  <c r="E57" i="10"/>
  <c r="F57" i="10"/>
  <c r="F62" i="10" s="1"/>
  <c r="G57" i="10"/>
  <c r="H57" i="10"/>
  <c r="I57" i="10"/>
  <c r="J57" i="10"/>
  <c r="K57" i="10"/>
  <c r="L57" i="10"/>
  <c r="M57" i="10"/>
  <c r="N57" i="10"/>
  <c r="O57" i="10"/>
  <c r="P57" i="10"/>
  <c r="Q57" i="10"/>
  <c r="R57" i="10"/>
  <c r="S57" i="10"/>
  <c r="T57" i="10"/>
  <c r="U57" i="10"/>
  <c r="V57" i="10"/>
  <c r="W57" i="10"/>
  <c r="X57" i="10"/>
  <c r="Y57" i="10"/>
  <c r="I52" i="2" s="1"/>
  <c r="Z57" i="10"/>
  <c r="AA57" i="10"/>
  <c r="AB57" i="10"/>
  <c r="AC57" i="10"/>
  <c r="J52" i="2" s="1"/>
  <c r="AD57" i="10"/>
  <c r="AD62" i="10" s="1"/>
  <c r="AD63" i="10" s="1"/>
  <c r="AE57" i="10"/>
  <c r="AF57" i="10"/>
  <c r="AG57" i="10"/>
  <c r="K52" i="2"/>
  <c r="AH57" i="10"/>
  <c r="L52" i="2"/>
  <c r="AI57" i="10"/>
  <c r="M52" i="2" s="1"/>
  <c r="AJ57" i="10"/>
  <c r="N52" i="2" s="1"/>
  <c r="AK57" i="10"/>
  <c r="O52" i="2" s="1"/>
  <c r="E58" i="10"/>
  <c r="F58" i="10"/>
  <c r="G58" i="10"/>
  <c r="H58" i="10"/>
  <c r="I58" i="10"/>
  <c r="J58" i="10"/>
  <c r="K58" i="10"/>
  <c r="L58" i="10"/>
  <c r="M58" i="10"/>
  <c r="N58" i="10"/>
  <c r="O58" i="10"/>
  <c r="P58" i="10"/>
  <c r="Q58" i="10"/>
  <c r="R58" i="10"/>
  <c r="S58" i="10"/>
  <c r="T58" i="10"/>
  <c r="U58" i="10"/>
  <c r="V58" i="10"/>
  <c r="W58" i="10"/>
  <c r="X58" i="10"/>
  <c r="Y58" i="10"/>
  <c r="I55" i="2" s="1"/>
  <c r="Z58" i="10"/>
  <c r="Z62" i="10" s="1"/>
  <c r="Z76" i="10" s="1"/>
  <c r="AA58" i="10"/>
  <c r="AB58" i="10"/>
  <c r="AH58" i="10"/>
  <c r="L55" i="2"/>
  <c r="AI58" i="10"/>
  <c r="M55" i="2" s="1"/>
  <c r="AJ58" i="10"/>
  <c r="N55" i="2" s="1"/>
  <c r="AK58" i="10"/>
  <c r="O55" i="2"/>
  <c r="O56" i="2" s="1"/>
  <c r="E59" i="10"/>
  <c r="F59" i="10"/>
  <c r="G59" i="10"/>
  <c r="H59" i="10"/>
  <c r="I59" i="10"/>
  <c r="J59" i="10"/>
  <c r="K59" i="10"/>
  <c r="L59" i="10"/>
  <c r="M59" i="10"/>
  <c r="N59" i="10"/>
  <c r="O59" i="10"/>
  <c r="P59" i="10"/>
  <c r="Q59" i="10"/>
  <c r="R59" i="10"/>
  <c r="S59" i="10"/>
  <c r="T59" i="10"/>
  <c r="U59" i="10"/>
  <c r="V59" i="10"/>
  <c r="W59" i="10"/>
  <c r="X59" i="10"/>
  <c r="Y59" i="10"/>
  <c r="Z59" i="10"/>
  <c r="AA59" i="10"/>
  <c r="AB59" i="10"/>
  <c r="AC59" i="10"/>
  <c r="AD59" i="10"/>
  <c r="AE59" i="10"/>
  <c r="AF59" i="10"/>
  <c r="AG59" i="10"/>
  <c r="AL59" i="10" s="1"/>
  <c r="AM59" i="10" s="1"/>
  <c r="AN59" i="10" s="1"/>
  <c r="AH59" i="10"/>
  <c r="AI59" i="10"/>
  <c r="AJ59" i="10"/>
  <c r="AK59" i="10"/>
  <c r="E60" i="10"/>
  <c r="F60" i="10"/>
  <c r="G60" i="10"/>
  <c r="H60" i="10"/>
  <c r="I60" i="10"/>
  <c r="J60" i="10"/>
  <c r="J101" i="10" s="1"/>
  <c r="J103" i="10" s="1"/>
  <c r="K60" i="10"/>
  <c r="K101" i="10" s="1"/>
  <c r="L60" i="10"/>
  <c r="M60" i="10"/>
  <c r="N60" i="10"/>
  <c r="O60" i="10"/>
  <c r="P60" i="10"/>
  <c r="Q60" i="10"/>
  <c r="R60" i="10"/>
  <c r="R101" i="10" s="1"/>
  <c r="R103" i="10" s="1"/>
  <c r="S60" i="10"/>
  <c r="S101" i="10" s="1"/>
  <c r="T60" i="10"/>
  <c r="U60" i="10"/>
  <c r="V60" i="10"/>
  <c r="W60" i="10"/>
  <c r="X60" i="10"/>
  <c r="Y60" i="10"/>
  <c r="Z60" i="10"/>
  <c r="AA60" i="10"/>
  <c r="AB60" i="10"/>
  <c r="AC60" i="10"/>
  <c r="AD60" i="10"/>
  <c r="AE60" i="10"/>
  <c r="AF60" i="10"/>
  <c r="AG60" i="10"/>
  <c r="AL60" i="10" s="1"/>
  <c r="AM60" i="10" s="1"/>
  <c r="AN60" i="10" s="1"/>
  <c r="AH60" i="10"/>
  <c r="AH62" i="10" s="1"/>
  <c r="AH63" i="10" s="1"/>
  <c r="AI60" i="10"/>
  <c r="AI62" i="10" s="1"/>
  <c r="AI63" i="10" s="1"/>
  <c r="AJ60" i="10"/>
  <c r="AK60" i="10"/>
  <c r="E61" i="10"/>
  <c r="F61" i="10"/>
  <c r="G61" i="10"/>
  <c r="H61" i="10"/>
  <c r="I61" i="10"/>
  <c r="J61" i="10"/>
  <c r="K61" i="10"/>
  <c r="L61" i="10"/>
  <c r="M61" i="10"/>
  <c r="N61" i="10"/>
  <c r="O61" i="10"/>
  <c r="P61" i="10"/>
  <c r="Q61" i="10"/>
  <c r="R61" i="10"/>
  <c r="S61" i="10"/>
  <c r="T61" i="10"/>
  <c r="U61" i="10"/>
  <c r="V61" i="10"/>
  <c r="W61" i="10"/>
  <c r="X61" i="10"/>
  <c r="Y61" i="10"/>
  <c r="I88" i="2" s="1"/>
  <c r="J89" i="2" s="1"/>
  <c r="Z61" i="10"/>
  <c r="AA61" i="10"/>
  <c r="AB61" i="10"/>
  <c r="AC61" i="10"/>
  <c r="J88" i="2"/>
  <c r="AD61" i="10"/>
  <c r="AE61" i="10"/>
  <c r="AF61" i="10"/>
  <c r="AG61" i="10"/>
  <c r="K88" i="2" s="1"/>
  <c r="AH61" i="10"/>
  <c r="L88" i="2" s="1"/>
  <c r="L89" i="2" s="1"/>
  <c r="AI61" i="10"/>
  <c r="M88" i="2" s="1"/>
  <c r="M89" i="2" s="1"/>
  <c r="AJ61" i="10"/>
  <c r="AK61" i="10"/>
  <c r="E65" i="10"/>
  <c r="F65" i="10"/>
  <c r="F73" i="10" s="1"/>
  <c r="F74" i="10" s="1"/>
  <c r="G65" i="10"/>
  <c r="G101" i="10" s="1"/>
  <c r="H65" i="10"/>
  <c r="I65" i="10"/>
  <c r="J65" i="10"/>
  <c r="K65" i="10"/>
  <c r="L65" i="10"/>
  <c r="M65" i="10"/>
  <c r="N65" i="10"/>
  <c r="O65" i="10"/>
  <c r="O73" i="10" s="1"/>
  <c r="O76" i="10" s="1"/>
  <c r="P65" i="10"/>
  <c r="Q65" i="10"/>
  <c r="R65" i="10"/>
  <c r="S65" i="10"/>
  <c r="T65" i="10"/>
  <c r="U65" i="10"/>
  <c r="I204" i="2" s="1"/>
  <c r="V65" i="10"/>
  <c r="W65" i="10"/>
  <c r="X65" i="10"/>
  <c r="Y65" i="10"/>
  <c r="Z65" i="10"/>
  <c r="AA65" i="10"/>
  <c r="AB65" i="10"/>
  <c r="AC65" i="10"/>
  <c r="AC73" i="10" s="1"/>
  <c r="AC74" i="10" s="1"/>
  <c r="AD65" i="10"/>
  <c r="AD73" i="10" s="1"/>
  <c r="AD74" i="10" s="1"/>
  <c r="AE65" i="10"/>
  <c r="AF65" i="10"/>
  <c r="AG65" i="10"/>
  <c r="AH65" i="10"/>
  <c r="AI65" i="10"/>
  <c r="AJ65" i="10"/>
  <c r="AK65" i="10"/>
  <c r="AK101" i="10" s="1"/>
  <c r="E66" i="10"/>
  <c r="E73" i="10" s="1"/>
  <c r="E74" i="10" s="1"/>
  <c r="F66" i="10"/>
  <c r="G66" i="10"/>
  <c r="H66" i="10"/>
  <c r="I66" i="10"/>
  <c r="J66" i="10"/>
  <c r="K66" i="10"/>
  <c r="L66" i="10"/>
  <c r="M66" i="10"/>
  <c r="M73" i="10" s="1"/>
  <c r="M74" i="10" s="1"/>
  <c r="N66" i="10"/>
  <c r="O66" i="10"/>
  <c r="P66" i="10"/>
  <c r="Q66" i="10"/>
  <c r="R66" i="10"/>
  <c r="S66" i="10"/>
  <c r="T66" i="10"/>
  <c r="T73" i="10" s="1"/>
  <c r="T74" i="10" s="1"/>
  <c r="U66" i="10"/>
  <c r="I197" i="2" s="1"/>
  <c r="V66" i="10"/>
  <c r="W66" i="10"/>
  <c r="X66" i="10"/>
  <c r="Y66" i="10"/>
  <c r="Z66" i="10"/>
  <c r="AA66" i="10"/>
  <c r="AB66" i="10"/>
  <c r="AC66" i="10"/>
  <c r="K197" i="2" s="1"/>
  <c r="AD66" i="10"/>
  <c r="AE66" i="10"/>
  <c r="AF66" i="10"/>
  <c r="AG66" i="10"/>
  <c r="L197" i="2" s="1"/>
  <c r="AH66" i="10"/>
  <c r="M197" i="2" s="1"/>
  <c r="AI66" i="10"/>
  <c r="AJ66" i="10"/>
  <c r="AJ73" i="10" s="1"/>
  <c r="AJ74" i="10" s="1"/>
  <c r="AK66" i="10"/>
  <c r="O200" i="2" s="1"/>
  <c r="O198" i="2" s="1"/>
  <c r="E67" i="10"/>
  <c r="F67" i="10"/>
  <c r="G67" i="10"/>
  <c r="H67" i="10"/>
  <c r="I67" i="10"/>
  <c r="J67" i="10"/>
  <c r="K67" i="10"/>
  <c r="K73" i="10" s="1"/>
  <c r="K74" i="10" s="1"/>
  <c r="L67" i="10"/>
  <c r="M67" i="10"/>
  <c r="N67" i="10"/>
  <c r="O67" i="10"/>
  <c r="P67" i="10"/>
  <c r="Q67" i="10"/>
  <c r="R67" i="10"/>
  <c r="S67" i="10"/>
  <c r="S73" i="10" s="1"/>
  <c r="S74" i="10" s="1"/>
  <c r="T67" i="10"/>
  <c r="U67" i="10"/>
  <c r="V67" i="10"/>
  <c r="W67" i="10"/>
  <c r="X67" i="10"/>
  <c r="Y67" i="10"/>
  <c r="Z67" i="10"/>
  <c r="AA67" i="10"/>
  <c r="AA73" i="10" s="1"/>
  <c r="AA74" i="10" s="1"/>
  <c r="AB67" i="10"/>
  <c r="AB101" i="10" s="1"/>
  <c r="AC67" i="10"/>
  <c r="AD67" i="10"/>
  <c r="AE67" i="10"/>
  <c r="AF67" i="10"/>
  <c r="AG67" i="10"/>
  <c r="AL67" i="10" s="1"/>
  <c r="AM67" i="10" s="1"/>
  <c r="AN67" i="10" s="1"/>
  <c r="AH67" i="10"/>
  <c r="AI67" i="10"/>
  <c r="AI73" i="10" s="1"/>
  <c r="AI74" i="10" s="1"/>
  <c r="AJ67" i="10"/>
  <c r="AK67" i="10"/>
  <c r="E68" i="10"/>
  <c r="E69" i="10"/>
  <c r="E70" i="10"/>
  <c r="F70" i="10"/>
  <c r="G70" i="10"/>
  <c r="H70" i="10"/>
  <c r="I70" i="10"/>
  <c r="J70" i="10"/>
  <c r="K70" i="10"/>
  <c r="L70" i="10"/>
  <c r="M70" i="10"/>
  <c r="N70" i="10"/>
  <c r="O70" i="10"/>
  <c r="P70" i="10"/>
  <c r="Q70" i="10"/>
  <c r="R70" i="10"/>
  <c r="R73" i="10" s="1"/>
  <c r="R74" i="10" s="1"/>
  <c r="S70" i="10"/>
  <c r="T70" i="10"/>
  <c r="U70" i="10"/>
  <c r="V70" i="10"/>
  <c r="W70" i="10"/>
  <c r="X70" i="10"/>
  <c r="Y70" i="10"/>
  <c r="Z70" i="10"/>
  <c r="AA70" i="10"/>
  <c r="AB70" i="10"/>
  <c r="AC70" i="10"/>
  <c r="AD70" i="10"/>
  <c r="AE70" i="10"/>
  <c r="AF70" i="10"/>
  <c r="AG70" i="10"/>
  <c r="AL70" i="10" s="1"/>
  <c r="AM70" i="10" s="1"/>
  <c r="AN70" i="10" s="1"/>
  <c r="AH70" i="10"/>
  <c r="AI70" i="10"/>
  <c r="AJ70" i="10"/>
  <c r="AK70" i="10"/>
  <c r="E71" i="10"/>
  <c r="F71" i="10"/>
  <c r="G71" i="10"/>
  <c r="H71" i="10"/>
  <c r="I71" i="10"/>
  <c r="J71" i="10"/>
  <c r="K71" i="10"/>
  <c r="L71" i="10"/>
  <c r="M71" i="10"/>
  <c r="N71" i="10"/>
  <c r="O71" i="10"/>
  <c r="P71" i="10"/>
  <c r="Q71" i="10"/>
  <c r="R71" i="10"/>
  <c r="S71" i="10"/>
  <c r="T71" i="10"/>
  <c r="U71" i="10"/>
  <c r="V71" i="10"/>
  <c r="W71" i="10"/>
  <c r="X71" i="10"/>
  <c r="Y71" i="10"/>
  <c r="Z71" i="10"/>
  <c r="AA71" i="10"/>
  <c r="AB71" i="10"/>
  <c r="AC71" i="10"/>
  <c r="AD71" i="10"/>
  <c r="AE71" i="10"/>
  <c r="AF71" i="10"/>
  <c r="AG71" i="10"/>
  <c r="AL71" i="10" s="1"/>
  <c r="AM71" i="10" s="1"/>
  <c r="AN71" i="10" s="1"/>
  <c r="AH71" i="10"/>
  <c r="AI71" i="10"/>
  <c r="AJ71" i="10"/>
  <c r="AK71" i="10"/>
  <c r="E72" i="10"/>
  <c r="F72" i="10"/>
  <c r="G72" i="10"/>
  <c r="H72" i="10"/>
  <c r="I72" i="10"/>
  <c r="J72" i="10"/>
  <c r="K72" i="10"/>
  <c r="L72" i="10"/>
  <c r="M72" i="10"/>
  <c r="N72" i="10"/>
  <c r="O72" i="10"/>
  <c r="P72" i="10"/>
  <c r="Q72" i="10"/>
  <c r="Y72" i="10"/>
  <c r="Z72" i="10"/>
  <c r="AA72" i="10"/>
  <c r="AB72" i="10"/>
  <c r="AC72" i="10"/>
  <c r="AD72" i="10"/>
  <c r="AE72" i="10"/>
  <c r="AF72" i="10"/>
  <c r="AG72" i="10"/>
  <c r="AL72" i="10" s="1"/>
  <c r="AM72" i="10" s="1"/>
  <c r="AN72" i="10" s="1"/>
  <c r="AO72" i="10" s="1"/>
  <c r="AP72" i="10" s="1"/>
  <c r="AQ72" i="10" s="1"/>
  <c r="AR72" i="10" s="1"/>
  <c r="AS72" i="10" s="1"/>
  <c r="AT72" i="10" s="1"/>
  <c r="AU72" i="10" s="1"/>
  <c r="AH72" i="10"/>
  <c r="AI72" i="10"/>
  <c r="AJ72" i="10"/>
  <c r="AK72" i="10"/>
  <c r="E78" i="10"/>
  <c r="F78" i="10"/>
  <c r="G78" i="10"/>
  <c r="H78" i="10"/>
  <c r="I78" i="10"/>
  <c r="J78" i="10"/>
  <c r="K78" i="10"/>
  <c r="L78" i="10"/>
  <c r="M78" i="10"/>
  <c r="N78" i="10"/>
  <c r="O78" i="10"/>
  <c r="P78" i="10"/>
  <c r="Q78" i="10"/>
  <c r="R78" i="10"/>
  <c r="S78" i="10"/>
  <c r="T78" i="10"/>
  <c r="U78" i="10"/>
  <c r="V78" i="10"/>
  <c r="W78" i="10"/>
  <c r="X78" i="10"/>
  <c r="Y78" i="10"/>
  <c r="Z78" i="10"/>
  <c r="AA78" i="10"/>
  <c r="AB78" i="10"/>
  <c r="AC78" i="10"/>
  <c r="AD78" i="10"/>
  <c r="AE78" i="10"/>
  <c r="AF78" i="10"/>
  <c r="AG78" i="10"/>
  <c r="AH78" i="10"/>
  <c r="L215" i="2"/>
  <c r="AI78" i="10"/>
  <c r="M215" i="2"/>
  <c r="AJ78" i="10"/>
  <c r="N215" i="2" s="1"/>
  <c r="AK78" i="10"/>
  <c r="E79" i="10"/>
  <c r="F79" i="10"/>
  <c r="G79" i="10"/>
  <c r="G80" i="10" s="1"/>
  <c r="H79" i="10"/>
  <c r="H80" i="10" s="1"/>
  <c r="I79" i="10"/>
  <c r="J79" i="10"/>
  <c r="K79" i="10"/>
  <c r="L79" i="10"/>
  <c r="M79" i="10"/>
  <c r="N79" i="10"/>
  <c r="O79" i="10"/>
  <c r="P79" i="10"/>
  <c r="P80" i="10" s="1"/>
  <c r="Q79" i="10"/>
  <c r="R79" i="10"/>
  <c r="S79" i="10"/>
  <c r="T79" i="10"/>
  <c r="U79" i="10"/>
  <c r="V79" i="10"/>
  <c r="W79" i="10"/>
  <c r="W80" i="10" s="1"/>
  <c r="X79" i="10"/>
  <c r="X80" i="10" s="1"/>
  <c r="Y79" i="10"/>
  <c r="Z79" i="10"/>
  <c r="AA79" i="10"/>
  <c r="AB79" i="10"/>
  <c r="AC79" i="10"/>
  <c r="AD79" i="10"/>
  <c r="AE79" i="10"/>
  <c r="AE80" i="10" s="1"/>
  <c r="AF79" i="10"/>
  <c r="AF80" i="10" s="1"/>
  <c r="AG79" i="10"/>
  <c r="AL79" i="10" s="1"/>
  <c r="AM79" i="10" s="1"/>
  <c r="AN79" i="10" s="1"/>
  <c r="AO79" i="10" s="1"/>
  <c r="AP79" i="10" s="1"/>
  <c r="AQ79" i="10" s="1"/>
  <c r="AR79" i="10" s="1"/>
  <c r="AS79" i="10" s="1"/>
  <c r="AT79" i="10" s="1"/>
  <c r="AU79" i="10" s="1"/>
  <c r="AH79" i="10"/>
  <c r="AI79" i="10"/>
  <c r="AJ79" i="10"/>
  <c r="AK79" i="10"/>
  <c r="AK80" i="10" s="1"/>
  <c r="E81" i="10"/>
  <c r="F81" i="10"/>
  <c r="G81" i="10"/>
  <c r="H81" i="10"/>
  <c r="I81" i="10"/>
  <c r="J81" i="10"/>
  <c r="K81" i="10"/>
  <c r="K80" i="10" s="1"/>
  <c r="L81" i="10"/>
  <c r="L80" i="10" s="1"/>
  <c r="M81" i="10"/>
  <c r="M80" i="10" s="1"/>
  <c r="N81" i="10"/>
  <c r="O81" i="10"/>
  <c r="P81" i="10"/>
  <c r="Q81" i="10"/>
  <c r="R81" i="10"/>
  <c r="S81" i="10"/>
  <c r="S80" i="10" s="1"/>
  <c r="T81" i="10"/>
  <c r="T80" i="10" s="1"/>
  <c r="U81" i="10"/>
  <c r="U80" i="10" s="1"/>
  <c r="V81" i="10"/>
  <c r="W81" i="10"/>
  <c r="X81" i="10"/>
  <c r="Y81" i="10"/>
  <c r="Z81" i="10"/>
  <c r="AA81" i="10"/>
  <c r="AA80" i="10"/>
  <c r="AB81" i="10"/>
  <c r="AB80" i="10" s="1"/>
  <c r="AC81" i="10"/>
  <c r="AD81" i="10"/>
  <c r="AE81" i="10"/>
  <c r="AF81" i="10"/>
  <c r="AG81" i="10"/>
  <c r="AH81" i="10"/>
  <c r="AH80" i="10" s="1"/>
  <c r="AI81" i="10"/>
  <c r="AI80" i="10" s="1"/>
  <c r="AJ81" i="10"/>
  <c r="AK81" i="10"/>
  <c r="E82" i="10"/>
  <c r="F82" i="10"/>
  <c r="G82" i="10"/>
  <c r="H82" i="10"/>
  <c r="I82" i="10"/>
  <c r="J82" i="10"/>
  <c r="J89" i="10" s="1"/>
  <c r="J93" i="10" s="1"/>
  <c r="K82" i="10"/>
  <c r="L82" i="10"/>
  <c r="M82" i="10"/>
  <c r="N82" i="10"/>
  <c r="O82" i="10"/>
  <c r="P82" i="10"/>
  <c r="Q82" i="10"/>
  <c r="Q89" i="10" s="1"/>
  <c r="Q93" i="10" s="1"/>
  <c r="R82" i="10"/>
  <c r="R89" i="10" s="1"/>
  <c r="R93" i="10" s="1"/>
  <c r="S82" i="10"/>
  <c r="T82" i="10"/>
  <c r="U82" i="10"/>
  <c r="V82" i="10"/>
  <c r="W82" i="10"/>
  <c r="X82" i="10"/>
  <c r="Y82" i="10"/>
  <c r="Z82" i="10"/>
  <c r="AA82" i="10"/>
  <c r="AB82" i="10"/>
  <c r="AC82" i="10"/>
  <c r="AD82" i="10"/>
  <c r="AE82" i="10"/>
  <c r="AF82" i="10"/>
  <c r="AG82" i="10"/>
  <c r="AG89" i="10" s="1"/>
  <c r="AG93" i="10" s="1"/>
  <c r="AH82" i="10"/>
  <c r="AI82" i="10"/>
  <c r="AJ82" i="10"/>
  <c r="AK82" i="10"/>
  <c r="E83" i="10"/>
  <c r="F83" i="10"/>
  <c r="G83" i="10"/>
  <c r="G89" i="10" s="1"/>
  <c r="G93" i="10" s="1"/>
  <c r="H83" i="10"/>
  <c r="H89" i="10" s="1"/>
  <c r="H93" i="10" s="1"/>
  <c r="H103" i="10" s="1"/>
  <c r="I83" i="10"/>
  <c r="J83" i="10"/>
  <c r="K83" i="10"/>
  <c r="L83" i="10"/>
  <c r="M83" i="10"/>
  <c r="N83" i="10"/>
  <c r="O83" i="10"/>
  <c r="P83" i="10"/>
  <c r="P89" i="10" s="1"/>
  <c r="P93" i="10" s="1"/>
  <c r="Q83" i="10"/>
  <c r="R83" i="10"/>
  <c r="S83" i="10"/>
  <c r="T83" i="10"/>
  <c r="U83" i="10"/>
  <c r="V83" i="10"/>
  <c r="W83" i="10"/>
  <c r="W89" i="10" s="1"/>
  <c r="W93" i="10" s="1"/>
  <c r="W103" i="10" s="1"/>
  <c r="X83" i="10"/>
  <c r="X89" i="10" s="1"/>
  <c r="X93" i="10" s="1"/>
  <c r="Y83" i="10"/>
  <c r="Z83" i="10"/>
  <c r="AA83" i="10"/>
  <c r="AB83" i="10"/>
  <c r="AC83" i="10"/>
  <c r="AD83" i="10"/>
  <c r="AE83" i="10"/>
  <c r="AF83" i="10"/>
  <c r="AF89" i="10" s="1"/>
  <c r="AF93" i="10" s="1"/>
  <c r="AG83" i="10"/>
  <c r="AL83" i="10"/>
  <c r="AM83" i="10" s="1"/>
  <c r="AN83" i="10" s="1"/>
  <c r="AO83" i="10" s="1"/>
  <c r="AP83" i="10" s="1"/>
  <c r="AQ83" i="10" s="1"/>
  <c r="AR83" i="10" s="1"/>
  <c r="AS83" i="10" s="1"/>
  <c r="AT83" i="10" s="1"/>
  <c r="AU83" i="10" s="1"/>
  <c r="AH83" i="10"/>
  <c r="AI83" i="10"/>
  <c r="AJ83" i="10"/>
  <c r="AK83" i="10"/>
  <c r="E84" i="10"/>
  <c r="E89" i="10" s="1"/>
  <c r="E93" i="10" s="1"/>
  <c r="F84" i="10"/>
  <c r="G84" i="10"/>
  <c r="H84" i="10"/>
  <c r="I84" i="10"/>
  <c r="J84" i="10"/>
  <c r="K84" i="10"/>
  <c r="L84" i="10"/>
  <c r="M84" i="10"/>
  <c r="N84" i="10"/>
  <c r="N89" i="10" s="1"/>
  <c r="N93" i="10" s="1"/>
  <c r="O84" i="10"/>
  <c r="P84" i="10"/>
  <c r="Q84" i="10"/>
  <c r="R84" i="10"/>
  <c r="S84" i="10"/>
  <c r="T84" i="10"/>
  <c r="U84" i="10"/>
  <c r="U89" i="10" s="1"/>
  <c r="U93" i="10" s="1"/>
  <c r="V84" i="10"/>
  <c r="W84" i="10"/>
  <c r="X84" i="10"/>
  <c r="Y84" i="10"/>
  <c r="Z84" i="10"/>
  <c r="AA84" i="10"/>
  <c r="AB84" i="10"/>
  <c r="AC84" i="10"/>
  <c r="AD84" i="10"/>
  <c r="AD89" i="10" s="1"/>
  <c r="AD93" i="10" s="1"/>
  <c r="AE84" i="10"/>
  <c r="AF84" i="10"/>
  <c r="AG84" i="10"/>
  <c r="AL84" i="10" s="1"/>
  <c r="AM84" i="10" s="1"/>
  <c r="AH84" i="10"/>
  <c r="AI84" i="10"/>
  <c r="AJ84" i="10"/>
  <c r="AK84" i="10"/>
  <c r="AK89" i="10" s="1"/>
  <c r="AK93" i="10" s="1"/>
  <c r="E85" i="10"/>
  <c r="F85" i="10"/>
  <c r="G85" i="10"/>
  <c r="H85" i="10"/>
  <c r="I85" i="10"/>
  <c r="J85" i="10"/>
  <c r="K85" i="10"/>
  <c r="L85" i="10"/>
  <c r="L89" i="10" s="1"/>
  <c r="L93" i="10" s="1"/>
  <c r="M85" i="10"/>
  <c r="M89" i="10" s="1"/>
  <c r="M93" i="10" s="1"/>
  <c r="N85" i="10"/>
  <c r="O85" i="10"/>
  <c r="P85" i="10"/>
  <c r="Q85" i="10"/>
  <c r="R85" i="10"/>
  <c r="S85" i="10"/>
  <c r="T85" i="10"/>
  <c r="T89" i="10" s="1"/>
  <c r="T93" i="10" s="1"/>
  <c r="U85" i="10"/>
  <c r="V85" i="10"/>
  <c r="W85" i="10"/>
  <c r="X85" i="10"/>
  <c r="Y85" i="10"/>
  <c r="Z85" i="10"/>
  <c r="AA85" i="10"/>
  <c r="AB85" i="10"/>
  <c r="AC85" i="10"/>
  <c r="AC89" i="10" s="1"/>
  <c r="AC93" i="10" s="1"/>
  <c r="AD85" i="10"/>
  <c r="AE85" i="10"/>
  <c r="AF85" i="10"/>
  <c r="AG85" i="10"/>
  <c r="AL85" i="10" s="1"/>
  <c r="AM85" i="10" s="1"/>
  <c r="AN85" i="10" s="1"/>
  <c r="AO85" i="10" s="1"/>
  <c r="AP85" i="10" s="1"/>
  <c r="AQ85" i="10" s="1"/>
  <c r="AR85" i="10" s="1"/>
  <c r="AS85" i="10" s="1"/>
  <c r="AT85" i="10" s="1"/>
  <c r="AU85" i="10" s="1"/>
  <c r="AH85" i="10"/>
  <c r="AI85" i="10"/>
  <c r="AI89" i="10" s="1"/>
  <c r="AI93" i="10" s="1"/>
  <c r="AJ85" i="10"/>
  <c r="AJ89" i="10" s="1"/>
  <c r="AJ93" i="10" s="1"/>
  <c r="AK85" i="10"/>
  <c r="E86" i="10"/>
  <c r="F86" i="10"/>
  <c r="G86" i="10"/>
  <c r="H86" i="10"/>
  <c r="I86" i="10"/>
  <c r="J86" i="10"/>
  <c r="K86" i="10"/>
  <c r="K89" i="10" s="1"/>
  <c r="K93" i="10" s="1"/>
  <c r="L86" i="10"/>
  <c r="M86" i="10"/>
  <c r="N86" i="10"/>
  <c r="O86" i="10"/>
  <c r="P86" i="10"/>
  <c r="Q86" i="10"/>
  <c r="R86" i="10"/>
  <c r="S86" i="10"/>
  <c r="S89" i="10" s="1"/>
  <c r="S93" i="10" s="1"/>
  <c r="S103" i="10" s="1"/>
  <c r="T86" i="10"/>
  <c r="U86" i="10"/>
  <c r="V86" i="10"/>
  <c r="W86" i="10"/>
  <c r="X86" i="10"/>
  <c r="Y86" i="10"/>
  <c r="Z86" i="10"/>
  <c r="Z89" i="10" s="1"/>
  <c r="Z93" i="10" s="1"/>
  <c r="AA86" i="10"/>
  <c r="AB86" i="10"/>
  <c r="AC86" i="10"/>
  <c r="AD86" i="10"/>
  <c r="AE86" i="10"/>
  <c r="AF86" i="10"/>
  <c r="AG86" i="10"/>
  <c r="AH86" i="10"/>
  <c r="AI86" i="10"/>
  <c r="AJ86" i="10"/>
  <c r="AK86" i="10"/>
  <c r="E87" i="10"/>
  <c r="E88" i="10"/>
  <c r="F88" i="10"/>
  <c r="G88" i="10"/>
  <c r="H88" i="10"/>
  <c r="I88" i="10"/>
  <c r="J88" i="10"/>
  <c r="K88" i="10"/>
  <c r="L88" i="10"/>
  <c r="M88" i="10"/>
  <c r="N88" i="10"/>
  <c r="O88" i="10"/>
  <c r="P88" i="10"/>
  <c r="Q88" i="10"/>
  <c r="R88" i="10"/>
  <c r="S88" i="10"/>
  <c r="T88" i="10"/>
  <c r="U88" i="10"/>
  <c r="V88" i="10"/>
  <c r="W88" i="10"/>
  <c r="X88" i="10"/>
  <c r="Y88" i="10"/>
  <c r="Z88" i="10"/>
  <c r="AA88" i="10"/>
  <c r="AB88" i="10"/>
  <c r="AC88" i="10"/>
  <c r="AD88" i="10"/>
  <c r="AE88" i="10"/>
  <c r="AF88" i="10"/>
  <c r="AG88" i="10"/>
  <c r="AL88" i="10" s="1"/>
  <c r="AM88" i="10" s="1"/>
  <c r="AN88" i="10" s="1"/>
  <c r="AO88" i="10" s="1"/>
  <c r="AP88" i="10" s="1"/>
  <c r="AQ88" i="10" s="1"/>
  <c r="AR88" i="10" s="1"/>
  <c r="AS88" i="10" s="1"/>
  <c r="AT88" i="10" s="1"/>
  <c r="AU88" i="10" s="1"/>
  <c r="AH88" i="10"/>
  <c r="AI88" i="10"/>
  <c r="AJ88" i="10"/>
  <c r="AK88" i="10"/>
  <c r="E91" i="10"/>
  <c r="F91" i="10"/>
  <c r="G91" i="10"/>
  <c r="H91" i="10"/>
  <c r="I91" i="10"/>
  <c r="J91" i="10"/>
  <c r="K91" i="10"/>
  <c r="L91" i="10"/>
  <c r="M91" i="10"/>
  <c r="N91" i="10"/>
  <c r="O91" i="10"/>
  <c r="P91" i="10"/>
  <c r="Q91" i="10"/>
  <c r="R91" i="10"/>
  <c r="S91" i="10"/>
  <c r="T91" i="10"/>
  <c r="U91" i="10"/>
  <c r="V91" i="10"/>
  <c r="W91" i="10"/>
  <c r="X91" i="10"/>
  <c r="Y91" i="10"/>
  <c r="Z91" i="10"/>
  <c r="AA91" i="10"/>
  <c r="AB91" i="10"/>
  <c r="AC91" i="10"/>
  <c r="AD91" i="10"/>
  <c r="AE91" i="10"/>
  <c r="AF91" i="10"/>
  <c r="AG91" i="10"/>
  <c r="AH91" i="10"/>
  <c r="AI91" i="10"/>
  <c r="AJ91" i="10"/>
  <c r="AK91" i="10"/>
  <c r="E6" i="11"/>
  <c r="E64" i="11" s="1"/>
  <c r="F6" i="11"/>
  <c r="G6" i="11"/>
  <c r="G16" i="11" s="1"/>
  <c r="H6" i="11"/>
  <c r="I6" i="11"/>
  <c r="J6" i="11"/>
  <c r="K6" i="11"/>
  <c r="L6" i="11"/>
  <c r="M6" i="11"/>
  <c r="N6" i="11"/>
  <c r="O6" i="11"/>
  <c r="O25" i="11" s="1"/>
  <c r="P6" i="11"/>
  <c r="Q6" i="11"/>
  <c r="R6" i="11"/>
  <c r="S6" i="11"/>
  <c r="T6" i="11"/>
  <c r="U6" i="11"/>
  <c r="V6" i="11"/>
  <c r="W6" i="11"/>
  <c r="W23" i="11" s="1"/>
  <c r="G20" i="1" s="1"/>
  <c r="X6" i="11"/>
  <c r="Y6" i="11"/>
  <c r="Z6" i="11"/>
  <c r="AA6" i="11"/>
  <c r="AB6" i="11"/>
  <c r="AC6" i="11"/>
  <c r="AC64" i="11" s="1"/>
  <c r="AD6" i="11"/>
  <c r="AE6" i="11"/>
  <c r="AE27" i="11" s="1"/>
  <c r="O26" i="1" s="1"/>
  <c r="AF6" i="11"/>
  <c r="AG6" i="11"/>
  <c r="Q5" i="1" s="1"/>
  <c r="AH6" i="11"/>
  <c r="AI6" i="11"/>
  <c r="AI64" i="11" s="1"/>
  <c r="AJ6" i="11"/>
  <c r="AK6" i="11"/>
  <c r="AK68" i="11" s="1"/>
  <c r="E8" i="11"/>
  <c r="G8" i="11"/>
  <c r="I8" i="11"/>
  <c r="K8" i="11"/>
  <c r="M8" i="11"/>
  <c r="O8" i="11"/>
  <c r="P8" i="11"/>
  <c r="Q8" i="11"/>
  <c r="R8" i="11"/>
  <c r="S8" i="11"/>
  <c r="T8" i="11"/>
  <c r="U8" i="11"/>
  <c r="V8" i="11"/>
  <c r="W8" i="11"/>
  <c r="X8" i="11"/>
  <c r="Y8" i="11"/>
  <c r="Z8" i="11"/>
  <c r="AA8" i="11"/>
  <c r="AB8" i="11"/>
  <c r="AC8" i="11"/>
  <c r="AD8" i="11"/>
  <c r="AE8" i="11"/>
  <c r="AF8" i="11"/>
  <c r="AG8" i="11"/>
  <c r="AH8" i="11"/>
  <c r="AI8" i="11"/>
  <c r="AJ8" i="11"/>
  <c r="AK8" i="11"/>
  <c r="E10" i="11"/>
  <c r="F10" i="11"/>
  <c r="G10" i="11"/>
  <c r="H10" i="11"/>
  <c r="I10" i="11"/>
  <c r="J10" i="11"/>
  <c r="K10" i="11"/>
  <c r="L10" i="11"/>
  <c r="L16" i="11" s="1"/>
  <c r="M10" i="11"/>
  <c r="N10" i="11"/>
  <c r="O10" i="11"/>
  <c r="P10" i="11"/>
  <c r="Q10" i="11"/>
  <c r="Q11" i="11"/>
  <c r="R10" i="11"/>
  <c r="S10" i="11"/>
  <c r="S16" i="11" s="1"/>
  <c r="T10" i="11"/>
  <c r="U10" i="11"/>
  <c r="V10" i="11"/>
  <c r="W10" i="11"/>
  <c r="X10" i="11"/>
  <c r="Y10" i="11"/>
  <c r="I6" i="1" s="1"/>
  <c r="Z10" i="11"/>
  <c r="AA10" i="11"/>
  <c r="AA16" i="11" s="1"/>
  <c r="AB10" i="11"/>
  <c r="AC10" i="11"/>
  <c r="AD10" i="11"/>
  <c r="N6" i="1"/>
  <c r="AE10" i="11"/>
  <c r="AF10" i="11"/>
  <c r="P6" i="1" s="1"/>
  <c r="AG10" i="11"/>
  <c r="AH10" i="11"/>
  <c r="R6" i="1" s="1"/>
  <c r="AI10" i="11"/>
  <c r="M6" i="2" s="1"/>
  <c r="AJ10" i="11"/>
  <c r="AK10" i="11"/>
  <c r="AO10" i="11"/>
  <c r="AP10" i="11"/>
  <c r="AP16" i="11" s="1"/>
  <c r="AQ10" i="11"/>
  <c r="AQ16" i="11" s="1"/>
  <c r="AR10" i="11"/>
  <c r="AS10" i="11"/>
  <c r="W6" i="2" s="1"/>
  <c r="W35" i="2" s="1"/>
  <c r="AT10" i="11"/>
  <c r="AU10" i="11"/>
  <c r="E20" i="11"/>
  <c r="F20" i="11"/>
  <c r="G20" i="11"/>
  <c r="G21" i="11"/>
  <c r="H20" i="11"/>
  <c r="I20" i="11"/>
  <c r="J20" i="11"/>
  <c r="K20" i="11"/>
  <c r="L20" i="11"/>
  <c r="M20" i="11"/>
  <c r="N20" i="11"/>
  <c r="O20" i="11"/>
  <c r="O21" i="11" s="1"/>
  <c r="P20" i="11"/>
  <c r="Q20" i="11"/>
  <c r="Q21" i="11" s="1"/>
  <c r="R20" i="11"/>
  <c r="S20" i="11"/>
  <c r="T20" i="11"/>
  <c r="U20" i="11"/>
  <c r="V20" i="11"/>
  <c r="W20" i="11"/>
  <c r="G16" i="1" s="1"/>
  <c r="X20" i="11"/>
  <c r="Y20" i="11"/>
  <c r="Z20" i="11"/>
  <c r="AA20" i="11"/>
  <c r="AB20" i="11"/>
  <c r="AC20" i="11"/>
  <c r="M16" i="1" s="1"/>
  <c r="AD20" i="11"/>
  <c r="AE20" i="11"/>
  <c r="O16" i="1" s="1"/>
  <c r="AF20" i="11"/>
  <c r="AG20" i="11"/>
  <c r="AG21" i="11" s="1"/>
  <c r="Q17" i="1" s="1"/>
  <c r="AH20" i="11"/>
  <c r="AI20" i="11"/>
  <c r="AJ20" i="11"/>
  <c r="AK20" i="11"/>
  <c r="U16" i="1" s="1"/>
  <c r="E22" i="11"/>
  <c r="E23" i="11" s="1"/>
  <c r="F22" i="11"/>
  <c r="G22" i="11"/>
  <c r="H22" i="11"/>
  <c r="I22" i="11"/>
  <c r="J22" i="11"/>
  <c r="K22" i="11"/>
  <c r="L22" i="11"/>
  <c r="M22" i="11"/>
  <c r="M23" i="11" s="1"/>
  <c r="N22" i="11"/>
  <c r="O22" i="11"/>
  <c r="P22" i="11"/>
  <c r="P23" i="11" s="1"/>
  <c r="Q22" i="11"/>
  <c r="R22" i="11"/>
  <c r="S22" i="11"/>
  <c r="T22" i="11"/>
  <c r="T23" i="11"/>
  <c r="U22" i="11"/>
  <c r="U23" i="11" s="1"/>
  <c r="V22" i="11"/>
  <c r="W22" i="11"/>
  <c r="G19" i="1" s="1"/>
  <c r="X22" i="11"/>
  <c r="Y22" i="11"/>
  <c r="Z22" i="11"/>
  <c r="AA22" i="11"/>
  <c r="AA23" i="11" s="1"/>
  <c r="K20" i="1" s="1"/>
  <c r="AB22" i="11"/>
  <c r="AC22" i="11"/>
  <c r="M19" i="1" s="1"/>
  <c r="AD22" i="11"/>
  <c r="AE22" i="11"/>
  <c r="AF22" i="11"/>
  <c r="AG22" i="11"/>
  <c r="AH22" i="11"/>
  <c r="AI22" i="11"/>
  <c r="AI23" i="11" s="1"/>
  <c r="S20" i="1" s="1"/>
  <c r="AJ22" i="11"/>
  <c r="AK22" i="11"/>
  <c r="AK23" i="11" s="1"/>
  <c r="U20" i="1" s="1"/>
  <c r="E24" i="11"/>
  <c r="F24" i="11"/>
  <c r="G24" i="11"/>
  <c r="H24" i="11"/>
  <c r="I24" i="11"/>
  <c r="J24" i="11"/>
  <c r="K24" i="11"/>
  <c r="L24" i="11"/>
  <c r="M24" i="11"/>
  <c r="N24" i="11"/>
  <c r="O24" i="11"/>
  <c r="P24" i="11"/>
  <c r="Q24" i="11"/>
  <c r="R24" i="11"/>
  <c r="S24" i="11"/>
  <c r="T24" i="11"/>
  <c r="T25" i="11" s="1"/>
  <c r="U24" i="11"/>
  <c r="U25" i="11"/>
  <c r="V24" i="11"/>
  <c r="W24" i="11"/>
  <c r="X24" i="11"/>
  <c r="Y24" i="11"/>
  <c r="I22" i="1" s="1"/>
  <c r="Z24" i="11"/>
  <c r="AA24" i="11"/>
  <c r="K22" i="1" s="1"/>
  <c r="AB24" i="11"/>
  <c r="AC24" i="11"/>
  <c r="AD24" i="11"/>
  <c r="AE24" i="11"/>
  <c r="O22" i="1" s="1"/>
  <c r="AF24" i="11"/>
  <c r="AG24" i="11"/>
  <c r="AH24" i="11"/>
  <c r="AI24" i="11"/>
  <c r="S22" i="1" s="1"/>
  <c r="AJ24" i="11"/>
  <c r="AJ25" i="11" s="1"/>
  <c r="T23" i="1" s="1"/>
  <c r="AK24" i="11"/>
  <c r="U22" i="1" s="1"/>
  <c r="E26" i="11"/>
  <c r="F26" i="11"/>
  <c r="G26" i="11"/>
  <c r="H26" i="11"/>
  <c r="I26" i="11"/>
  <c r="I27" i="11" s="1"/>
  <c r="J26" i="11"/>
  <c r="K26" i="11"/>
  <c r="L26" i="11"/>
  <c r="M26" i="11"/>
  <c r="M27" i="11" s="1"/>
  <c r="N26" i="11"/>
  <c r="O26" i="11"/>
  <c r="P26" i="11"/>
  <c r="Q26" i="11"/>
  <c r="Q27" i="11" s="1"/>
  <c r="R26" i="11"/>
  <c r="R27" i="11" s="1"/>
  <c r="S26" i="11"/>
  <c r="T26" i="11"/>
  <c r="U26" i="11"/>
  <c r="V26" i="11"/>
  <c r="W26" i="11"/>
  <c r="X26" i="11"/>
  <c r="Y26" i="11"/>
  <c r="Y27" i="11" s="1"/>
  <c r="I26" i="1" s="1"/>
  <c r="Z26" i="11"/>
  <c r="J25" i="1" s="1"/>
  <c r="AA26" i="11"/>
  <c r="K25" i="1" s="1"/>
  <c r="AB26" i="11"/>
  <c r="L25" i="1" s="1"/>
  <c r="AC26" i="11"/>
  <c r="AD26" i="11"/>
  <c r="AE26" i="11"/>
  <c r="AF26" i="11"/>
  <c r="P25" i="1" s="1"/>
  <c r="AG26" i="11"/>
  <c r="AG27" i="11" s="1"/>
  <c r="Q26" i="1" s="1"/>
  <c r="AH26" i="11"/>
  <c r="AH27" i="11" s="1"/>
  <c r="R26" i="1" s="1"/>
  <c r="AI26" i="11"/>
  <c r="AJ26" i="11"/>
  <c r="AK26" i="11"/>
  <c r="E29" i="11"/>
  <c r="F29" i="11"/>
  <c r="G29" i="11"/>
  <c r="G30" i="11" s="1"/>
  <c r="H29" i="11"/>
  <c r="I29" i="11"/>
  <c r="J29" i="11"/>
  <c r="K29" i="11"/>
  <c r="L29" i="11"/>
  <c r="M29" i="11"/>
  <c r="N29" i="11"/>
  <c r="O29" i="11"/>
  <c r="O30" i="11" s="1"/>
  <c r="P29" i="11"/>
  <c r="P30" i="11" s="1"/>
  <c r="Q29" i="11"/>
  <c r="Q30" i="11" s="1"/>
  <c r="R29" i="11"/>
  <c r="S29" i="11"/>
  <c r="T29" i="11"/>
  <c r="U29" i="11"/>
  <c r="V29" i="11"/>
  <c r="V30" i="11" s="1"/>
  <c r="W29" i="11"/>
  <c r="X29" i="11"/>
  <c r="Y29" i="11"/>
  <c r="I255" i="2" s="1"/>
  <c r="Z29" i="11"/>
  <c r="Z30" i="11" s="1"/>
  <c r="AA29" i="11"/>
  <c r="AB29" i="11"/>
  <c r="AB30" i="11" s="1"/>
  <c r="AC29" i="11"/>
  <c r="AD29" i="11"/>
  <c r="AE29" i="11"/>
  <c r="AF29" i="11"/>
  <c r="AG29" i="11"/>
  <c r="AH29" i="11"/>
  <c r="AH30" i="11" s="1"/>
  <c r="AI29" i="11"/>
  <c r="AI30" i="11" s="1"/>
  <c r="AJ29" i="11"/>
  <c r="AK29" i="11"/>
  <c r="E31" i="11"/>
  <c r="F31" i="11"/>
  <c r="G31" i="11"/>
  <c r="H31" i="11"/>
  <c r="I31" i="11"/>
  <c r="J31" i="11"/>
  <c r="K31" i="11"/>
  <c r="L31" i="11"/>
  <c r="M31" i="11"/>
  <c r="N31" i="11"/>
  <c r="O31" i="11"/>
  <c r="P31" i="11"/>
  <c r="Q31" i="11"/>
  <c r="R31" i="11"/>
  <c r="S31" i="11"/>
  <c r="T31" i="11"/>
  <c r="U31" i="11"/>
  <c r="V31" i="11"/>
  <c r="W31" i="11"/>
  <c r="X31" i="11"/>
  <c r="Y31" i="11"/>
  <c r="I247" i="2" s="1"/>
  <c r="Z31" i="11"/>
  <c r="AA31" i="11"/>
  <c r="AB31" i="11"/>
  <c r="AC31" i="11"/>
  <c r="J247" i="2" s="1"/>
  <c r="AD31" i="11"/>
  <c r="AE31" i="11"/>
  <c r="AF31" i="11"/>
  <c r="AG31" i="11"/>
  <c r="K247" i="2" s="1"/>
  <c r="AH31" i="11"/>
  <c r="L247" i="2" s="1"/>
  <c r="AI31" i="11"/>
  <c r="M247" i="2"/>
  <c r="AJ31" i="11"/>
  <c r="N247" i="2"/>
  <c r="AK31" i="11"/>
  <c r="O247" i="2" s="1"/>
  <c r="E32" i="11"/>
  <c r="F32" i="11"/>
  <c r="G32" i="11"/>
  <c r="H32" i="11"/>
  <c r="I32" i="11"/>
  <c r="J32" i="11"/>
  <c r="K32" i="11"/>
  <c r="L32" i="11"/>
  <c r="M32" i="11"/>
  <c r="N32" i="11"/>
  <c r="O32" i="11"/>
  <c r="P32" i="11"/>
  <c r="Q32" i="11"/>
  <c r="R32" i="11"/>
  <c r="S32" i="11"/>
  <c r="T32" i="11"/>
  <c r="U32" i="11"/>
  <c r="V32" i="11"/>
  <c r="W32" i="11"/>
  <c r="X32" i="11"/>
  <c r="Y32" i="11"/>
  <c r="I251" i="2" s="1"/>
  <c r="Z32" i="11"/>
  <c r="AA32" i="11"/>
  <c r="AB32" i="11"/>
  <c r="AC32" i="11"/>
  <c r="J251" i="2" s="1"/>
  <c r="AD32" i="11"/>
  <c r="AE32" i="11"/>
  <c r="AF32" i="11"/>
  <c r="AG32" i="11"/>
  <c r="K251" i="2" s="1"/>
  <c r="AH32" i="11"/>
  <c r="L251" i="2" s="1"/>
  <c r="AI32" i="11"/>
  <c r="M251" i="2" s="1"/>
  <c r="AJ32" i="11"/>
  <c r="N251" i="2"/>
  <c r="AK32" i="11"/>
  <c r="O251" i="2" s="1"/>
  <c r="E42" i="11"/>
  <c r="F42" i="11"/>
  <c r="G42" i="11"/>
  <c r="H42" i="11"/>
  <c r="I42" i="11"/>
  <c r="J42" i="11"/>
  <c r="K42" i="11"/>
  <c r="L42" i="11"/>
  <c r="M42" i="11"/>
  <c r="N42" i="11"/>
  <c r="O42" i="11"/>
  <c r="P42" i="11"/>
  <c r="Q42" i="11"/>
  <c r="R42" i="11"/>
  <c r="S42" i="11"/>
  <c r="T42" i="11"/>
  <c r="U42" i="11"/>
  <c r="V42" i="11"/>
  <c r="W42" i="11"/>
  <c r="G28" i="1" s="1"/>
  <c r="X42" i="11"/>
  <c r="Y42" i="11"/>
  <c r="I28" i="1" s="1"/>
  <c r="Z42" i="11"/>
  <c r="AA42" i="11"/>
  <c r="K28" i="1" s="1"/>
  <c r="K29" i="1" s="1"/>
  <c r="AB42" i="11"/>
  <c r="L28" i="1" s="1"/>
  <c r="AC42" i="11"/>
  <c r="AD42" i="11"/>
  <c r="AE42" i="11"/>
  <c r="O28" i="1" s="1"/>
  <c r="AF42" i="11"/>
  <c r="AG42" i="11"/>
  <c r="Q28" i="1" s="1"/>
  <c r="AH42" i="11"/>
  <c r="AI42" i="11"/>
  <c r="AJ42" i="11"/>
  <c r="T28" i="1" s="1"/>
  <c r="AK42" i="11"/>
  <c r="E44" i="11"/>
  <c r="F44" i="11"/>
  <c r="G44" i="11"/>
  <c r="H44" i="11"/>
  <c r="I44" i="11"/>
  <c r="J44" i="11"/>
  <c r="K44" i="11"/>
  <c r="L44" i="11"/>
  <c r="M44" i="11"/>
  <c r="N44" i="11"/>
  <c r="O44" i="11"/>
  <c r="P44" i="11"/>
  <c r="Q44" i="11"/>
  <c r="R44" i="11"/>
  <c r="S44" i="11"/>
  <c r="T44" i="11"/>
  <c r="U44" i="11"/>
  <c r="V44" i="11"/>
  <c r="W44" i="11"/>
  <c r="G31" i="1" s="1"/>
  <c r="X44" i="11"/>
  <c r="Y44" i="11"/>
  <c r="Z44" i="11"/>
  <c r="J31" i="1" s="1"/>
  <c r="AA44" i="11"/>
  <c r="AB44" i="11"/>
  <c r="AC44" i="11"/>
  <c r="AD44" i="11"/>
  <c r="N31" i="1" s="1"/>
  <c r="AE44" i="11"/>
  <c r="O31" i="1" s="1"/>
  <c r="AF44" i="11"/>
  <c r="AG44" i="11"/>
  <c r="Q31" i="1" s="1"/>
  <c r="Q32" i="1" s="1"/>
  <c r="AH44" i="11"/>
  <c r="R31" i="1" s="1"/>
  <c r="R32" i="1" s="1"/>
  <c r="AI44" i="11"/>
  <c r="AJ44" i="11"/>
  <c r="AK44" i="11"/>
  <c r="U31" i="1" s="1"/>
  <c r="E45" i="11"/>
  <c r="F45" i="11"/>
  <c r="G45" i="11"/>
  <c r="H45" i="11"/>
  <c r="I45" i="11"/>
  <c r="J45" i="11"/>
  <c r="K45" i="11"/>
  <c r="L45" i="11"/>
  <c r="M45" i="11"/>
  <c r="N45" i="11"/>
  <c r="O45" i="11"/>
  <c r="P45" i="11"/>
  <c r="Q45" i="11"/>
  <c r="R45" i="11"/>
  <c r="S45" i="11"/>
  <c r="T45" i="11"/>
  <c r="U45" i="11"/>
  <c r="V45" i="11"/>
  <c r="W45" i="11"/>
  <c r="X45" i="11"/>
  <c r="Y45" i="11"/>
  <c r="Z45" i="11"/>
  <c r="AA45" i="11"/>
  <c r="AB45" i="11"/>
  <c r="AC45" i="11"/>
  <c r="AD45" i="11"/>
  <c r="AE45" i="11"/>
  <c r="AF45" i="11"/>
  <c r="AG45" i="11"/>
  <c r="AH45" i="11"/>
  <c r="AI45" i="11"/>
  <c r="AJ45" i="11"/>
  <c r="AK45" i="11"/>
  <c r="E49" i="11"/>
  <c r="F49" i="11"/>
  <c r="G49" i="11"/>
  <c r="H49" i="11"/>
  <c r="H50" i="11" s="1"/>
  <c r="I49" i="11"/>
  <c r="J49" i="11"/>
  <c r="K49" i="11"/>
  <c r="L49" i="11"/>
  <c r="M49" i="11"/>
  <c r="N49" i="11"/>
  <c r="O49" i="11"/>
  <c r="P49" i="11"/>
  <c r="P50" i="11" s="1"/>
  <c r="Q49" i="11"/>
  <c r="R49" i="11"/>
  <c r="S49" i="11"/>
  <c r="T49" i="11"/>
  <c r="U49" i="11"/>
  <c r="V49" i="11"/>
  <c r="W49" i="11"/>
  <c r="X49" i="11"/>
  <c r="Y49" i="11"/>
  <c r="Z49" i="11"/>
  <c r="AA49" i="11"/>
  <c r="AB49" i="11"/>
  <c r="AC49" i="11"/>
  <c r="AD49" i="11"/>
  <c r="AE49" i="11"/>
  <c r="AF49" i="11"/>
  <c r="AG49" i="11"/>
  <c r="AH49" i="11"/>
  <c r="AI49" i="11"/>
  <c r="AJ49" i="11"/>
  <c r="AK49" i="11"/>
  <c r="E52" i="11"/>
  <c r="F52" i="11"/>
  <c r="G52" i="11"/>
  <c r="H52" i="11"/>
  <c r="I52" i="11"/>
  <c r="J52" i="11"/>
  <c r="K52" i="11"/>
  <c r="L52" i="11"/>
  <c r="M52" i="11"/>
  <c r="N52" i="11"/>
  <c r="O52" i="11"/>
  <c r="P52" i="11"/>
  <c r="Q52" i="11"/>
  <c r="R52" i="11"/>
  <c r="S52" i="11"/>
  <c r="T52" i="11"/>
  <c r="U52" i="11"/>
  <c r="V52" i="11"/>
  <c r="W52" i="11"/>
  <c r="X52" i="11"/>
  <c r="Y52" i="11"/>
  <c r="Z52" i="11"/>
  <c r="AA52" i="11"/>
  <c r="AB52" i="11"/>
  <c r="AC52" i="11"/>
  <c r="J279" i="2" s="1"/>
  <c r="AD52" i="11"/>
  <c r="AE52" i="11"/>
  <c r="AF52" i="11"/>
  <c r="AG52" i="11"/>
  <c r="AH52" i="11"/>
  <c r="AI52" i="11"/>
  <c r="AJ52" i="11"/>
  <c r="AK52" i="11"/>
  <c r="O279" i="2" s="1"/>
  <c r="E55" i="11"/>
  <c r="F55" i="11"/>
  <c r="G55" i="11"/>
  <c r="H55" i="11"/>
  <c r="I55" i="11"/>
  <c r="J55" i="11"/>
  <c r="K55" i="11"/>
  <c r="L55" i="11"/>
  <c r="M55" i="11"/>
  <c r="N55" i="11"/>
  <c r="O55" i="11"/>
  <c r="P55" i="11"/>
  <c r="Q55" i="11"/>
  <c r="R55" i="11"/>
  <c r="S55" i="11"/>
  <c r="T55" i="11"/>
  <c r="U55" i="11"/>
  <c r="V55" i="11"/>
  <c r="V56" i="11" s="1"/>
  <c r="W55" i="11"/>
  <c r="X55" i="11"/>
  <c r="Y55" i="11"/>
  <c r="Z55" i="11"/>
  <c r="AA55" i="11"/>
  <c r="AB55" i="11"/>
  <c r="AC55" i="11"/>
  <c r="AD55" i="11"/>
  <c r="AE55" i="11"/>
  <c r="AF55" i="11"/>
  <c r="AG55" i="11"/>
  <c r="AH55" i="11"/>
  <c r="AI55" i="11"/>
  <c r="AJ55" i="11"/>
  <c r="AK55" i="11"/>
  <c r="E58" i="11"/>
  <c r="F58" i="11"/>
  <c r="G58" i="11"/>
  <c r="H58" i="11"/>
  <c r="I58" i="11"/>
  <c r="J58" i="11"/>
  <c r="K58" i="11"/>
  <c r="L58" i="11"/>
  <c r="M58" i="11"/>
  <c r="N58" i="11"/>
  <c r="O58" i="11"/>
  <c r="P58" i="11"/>
  <c r="Q58" i="11"/>
  <c r="R58" i="11"/>
  <c r="S58" i="11"/>
  <c r="T58" i="11"/>
  <c r="U58" i="11"/>
  <c r="V58" i="11"/>
  <c r="W58" i="11"/>
  <c r="X58" i="11"/>
  <c r="Y58" i="11"/>
  <c r="Z58" i="11"/>
  <c r="AA58" i="11"/>
  <c r="AB58" i="11"/>
  <c r="AC58" i="11"/>
  <c r="J265" i="2" s="1"/>
  <c r="AD58" i="11"/>
  <c r="AE58" i="11"/>
  <c r="AF58" i="11"/>
  <c r="AG58" i="11"/>
  <c r="AH58" i="11"/>
  <c r="AI58" i="11"/>
  <c r="M265" i="2" s="1"/>
  <c r="AJ58" i="11"/>
  <c r="AK58" i="11"/>
  <c r="O265" i="2" s="1"/>
  <c r="E61" i="11"/>
  <c r="F61" i="11"/>
  <c r="G61" i="11"/>
  <c r="H61" i="11"/>
  <c r="I61" i="11"/>
  <c r="J61" i="11"/>
  <c r="K61" i="11"/>
  <c r="L61" i="11"/>
  <c r="L62" i="11" s="1"/>
  <c r="M61" i="11"/>
  <c r="N61" i="11"/>
  <c r="O61" i="11"/>
  <c r="P61" i="11"/>
  <c r="Q61" i="11"/>
  <c r="R61" i="11"/>
  <c r="S61" i="11"/>
  <c r="T61" i="11"/>
  <c r="T62" i="11" s="1"/>
  <c r="U61" i="11"/>
  <c r="V61" i="11"/>
  <c r="W61" i="11"/>
  <c r="X61" i="11"/>
  <c r="Y61" i="11"/>
  <c r="Z61" i="11"/>
  <c r="J34" i="1" s="1"/>
  <c r="AA61" i="11"/>
  <c r="K34" i="1" s="1"/>
  <c r="AB61" i="11"/>
  <c r="L34" i="1" s="1"/>
  <c r="AC61" i="11"/>
  <c r="AD61" i="11"/>
  <c r="AE61" i="11"/>
  <c r="O34" i="1" s="1"/>
  <c r="AF61" i="11"/>
  <c r="P34" i="1" s="1"/>
  <c r="AG61" i="11"/>
  <c r="Q34" i="1" s="1"/>
  <c r="Q35" i="1" s="1"/>
  <c r="AH61" i="11"/>
  <c r="R34" i="1" s="1"/>
  <c r="R35" i="1" s="1"/>
  <c r="AI61" i="11"/>
  <c r="AJ61" i="11"/>
  <c r="T34" i="1" s="1"/>
  <c r="AK61" i="11"/>
  <c r="E67" i="11"/>
  <c r="F67" i="11"/>
  <c r="F68" i="11" s="1"/>
  <c r="G67" i="11"/>
  <c r="H67" i="11"/>
  <c r="I67" i="11"/>
  <c r="J67" i="11"/>
  <c r="K67" i="11"/>
  <c r="L67" i="11"/>
  <c r="L68" i="11" s="1"/>
  <c r="M67" i="11"/>
  <c r="M68" i="11" s="1"/>
  <c r="N67" i="11"/>
  <c r="O67" i="11"/>
  <c r="P67" i="11"/>
  <c r="Q67" i="11"/>
  <c r="Q68" i="11" s="1"/>
  <c r="R67" i="11"/>
  <c r="S67" i="11"/>
  <c r="S68" i="11" s="1"/>
  <c r="T67" i="11"/>
  <c r="T68" i="11" s="1"/>
  <c r="U67" i="11"/>
  <c r="U68" i="11" s="1"/>
  <c r="V67" i="11"/>
  <c r="W67" i="11"/>
  <c r="X67" i="11"/>
  <c r="H37" i="1" s="1"/>
  <c r="Y67" i="11"/>
  <c r="I37" i="1" s="1"/>
  <c r="Z67" i="11"/>
  <c r="J37" i="1" s="1"/>
  <c r="AA67" i="11"/>
  <c r="K37" i="1" s="1"/>
  <c r="AB67" i="11"/>
  <c r="AB68" i="11" s="1"/>
  <c r="AC67" i="11"/>
  <c r="AD67" i="11"/>
  <c r="AD68" i="11" s="1"/>
  <c r="AE67" i="11"/>
  <c r="AF67" i="11"/>
  <c r="AG67" i="11"/>
  <c r="AH67" i="11"/>
  <c r="R37" i="1" s="1"/>
  <c r="AI67" i="11"/>
  <c r="AI68" i="11" s="1"/>
  <c r="AJ67" i="11"/>
  <c r="AK67" i="11"/>
  <c r="AO67" i="11"/>
  <c r="AO68" i="11" s="1"/>
  <c r="AP67" i="11"/>
  <c r="AQ67" i="11"/>
  <c r="AQ68" i="11" s="1"/>
  <c r="AR67" i="11"/>
  <c r="AR68" i="11" s="1"/>
  <c r="AS67" i="11"/>
  <c r="AS68" i="11" s="1"/>
  <c r="AT67" i="11"/>
  <c r="AT68" i="11" s="1"/>
  <c r="AU67" i="11"/>
  <c r="E69" i="11"/>
  <c r="E70" i="11" s="1"/>
  <c r="F69" i="11"/>
  <c r="F70" i="11" s="1"/>
  <c r="G69" i="11"/>
  <c r="H69" i="11"/>
  <c r="H70" i="11" s="1"/>
  <c r="I69" i="11"/>
  <c r="J69" i="11"/>
  <c r="K69" i="11"/>
  <c r="K70" i="11" s="1"/>
  <c r="L69" i="11"/>
  <c r="M69" i="11"/>
  <c r="N69" i="11"/>
  <c r="O69" i="11"/>
  <c r="P69" i="11"/>
  <c r="Q69" i="11"/>
  <c r="R69" i="11"/>
  <c r="S69" i="11"/>
  <c r="S70" i="11" s="1"/>
  <c r="T69" i="11"/>
  <c r="U69" i="11"/>
  <c r="U70" i="11" s="1"/>
  <c r="V69" i="11"/>
  <c r="W69" i="11"/>
  <c r="X69" i="11"/>
  <c r="X70" i="11" s="1"/>
  <c r="Y69" i="11"/>
  <c r="I38" i="1" s="1"/>
  <c r="Z69" i="11"/>
  <c r="J38" i="1" s="1"/>
  <c r="AA69" i="11"/>
  <c r="K38" i="1" s="1"/>
  <c r="AB69" i="11"/>
  <c r="L38" i="1" s="1"/>
  <c r="AC69" i="11"/>
  <c r="AD69" i="11"/>
  <c r="AE69" i="11"/>
  <c r="O38" i="1" s="1"/>
  <c r="AF69" i="11"/>
  <c r="P38" i="1" s="1"/>
  <c r="AG69" i="11"/>
  <c r="AH69" i="11"/>
  <c r="R38" i="1" s="1"/>
  <c r="AI69" i="11"/>
  <c r="AJ69" i="11"/>
  <c r="AK69" i="11"/>
  <c r="U38" i="1" s="1"/>
  <c r="AO69" i="11"/>
  <c r="AP69" i="11"/>
  <c r="AP70" i="11" s="1"/>
  <c r="AQ69" i="11"/>
  <c r="AQ70" i="11" s="1"/>
  <c r="AR69" i="11"/>
  <c r="AR70" i="11" s="1"/>
  <c r="AS69" i="11"/>
  <c r="AT69" i="11"/>
  <c r="AU69" i="11"/>
  <c r="AU70" i="11"/>
  <c r="E71" i="11"/>
  <c r="F71" i="11"/>
  <c r="G71" i="11"/>
  <c r="G74" i="11" s="1"/>
  <c r="G56" i="11" s="1"/>
  <c r="H71" i="11"/>
  <c r="I71" i="11"/>
  <c r="J71" i="11"/>
  <c r="K71" i="11"/>
  <c r="L71" i="11"/>
  <c r="L72" i="11" s="1"/>
  <c r="M71" i="11"/>
  <c r="N71" i="11"/>
  <c r="O71" i="11"/>
  <c r="O74" i="11" s="1"/>
  <c r="P71" i="11"/>
  <c r="Q71" i="11"/>
  <c r="R71" i="11"/>
  <c r="S71" i="11"/>
  <c r="T71" i="11"/>
  <c r="U71" i="11"/>
  <c r="U74" i="11" s="1"/>
  <c r="V71" i="11"/>
  <c r="F39" i="1" s="1"/>
  <c r="W71" i="11"/>
  <c r="X71" i="11"/>
  <c r="Y71" i="11"/>
  <c r="Z71" i="11"/>
  <c r="J39" i="1" s="1"/>
  <c r="AA71" i="11"/>
  <c r="K39" i="1" s="1"/>
  <c r="AB71" i="11"/>
  <c r="AC71" i="11"/>
  <c r="M39" i="1" s="1"/>
  <c r="AD71" i="11"/>
  <c r="AE71" i="11"/>
  <c r="AF71" i="11"/>
  <c r="AG71" i="11"/>
  <c r="AH71" i="11"/>
  <c r="R39" i="1" s="1"/>
  <c r="AI71" i="11"/>
  <c r="S39" i="1" s="1"/>
  <c r="AJ71" i="11"/>
  <c r="T39" i="1" s="1"/>
  <c r="AK71" i="11"/>
  <c r="F76" i="11"/>
  <c r="G76" i="11"/>
  <c r="H76" i="11"/>
  <c r="I76" i="11"/>
  <c r="J76" i="11"/>
  <c r="J77" i="11" s="1"/>
  <c r="K76" i="11"/>
  <c r="L76" i="11"/>
  <c r="M76" i="11"/>
  <c r="N76" i="11"/>
  <c r="O76" i="11"/>
  <c r="P76" i="11"/>
  <c r="Q76" i="11"/>
  <c r="R76" i="11"/>
  <c r="R77" i="11" s="1"/>
  <c r="S76" i="11"/>
  <c r="T76" i="11"/>
  <c r="U76" i="11"/>
  <c r="V76" i="11"/>
  <c r="F42" i="1" s="1"/>
  <c r="W76" i="11"/>
  <c r="X76" i="11"/>
  <c r="Y76" i="11"/>
  <c r="I42" i="1" s="1"/>
  <c r="Z76" i="11"/>
  <c r="J42" i="1" s="1"/>
  <c r="AA76" i="11"/>
  <c r="K42" i="1" s="1"/>
  <c r="AB76" i="11"/>
  <c r="AC76" i="11"/>
  <c r="AD76" i="11"/>
  <c r="AE76" i="11"/>
  <c r="O42" i="1" s="1"/>
  <c r="AF76" i="11"/>
  <c r="AG76" i="11"/>
  <c r="Q42" i="1" s="1"/>
  <c r="AH76" i="11"/>
  <c r="AI76" i="11"/>
  <c r="S42" i="1" s="1"/>
  <c r="AJ76" i="11"/>
  <c r="AK76" i="11"/>
  <c r="E81" i="11"/>
  <c r="F81" i="11"/>
  <c r="G81" i="11"/>
  <c r="H81" i="11"/>
  <c r="I81" i="11"/>
  <c r="J81" i="11"/>
  <c r="K81" i="11"/>
  <c r="L81" i="11"/>
  <c r="M81" i="11"/>
  <c r="N81" i="11"/>
  <c r="O81" i="11"/>
  <c r="P81" i="11"/>
  <c r="Q81" i="11"/>
  <c r="Q82" i="11" s="1"/>
  <c r="R81" i="11"/>
  <c r="S81" i="11"/>
  <c r="T81" i="11"/>
  <c r="U81" i="11"/>
  <c r="V81" i="11"/>
  <c r="F45" i="1"/>
  <c r="W81" i="11"/>
  <c r="X81" i="11"/>
  <c r="H45" i="1" s="1"/>
  <c r="Y81" i="11"/>
  <c r="I45" i="1" s="1"/>
  <c r="Z81" i="11"/>
  <c r="AA81" i="11"/>
  <c r="AB81" i="11"/>
  <c r="AC81" i="11"/>
  <c r="M45" i="1" s="1"/>
  <c r="AD81" i="11"/>
  <c r="N45" i="1" s="1"/>
  <c r="AE81" i="11"/>
  <c r="O45" i="1" s="1"/>
  <c r="AF81" i="11"/>
  <c r="P45" i="1" s="1"/>
  <c r="AG81" i="11"/>
  <c r="AH81" i="11"/>
  <c r="R45" i="1" s="1"/>
  <c r="AI81" i="11"/>
  <c r="S45" i="1" s="1"/>
  <c r="AJ81" i="11"/>
  <c r="AK81" i="11"/>
  <c r="U45" i="1" s="1"/>
  <c r="E92" i="11"/>
  <c r="E102" i="11"/>
  <c r="F92" i="11"/>
  <c r="G92" i="11"/>
  <c r="G102" i="11" s="1"/>
  <c r="H92" i="11"/>
  <c r="H89" i="12" s="1"/>
  <c r="I92" i="11"/>
  <c r="I102" i="11"/>
  <c r="J92" i="11"/>
  <c r="K92" i="11"/>
  <c r="K102" i="11"/>
  <c r="L92" i="11"/>
  <c r="L102" i="11" s="1"/>
  <c r="M92" i="11"/>
  <c r="M102" i="11" s="1"/>
  <c r="N92" i="11"/>
  <c r="O92" i="11"/>
  <c r="O102" i="11"/>
  <c r="P92" i="11"/>
  <c r="P102" i="11" s="1"/>
  <c r="Q92" i="11"/>
  <c r="Q102" i="11" s="1"/>
  <c r="R92" i="11"/>
  <c r="R102" i="11" s="1"/>
  <c r="S92" i="11"/>
  <c r="S102" i="11" s="1"/>
  <c r="T92" i="11"/>
  <c r="T102" i="11" s="1"/>
  <c r="U92" i="11"/>
  <c r="U102" i="11" s="1"/>
  <c r="V92" i="11"/>
  <c r="V102" i="11"/>
  <c r="W92" i="11"/>
  <c r="W102" i="11" s="1"/>
  <c r="X92" i="11"/>
  <c r="X102" i="11" s="1"/>
  <c r="Y92" i="11"/>
  <c r="Y102" i="11" s="1"/>
  <c r="Z92" i="11"/>
  <c r="Z102" i="11"/>
  <c r="AA92" i="11"/>
  <c r="AA102" i="11" s="1"/>
  <c r="AB92" i="11"/>
  <c r="AB102" i="11" s="1"/>
  <c r="AC92" i="11"/>
  <c r="AC102" i="11" s="1"/>
  <c r="AD92" i="11"/>
  <c r="AD102" i="11" s="1"/>
  <c r="AE92" i="11"/>
  <c r="AE102" i="11" s="1"/>
  <c r="AF92" i="11"/>
  <c r="AF102" i="11" s="1"/>
  <c r="AG92" i="11"/>
  <c r="AG102" i="11"/>
  <c r="AH92" i="11"/>
  <c r="AH102" i="11" s="1"/>
  <c r="AI92" i="11"/>
  <c r="AI102" i="11" s="1"/>
  <c r="AJ92" i="11"/>
  <c r="AJ102" i="11" s="1"/>
  <c r="AK92" i="11"/>
  <c r="AK102" i="11"/>
  <c r="E95" i="11"/>
  <c r="E101" i="11" s="1"/>
  <c r="F95" i="11"/>
  <c r="G95" i="11"/>
  <c r="H95" i="11"/>
  <c r="H96" i="11" s="1"/>
  <c r="I95" i="11"/>
  <c r="I101" i="11" s="1"/>
  <c r="J95" i="11"/>
  <c r="K95" i="11"/>
  <c r="L95" i="11"/>
  <c r="P96" i="11" s="1"/>
  <c r="M95" i="11"/>
  <c r="M101" i="11" s="1"/>
  <c r="N95" i="11"/>
  <c r="O95" i="11"/>
  <c r="P95" i="11"/>
  <c r="Q95" i="11"/>
  <c r="R95" i="11"/>
  <c r="S95" i="11"/>
  <c r="T95" i="11"/>
  <c r="X96" i="11" s="1"/>
  <c r="U95" i="11"/>
  <c r="V95" i="11"/>
  <c r="W95" i="11"/>
  <c r="X95" i="11"/>
  <c r="Y95" i="11"/>
  <c r="Z95" i="11"/>
  <c r="AA95" i="11"/>
  <c r="AB95" i="11"/>
  <c r="AB96" i="11" s="1"/>
  <c r="AC95" i="11"/>
  <c r="AD95" i="11"/>
  <c r="AH96" i="11" s="1"/>
  <c r="AE95" i="11"/>
  <c r="AF95" i="11"/>
  <c r="AG95" i="11"/>
  <c r="AH95" i="11"/>
  <c r="E97" i="11"/>
  <c r="E98" i="11" s="1"/>
  <c r="F97" i="11"/>
  <c r="J98" i="11" s="1"/>
  <c r="G97" i="11"/>
  <c r="H97" i="11"/>
  <c r="H98" i="11" s="1"/>
  <c r="I97" i="11"/>
  <c r="J97" i="11"/>
  <c r="K97" i="11"/>
  <c r="L97" i="11"/>
  <c r="M97" i="11"/>
  <c r="N97" i="11"/>
  <c r="R98" i="11" s="1"/>
  <c r="O97" i="11"/>
  <c r="P97" i="11"/>
  <c r="Q97" i="11"/>
  <c r="Q98" i="11" s="1"/>
  <c r="R97" i="11"/>
  <c r="S97" i="11"/>
  <c r="S98" i="11" s="1"/>
  <c r="T97" i="11"/>
  <c r="U97" i="11"/>
  <c r="U98" i="11" s="1"/>
  <c r="V97" i="11"/>
  <c r="W97" i="11"/>
  <c r="X97" i="11"/>
  <c r="Y97" i="11"/>
  <c r="Z97" i="11"/>
  <c r="AA97" i="11"/>
  <c r="AB97" i="11"/>
  <c r="AC97" i="11"/>
  <c r="AD97" i="11"/>
  <c r="AH98" i="11" s="1"/>
  <c r="AE97" i="11"/>
  <c r="AF97" i="11"/>
  <c r="AF98" i="11" s="1"/>
  <c r="AG97" i="11"/>
  <c r="AH97" i="11"/>
  <c r="AO102" i="11"/>
  <c r="AP102" i="11"/>
  <c r="AQ102" i="11"/>
  <c r="AR102" i="11"/>
  <c r="AS102" i="11"/>
  <c r="AT102" i="11"/>
  <c r="AU102" i="11"/>
  <c r="E7" i="12"/>
  <c r="F7" i="12"/>
  <c r="G7" i="12"/>
  <c r="H7" i="12"/>
  <c r="I7" i="12"/>
  <c r="J7" i="12"/>
  <c r="K7" i="12"/>
  <c r="L7" i="12"/>
  <c r="M7" i="12"/>
  <c r="N7" i="12"/>
  <c r="O7" i="12"/>
  <c r="P7" i="12"/>
  <c r="Q7" i="12"/>
  <c r="R7" i="12"/>
  <c r="S7" i="12"/>
  <c r="T7" i="12"/>
  <c r="U7" i="12"/>
  <c r="V7" i="12"/>
  <c r="W7" i="12"/>
  <c r="X7" i="12"/>
  <c r="Y7" i="12"/>
  <c r="Z7" i="12"/>
  <c r="Z41" i="12" s="1"/>
  <c r="AA7" i="12"/>
  <c r="AB7" i="12"/>
  <c r="AB41" i="12"/>
  <c r="AC7" i="12"/>
  <c r="AD7" i="12"/>
  <c r="AD41" i="12" s="1"/>
  <c r="AD89" i="12" s="1"/>
  <c r="AE7" i="12"/>
  <c r="AF7" i="12"/>
  <c r="AF41" i="12" s="1"/>
  <c r="AG7" i="12"/>
  <c r="AH7" i="12"/>
  <c r="AI7" i="12"/>
  <c r="AJ7" i="12"/>
  <c r="AK7" i="12"/>
  <c r="E8" i="12"/>
  <c r="F8" i="12"/>
  <c r="G8" i="12"/>
  <c r="H8" i="12"/>
  <c r="I8" i="12"/>
  <c r="J8" i="12"/>
  <c r="K8" i="12"/>
  <c r="L8" i="12"/>
  <c r="M8" i="12"/>
  <c r="N8" i="12"/>
  <c r="O8" i="12"/>
  <c r="P8" i="12"/>
  <c r="Q8" i="12"/>
  <c r="R8" i="12"/>
  <c r="S8" i="12"/>
  <c r="T8" i="12"/>
  <c r="U8" i="12"/>
  <c r="V8" i="12"/>
  <c r="W8" i="12"/>
  <c r="X8" i="12"/>
  <c r="Y8" i="12"/>
  <c r="Z8" i="12"/>
  <c r="AA8" i="12"/>
  <c r="AB8" i="12"/>
  <c r="AC8" i="12"/>
  <c r="AD8" i="12"/>
  <c r="AE8" i="12"/>
  <c r="AF8" i="12"/>
  <c r="AG8" i="12"/>
  <c r="AH8" i="12"/>
  <c r="AI8" i="12"/>
  <c r="AJ8" i="12"/>
  <c r="AK8" i="12"/>
  <c r="E13" i="12"/>
  <c r="F13" i="12"/>
  <c r="G13" i="12"/>
  <c r="H13" i="12"/>
  <c r="I13" i="12"/>
  <c r="J13" i="12"/>
  <c r="K13" i="12"/>
  <c r="L13" i="12"/>
  <c r="M13" i="12"/>
  <c r="N13" i="12"/>
  <c r="O13" i="12"/>
  <c r="P13" i="12"/>
  <c r="Q13" i="12"/>
  <c r="R13" i="12"/>
  <c r="S13" i="12"/>
  <c r="T13" i="12"/>
  <c r="U13" i="12"/>
  <c r="V13" i="12"/>
  <c r="W13" i="12"/>
  <c r="X13" i="12"/>
  <c r="Y13" i="12"/>
  <c r="Z13" i="12"/>
  <c r="AA13" i="12"/>
  <c r="AB13" i="12"/>
  <c r="AC13" i="12"/>
  <c r="AD13" i="12"/>
  <c r="AE13" i="12"/>
  <c r="AF13" i="12"/>
  <c r="AG13" i="12"/>
  <c r="AH13" i="12"/>
  <c r="AI13" i="12"/>
  <c r="AI12" i="12" s="1"/>
  <c r="AJ13" i="12"/>
  <c r="AK13" i="12"/>
  <c r="E14" i="12"/>
  <c r="F14" i="12"/>
  <c r="G14" i="12"/>
  <c r="H14" i="12"/>
  <c r="I14" i="12"/>
  <c r="J14" i="12"/>
  <c r="K14" i="12"/>
  <c r="L14" i="12"/>
  <c r="M14" i="12"/>
  <c r="N14" i="12"/>
  <c r="O14" i="12"/>
  <c r="P14" i="12"/>
  <c r="Q14" i="12"/>
  <c r="R14" i="12"/>
  <c r="R12" i="12" s="1"/>
  <c r="S14" i="12"/>
  <c r="T14" i="12"/>
  <c r="U14" i="12"/>
  <c r="V14" i="12"/>
  <c r="W14" i="12"/>
  <c r="X14" i="12"/>
  <c r="X12" i="12" s="1"/>
  <c r="Y14" i="12"/>
  <c r="Z14" i="12"/>
  <c r="AA14" i="12"/>
  <c r="AB14" i="12"/>
  <c r="AC14" i="12"/>
  <c r="AD14" i="12"/>
  <c r="AE14" i="12"/>
  <c r="AF14" i="12"/>
  <c r="AF13" i="11" s="1"/>
  <c r="AG14" i="12"/>
  <c r="AH14" i="12"/>
  <c r="AI14" i="12"/>
  <c r="AJ14" i="12"/>
  <c r="AK14" i="12"/>
  <c r="E15" i="12"/>
  <c r="F15" i="12"/>
  <c r="G15" i="12"/>
  <c r="G12" i="12" s="1"/>
  <c r="H15" i="12"/>
  <c r="I15" i="12"/>
  <c r="J15" i="12"/>
  <c r="K15" i="12"/>
  <c r="K13" i="11" s="1"/>
  <c r="L15" i="12"/>
  <c r="M15" i="12"/>
  <c r="N15" i="12"/>
  <c r="O15" i="12"/>
  <c r="O13" i="11" s="1"/>
  <c r="P15" i="12"/>
  <c r="Q15" i="12"/>
  <c r="R15" i="12"/>
  <c r="S15" i="12"/>
  <c r="T15" i="12"/>
  <c r="T13" i="11" s="1"/>
  <c r="T35" i="11" s="1"/>
  <c r="T38" i="11" s="1"/>
  <c r="T39" i="11" s="1"/>
  <c r="U15" i="12"/>
  <c r="V15" i="12"/>
  <c r="V13" i="11" s="1"/>
  <c r="W15" i="12"/>
  <c r="W12" i="12" s="1"/>
  <c r="X15" i="12"/>
  <c r="Y15" i="12"/>
  <c r="Y13" i="11"/>
  <c r="Z15" i="12"/>
  <c r="AA15" i="12"/>
  <c r="AB15" i="12"/>
  <c r="AC15" i="12"/>
  <c r="AD15" i="12"/>
  <c r="AD13" i="11" s="1"/>
  <c r="AE15" i="12"/>
  <c r="AF15" i="12"/>
  <c r="AG15" i="12"/>
  <c r="AG13" i="11" s="1"/>
  <c r="AH15" i="12"/>
  <c r="AI15" i="12"/>
  <c r="AJ15" i="12"/>
  <c r="AK15" i="12"/>
  <c r="E16" i="12"/>
  <c r="F16" i="12"/>
  <c r="G16" i="12"/>
  <c r="H16" i="12"/>
  <c r="I16" i="12"/>
  <c r="J16" i="12"/>
  <c r="K16" i="12"/>
  <c r="L16" i="12"/>
  <c r="M16" i="12"/>
  <c r="N16" i="12"/>
  <c r="O16" i="12"/>
  <c r="P16" i="12"/>
  <c r="Q16" i="12"/>
  <c r="R16" i="12"/>
  <c r="S16" i="12"/>
  <c r="T16" i="12"/>
  <c r="U16" i="12"/>
  <c r="V16" i="12"/>
  <c r="W16" i="12"/>
  <c r="X16" i="12"/>
  <c r="Y16" i="12"/>
  <c r="Z16" i="12"/>
  <c r="AA16" i="12"/>
  <c r="AB16" i="12"/>
  <c r="AC16" i="12"/>
  <c r="AD16" i="12"/>
  <c r="AE16" i="12"/>
  <c r="AF16" i="12"/>
  <c r="AG16" i="12"/>
  <c r="AH16" i="12"/>
  <c r="AI16" i="12"/>
  <c r="AJ16" i="12"/>
  <c r="AK16" i="12"/>
  <c r="E17" i="12"/>
  <c r="F17" i="12"/>
  <c r="G17" i="12"/>
  <c r="H17" i="12"/>
  <c r="I17" i="12"/>
  <c r="J17" i="12"/>
  <c r="K17" i="12"/>
  <c r="L17" i="12"/>
  <c r="M17" i="12"/>
  <c r="N17" i="12"/>
  <c r="O17" i="12"/>
  <c r="P17" i="12"/>
  <c r="Q17" i="12"/>
  <c r="R17" i="12"/>
  <c r="S17" i="12"/>
  <c r="T17" i="12"/>
  <c r="U17" i="12"/>
  <c r="V17" i="12"/>
  <c r="W17" i="12"/>
  <c r="X17" i="12"/>
  <c r="Y17" i="12"/>
  <c r="Z17" i="12"/>
  <c r="AA17" i="12"/>
  <c r="AB17" i="12"/>
  <c r="AC17" i="12"/>
  <c r="AD17" i="12"/>
  <c r="AE17" i="12"/>
  <c r="AF17" i="12"/>
  <c r="AG17" i="12"/>
  <c r="AH17" i="12"/>
  <c r="AI17" i="12"/>
  <c r="AJ17" i="12"/>
  <c r="AK17" i="12"/>
  <c r="E18" i="12"/>
  <c r="F18" i="12"/>
  <c r="G18" i="12"/>
  <c r="H18" i="12"/>
  <c r="I18" i="12"/>
  <c r="J18" i="12"/>
  <c r="K18" i="12"/>
  <c r="L18" i="12"/>
  <c r="M18" i="12"/>
  <c r="N18" i="12"/>
  <c r="O18" i="12"/>
  <c r="P18" i="12"/>
  <c r="Q18" i="12"/>
  <c r="R18" i="12"/>
  <c r="S18" i="12"/>
  <c r="T18" i="12"/>
  <c r="U18" i="12"/>
  <c r="V18" i="12"/>
  <c r="W18" i="12"/>
  <c r="X18" i="12"/>
  <c r="Y18" i="12"/>
  <c r="Z18" i="12"/>
  <c r="AA18" i="12"/>
  <c r="AB18" i="12"/>
  <c r="AC18" i="12"/>
  <c r="AD18" i="12"/>
  <c r="AE18" i="12"/>
  <c r="AF18" i="12"/>
  <c r="AG18" i="12"/>
  <c r="AH18" i="12"/>
  <c r="AI18" i="12"/>
  <c r="AJ18" i="12"/>
  <c r="AK18" i="12"/>
  <c r="E20" i="12"/>
  <c r="F20" i="12"/>
  <c r="G20" i="12"/>
  <c r="H20" i="12"/>
  <c r="I20" i="12"/>
  <c r="J20" i="12"/>
  <c r="K20" i="12"/>
  <c r="L20" i="12"/>
  <c r="M20" i="12"/>
  <c r="N20" i="12"/>
  <c r="O20" i="12"/>
  <c r="P20" i="12"/>
  <c r="Q20" i="12"/>
  <c r="R20" i="12"/>
  <c r="R19" i="12" s="1"/>
  <c r="S20" i="12"/>
  <c r="T20" i="12"/>
  <c r="U20" i="12"/>
  <c r="V20" i="12"/>
  <c r="W20" i="12"/>
  <c r="X20" i="12"/>
  <c r="Y20" i="12"/>
  <c r="Z20" i="12"/>
  <c r="AA20" i="12"/>
  <c r="AB20" i="12"/>
  <c r="AC20" i="12"/>
  <c r="AD20" i="12"/>
  <c r="AE20" i="12"/>
  <c r="AF20" i="12"/>
  <c r="AG20" i="12"/>
  <c r="AH20" i="12"/>
  <c r="AH19" i="12" s="1"/>
  <c r="AI20" i="12"/>
  <c r="AJ20" i="12"/>
  <c r="AJ19" i="12" s="1"/>
  <c r="AK20" i="12"/>
  <c r="E21" i="12"/>
  <c r="F21" i="12"/>
  <c r="G21" i="12"/>
  <c r="H21" i="12"/>
  <c r="I21" i="12"/>
  <c r="J21" i="12"/>
  <c r="K21" i="12"/>
  <c r="L21" i="12"/>
  <c r="M21" i="12"/>
  <c r="N21" i="12"/>
  <c r="O21" i="12"/>
  <c r="P21" i="12"/>
  <c r="P19" i="12" s="1"/>
  <c r="Q21" i="12"/>
  <c r="R21" i="12"/>
  <c r="S21" i="12"/>
  <c r="T21" i="12"/>
  <c r="U21" i="12"/>
  <c r="V21" i="12"/>
  <c r="W21" i="12"/>
  <c r="X21" i="12"/>
  <c r="X19" i="12" s="1"/>
  <c r="Y21" i="12"/>
  <c r="Z21" i="12"/>
  <c r="AA21" i="12"/>
  <c r="AB21" i="12"/>
  <c r="AC21" i="12"/>
  <c r="AD21" i="12"/>
  <c r="AE21" i="12"/>
  <c r="AF21" i="12"/>
  <c r="AG21" i="12"/>
  <c r="AH21" i="12"/>
  <c r="AI21" i="12"/>
  <c r="AJ21" i="12"/>
  <c r="AK21" i="12"/>
  <c r="E22" i="12"/>
  <c r="F22" i="12"/>
  <c r="G22" i="12"/>
  <c r="H22" i="12"/>
  <c r="I22" i="12"/>
  <c r="J22" i="12"/>
  <c r="K22" i="12"/>
  <c r="L22" i="12"/>
  <c r="M22" i="12"/>
  <c r="N22" i="12"/>
  <c r="O22" i="12"/>
  <c r="P22" i="12"/>
  <c r="Q22" i="12"/>
  <c r="R22" i="12"/>
  <c r="S22" i="12"/>
  <c r="T22" i="12"/>
  <c r="U22" i="12"/>
  <c r="V22" i="12"/>
  <c r="V19" i="12" s="1"/>
  <c r="W22" i="12"/>
  <c r="X22" i="12"/>
  <c r="Y22" i="12"/>
  <c r="Z22" i="12"/>
  <c r="AA22" i="12"/>
  <c r="AB22" i="12"/>
  <c r="AC22" i="12"/>
  <c r="AD22" i="12"/>
  <c r="AE22" i="12"/>
  <c r="AF22" i="12"/>
  <c r="AG22" i="12"/>
  <c r="AH22" i="12"/>
  <c r="AI22" i="12"/>
  <c r="AJ22" i="12"/>
  <c r="AK22" i="12"/>
  <c r="E23" i="12"/>
  <c r="E19" i="12" s="1"/>
  <c r="F23" i="12"/>
  <c r="G23" i="12"/>
  <c r="H23" i="12"/>
  <c r="I23" i="12"/>
  <c r="J23" i="12"/>
  <c r="K23" i="12"/>
  <c r="L23" i="12"/>
  <c r="M23" i="12"/>
  <c r="N23" i="12"/>
  <c r="O23" i="12"/>
  <c r="P23" i="12"/>
  <c r="Q23" i="12"/>
  <c r="R23" i="12"/>
  <c r="S23" i="12"/>
  <c r="T23" i="12"/>
  <c r="U23" i="12"/>
  <c r="U19" i="12" s="1"/>
  <c r="V23" i="12"/>
  <c r="W23" i="12"/>
  <c r="X23" i="12"/>
  <c r="Y23" i="12"/>
  <c r="Z23" i="12"/>
  <c r="AA23" i="12"/>
  <c r="AB23" i="12"/>
  <c r="AC23" i="12"/>
  <c r="AC19" i="12" s="1"/>
  <c r="AD23" i="12"/>
  <c r="AE23" i="12"/>
  <c r="AF23" i="12"/>
  <c r="AG23" i="12"/>
  <c r="AH23" i="12"/>
  <c r="AI23" i="12"/>
  <c r="AJ23" i="12"/>
  <c r="AK23" i="12"/>
  <c r="AK19" i="12" s="1"/>
  <c r="E24" i="12"/>
  <c r="F24" i="12"/>
  <c r="G24" i="12"/>
  <c r="H24" i="12"/>
  <c r="I24" i="12"/>
  <c r="J24" i="12"/>
  <c r="K24" i="12"/>
  <c r="L24" i="12"/>
  <c r="M24" i="12"/>
  <c r="N24" i="12"/>
  <c r="O24" i="12"/>
  <c r="P24" i="12"/>
  <c r="Q24" i="12"/>
  <c r="R24" i="12"/>
  <c r="S24" i="12"/>
  <c r="T24" i="12"/>
  <c r="T19" i="12" s="1"/>
  <c r="T41" i="12" s="1"/>
  <c r="T89" i="12" s="1"/>
  <c r="U24" i="12"/>
  <c r="V24" i="12"/>
  <c r="W24" i="12"/>
  <c r="X24" i="12"/>
  <c r="Y24" i="12"/>
  <c r="Z24" i="12"/>
  <c r="AA24" i="12"/>
  <c r="AB24" i="12"/>
  <c r="AC24" i="12"/>
  <c r="AD24" i="12"/>
  <c r="AE24" i="12"/>
  <c r="AF24" i="12"/>
  <c r="AG24" i="12"/>
  <c r="AH24" i="12"/>
  <c r="AI24" i="12"/>
  <c r="AJ24" i="12"/>
  <c r="AK24" i="12"/>
  <c r="E25" i="12"/>
  <c r="F25" i="12"/>
  <c r="G25" i="12"/>
  <c r="H25" i="12"/>
  <c r="I25" i="12"/>
  <c r="J25" i="12"/>
  <c r="K25" i="12"/>
  <c r="L25" i="12"/>
  <c r="M25" i="12"/>
  <c r="N25" i="12"/>
  <c r="O25" i="12"/>
  <c r="P25" i="12"/>
  <c r="Q25" i="12"/>
  <c r="R25" i="12"/>
  <c r="S25" i="12"/>
  <c r="T25" i="12"/>
  <c r="U25" i="12"/>
  <c r="V25" i="12"/>
  <c r="W25" i="12"/>
  <c r="X25" i="12"/>
  <c r="Y25" i="12"/>
  <c r="Z25" i="12"/>
  <c r="AA25" i="12"/>
  <c r="AA19" i="12" s="1"/>
  <c r="AB25" i="12"/>
  <c r="AC25" i="12"/>
  <c r="AD25" i="12"/>
  <c r="AE25" i="12"/>
  <c r="AF25" i="12"/>
  <c r="AG25" i="12"/>
  <c r="AH25" i="12"/>
  <c r="AI25" i="12"/>
  <c r="AI19" i="12" s="1"/>
  <c r="AJ25" i="12"/>
  <c r="AK25" i="12"/>
  <c r="E27" i="12"/>
  <c r="F27" i="12"/>
  <c r="G27" i="12"/>
  <c r="H27" i="12"/>
  <c r="I27" i="12"/>
  <c r="J27" i="12"/>
  <c r="K27" i="12"/>
  <c r="L27" i="12"/>
  <c r="M27" i="12"/>
  <c r="N27" i="12"/>
  <c r="O27" i="12"/>
  <c r="P27" i="12"/>
  <c r="Q27" i="12"/>
  <c r="R27" i="12"/>
  <c r="R26" i="12" s="1"/>
  <c r="S27" i="12"/>
  <c r="T27" i="12"/>
  <c r="U27" i="12"/>
  <c r="V27" i="12"/>
  <c r="W27" i="12"/>
  <c r="X27" i="12"/>
  <c r="Y27" i="12"/>
  <c r="Z27" i="12"/>
  <c r="AA27" i="12"/>
  <c r="AB27" i="12"/>
  <c r="AC27" i="12"/>
  <c r="AD27" i="12"/>
  <c r="AE27" i="12"/>
  <c r="AF27" i="12"/>
  <c r="AG27" i="12"/>
  <c r="AH27" i="12"/>
  <c r="AH26" i="12" s="1"/>
  <c r="AH41" i="12" s="1"/>
  <c r="AI27" i="12"/>
  <c r="AJ27" i="12"/>
  <c r="AK27" i="12"/>
  <c r="E28" i="12"/>
  <c r="F28" i="12"/>
  <c r="G28" i="12"/>
  <c r="G26" i="12" s="1"/>
  <c r="H28" i="12"/>
  <c r="I28" i="12"/>
  <c r="J28" i="12"/>
  <c r="K28" i="12"/>
  <c r="L28" i="12"/>
  <c r="M28" i="12"/>
  <c r="N28" i="12"/>
  <c r="O28" i="12"/>
  <c r="P28" i="12"/>
  <c r="P26" i="12" s="1"/>
  <c r="Q28" i="12"/>
  <c r="R28" i="12"/>
  <c r="S28" i="12"/>
  <c r="T28" i="12"/>
  <c r="U28" i="12"/>
  <c r="V28" i="12"/>
  <c r="W28" i="12"/>
  <c r="W26" i="12"/>
  <c r="X28" i="12"/>
  <c r="Y28" i="12"/>
  <c r="Z28" i="12"/>
  <c r="AA28" i="12"/>
  <c r="AB28" i="12"/>
  <c r="AC28" i="12"/>
  <c r="AD28" i="12"/>
  <c r="AE28" i="12"/>
  <c r="AE26" i="12" s="1"/>
  <c r="AF28" i="12"/>
  <c r="AG28" i="12"/>
  <c r="AH28" i="12"/>
  <c r="AI28" i="12"/>
  <c r="AJ28" i="12"/>
  <c r="AK28" i="12"/>
  <c r="E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AI33" i="12"/>
  <c r="AJ33" i="12"/>
  <c r="AK33" i="12"/>
  <c r="E40" i="12"/>
  <c r="F40" i="12"/>
  <c r="G40" i="12"/>
  <c r="H40" i="12"/>
  <c r="I40" i="12"/>
  <c r="J40" i="12"/>
  <c r="K40" i="12"/>
  <c r="L40" i="12"/>
  <c r="M40" i="12"/>
  <c r="M26" i="12" s="1"/>
  <c r="N40" i="12"/>
  <c r="O40" i="12"/>
  <c r="P40" i="12"/>
  <c r="Q40" i="12"/>
  <c r="Q26" i="12" s="1"/>
  <c r="R40" i="12"/>
  <c r="S40" i="12"/>
  <c r="T40" i="12"/>
  <c r="U40" i="12"/>
  <c r="V40" i="12"/>
  <c r="W40" i="12"/>
  <c r="X40" i="12"/>
  <c r="Y40" i="12"/>
  <c r="Z40" i="12"/>
  <c r="AA40" i="12"/>
  <c r="AB40" i="12"/>
  <c r="AC40" i="12"/>
  <c r="AC26" i="12" s="1"/>
  <c r="AD40" i="12"/>
  <c r="AE40" i="12"/>
  <c r="AF40" i="12"/>
  <c r="AG40" i="12"/>
  <c r="AG26" i="12" s="1"/>
  <c r="AH40" i="12"/>
  <c r="AI40" i="12"/>
  <c r="AJ40" i="12"/>
  <c r="AK40" i="12"/>
  <c r="AK26" i="12" s="1"/>
  <c r="E44" i="12"/>
  <c r="F44" i="12"/>
  <c r="G44" i="12"/>
  <c r="H44" i="12"/>
  <c r="I44" i="12"/>
  <c r="J44" i="12"/>
  <c r="K44" i="12"/>
  <c r="L44" i="12"/>
  <c r="M44" i="12"/>
  <c r="N44" i="12"/>
  <c r="O44" i="12"/>
  <c r="P44" i="12"/>
  <c r="Q44" i="12"/>
  <c r="R44" i="12"/>
  <c r="S44" i="12"/>
  <c r="T44" i="12"/>
  <c r="U44" i="12"/>
  <c r="V44" i="12"/>
  <c r="W44" i="12"/>
  <c r="X44" i="12"/>
  <c r="Y44" i="12"/>
  <c r="Z44" i="12"/>
  <c r="AA44" i="12"/>
  <c r="AB44" i="12"/>
  <c r="AC44" i="12"/>
  <c r="AD44" i="12"/>
  <c r="AE44" i="12"/>
  <c r="AF44" i="12"/>
  <c r="AG44" i="12"/>
  <c r="AH44" i="12"/>
  <c r="AI44" i="12"/>
  <c r="AJ44" i="12"/>
  <c r="AK44" i="12"/>
  <c r="E53" i="12"/>
  <c r="F53" i="12"/>
  <c r="G53" i="12"/>
  <c r="H53" i="12"/>
  <c r="I53" i="12"/>
  <c r="J53" i="12"/>
  <c r="K53" i="12"/>
  <c r="L53" i="12"/>
  <c r="M53" i="12"/>
  <c r="N53" i="12"/>
  <c r="O53" i="12"/>
  <c r="P53" i="12"/>
  <c r="Q53" i="12"/>
  <c r="R53" i="12"/>
  <c r="S53" i="12"/>
  <c r="T53" i="12"/>
  <c r="U53" i="12"/>
  <c r="V53" i="12"/>
  <c r="W53" i="12"/>
  <c r="X53" i="12"/>
  <c r="Y53" i="12"/>
  <c r="Z53" i="12"/>
  <c r="AA53" i="12"/>
  <c r="AB53" i="12"/>
  <c r="AC53" i="12"/>
  <c r="AD53" i="12"/>
  <c r="AE53" i="12"/>
  <c r="AF53" i="12"/>
  <c r="AG53" i="12"/>
  <c r="AH53" i="12"/>
  <c r="AI53" i="12"/>
  <c r="AJ53" i="12"/>
  <c r="AK53" i="12"/>
  <c r="E59" i="12"/>
  <c r="F59" i="12"/>
  <c r="G59" i="12"/>
  <c r="H59" i="12"/>
  <c r="I59" i="12"/>
  <c r="J59" i="12"/>
  <c r="K59" i="12"/>
  <c r="L59" i="12"/>
  <c r="M59" i="12"/>
  <c r="N59" i="12"/>
  <c r="O59" i="12"/>
  <c r="P59" i="12"/>
  <c r="Q59" i="12"/>
  <c r="R59" i="12"/>
  <c r="S59" i="12"/>
  <c r="T59" i="12"/>
  <c r="U59" i="12"/>
  <c r="V59" i="12"/>
  <c r="W59" i="12"/>
  <c r="X59" i="12"/>
  <c r="Y59" i="12"/>
  <c r="Z59" i="12"/>
  <c r="AA59" i="12"/>
  <c r="AB59" i="12"/>
  <c r="AC59" i="12"/>
  <c r="AD59" i="12"/>
  <c r="AE59" i="12"/>
  <c r="AF59" i="12"/>
  <c r="AG59" i="12"/>
  <c r="AH59" i="12"/>
  <c r="AI59" i="12"/>
  <c r="AJ59" i="12"/>
  <c r="AK59" i="12"/>
  <c r="AM59" i="12"/>
  <c r="AN59" i="12"/>
  <c r="AO59" i="12"/>
  <c r="AP59" i="12"/>
  <c r="AQ59" i="12"/>
  <c r="AR59" i="12"/>
  <c r="AS59" i="12"/>
  <c r="AT59" i="12"/>
  <c r="AU59" i="12"/>
  <c r="E61" i="12"/>
  <c r="F61" i="12"/>
  <c r="G61" i="12"/>
  <c r="H61" i="12"/>
  <c r="I61" i="12"/>
  <c r="J61" i="12"/>
  <c r="K61" i="12"/>
  <c r="L61" i="12"/>
  <c r="M61" i="12"/>
  <c r="N61" i="12"/>
  <c r="O61" i="12"/>
  <c r="P61" i="12"/>
  <c r="Q61" i="12"/>
  <c r="R61" i="12"/>
  <c r="S61" i="12"/>
  <c r="T61" i="12"/>
  <c r="U61" i="12"/>
  <c r="V61" i="12"/>
  <c r="W61" i="12"/>
  <c r="X61" i="12"/>
  <c r="Y61" i="12"/>
  <c r="Z61" i="12"/>
  <c r="AA61" i="12"/>
  <c r="AB61" i="12"/>
  <c r="AC61" i="12"/>
  <c r="AD61" i="12"/>
  <c r="AE61" i="12"/>
  <c r="AF61" i="12"/>
  <c r="AG61" i="12"/>
  <c r="AH61" i="12"/>
  <c r="AI61" i="12"/>
  <c r="AJ61" i="12"/>
  <c r="AK61" i="12"/>
  <c r="E62" i="12"/>
  <c r="F62" i="12"/>
  <c r="G62" i="12"/>
  <c r="H62" i="12"/>
  <c r="I62" i="12"/>
  <c r="J62" i="12"/>
  <c r="K62" i="12"/>
  <c r="L62" i="12"/>
  <c r="M62" i="12"/>
  <c r="N62" i="12"/>
  <c r="O62" i="12"/>
  <c r="P62" i="12"/>
  <c r="Q62" i="12"/>
  <c r="R62" i="12"/>
  <c r="S62" i="12"/>
  <c r="T62" i="12"/>
  <c r="U62" i="12"/>
  <c r="V62" i="12"/>
  <c r="W62" i="12"/>
  <c r="X62" i="12"/>
  <c r="Y62" i="12"/>
  <c r="Z62" i="12"/>
  <c r="AA62" i="12"/>
  <c r="AB62" i="12"/>
  <c r="AC62" i="12"/>
  <c r="AD62" i="12"/>
  <c r="AE62" i="12"/>
  <c r="AF62" i="12"/>
  <c r="AG62" i="12"/>
  <c r="AH62" i="12"/>
  <c r="AI62" i="12"/>
  <c r="AJ62" i="12"/>
  <c r="AK62" i="12"/>
  <c r="E67" i="12"/>
  <c r="F67" i="12"/>
  <c r="G67" i="12"/>
  <c r="H67" i="12"/>
  <c r="I67" i="12"/>
  <c r="J67" i="12"/>
  <c r="K67" i="12"/>
  <c r="L67" i="12"/>
  <c r="M67" i="12"/>
  <c r="N67" i="12"/>
  <c r="O67" i="12"/>
  <c r="P67" i="12"/>
  <c r="Q67" i="12"/>
  <c r="R67" i="12"/>
  <c r="S67" i="12"/>
  <c r="T67" i="12"/>
  <c r="U67" i="12"/>
  <c r="U77" i="12"/>
  <c r="V67" i="12"/>
  <c r="W67" i="12"/>
  <c r="X67" i="12"/>
  <c r="Y67" i="12"/>
  <c r="Z67" i="12"/>
  <c r="AA67" i="12"/>
  <c r="AB67" i="12"/>
  <c r="AC67" i="12"/>
  <c r="AC77" i="12" s="1"/>
  <c r="AD67" i="12"/>
  <c r="AE67" i="12"/>
  <c r="AF67" i="12"/>
  <c r="AG67" i="12"/>
  <c r="AH67" i="12"/>
  <c r="AI67" i="12"/>
  <c r="AJ67" i="12"/>
  <c r="AK67" i="12"/>
  <c r="AK77" i="12" s="1"/>
  <c r="E68" i="12"/>
  <c r="F68" i="12"/>
  <c r="G68" i="12"/>
  <c r="H68" i="12"/>
  <c r="I68" i="12"/>
  <c r="J68" i="12"/>
  <c r="K68" i="12"/>
  <c r="L68" i="12"/>
  <c r="M68" i="12"/>
  <c r="N68" i="12"/>
  <c r="O68" i="12"/>
  <c r="P68" i="12"/>
  <c r="Q68" i="12"/>
  <c r="R68" i="12"/>
  <c r="S68" i="12"/>
  <c r="S77" i="12" s="1"/>
  <c r="T68" i="12"/>
  <c r="U68" i="12"/>
  <c r="V68" i="12"/>
  <c r="W68" i="12"/>
  <c r="X68" i="12"/>
  <c r="Y68" i="12"/>
  <c r="Z68" i="12"/>
  <c r="AA68" i="12"/>
  <c r="AA77" i="12" s="1"/>
  <c r="AB68" i="12"/>
  <c r="AC68" i="12"/>
  <c r="AD68" i="12"/>
  <c r="AE68" i="12"/>
  <c r="AF68" i="12"/>
  <c r="AG68" i="12"/>
  <c r="AH68" i="12"/>
  <c r="AI68" i="12"/>
  <c r="AJ68" i="12"/>
  <c r="AK68" i="12"/>
  <c r="AN69" i="12"/>
  <c r="AO69" i="12"/>
  <c r="AP69" i="12"/>
  <c r="AQ69" i="12"/>
  <c r="AR69" i="12"/>
  <c r="AS69" i="12"/>
  <c r="AT69" i="12"/>
  <c r="AU69" i="12"/>
  <c r="E74" i="12"/>
  <c r="F74" i="12"/>
  <c r="G74" i="12"/>
  <c r="H74" i="12"/>
  <c r="I74" i="12"/>
  <c r="J74" i="12"/>
  <c r="K74" i="12"/>
  <c r="L74" i="12"/>
  <c r="M74" i="12"/>
  <c r="M77" i="12" s="1"/>
  <c r="N74" i="12"/>
  <c r="O74" i="12"/>
  <c r="P74" i="12"/>
  <c r="Q74" i="12"/>
  <c r="R74" i="12"/>
  <c r="S74" i="12"/>
  <c r="T74" i="12"/>
  <c r="U74" i="12"/>
  <c r="V74" i="12"/>
  <c r="W74" i="12"/>
  <c r="X74" i="12"/>
  <c r="Y74" i="12"/>
  <c r="Z74" i="12"/>
  <c r="AA74" i="12"/>
  <c r="AB74" i="12"/>
  <c r="AC74" i="12"/>
  <c r="AD74" i="12"/>
  <c r="AE74" i="12"/>
  <c r="AF74" i="12"/>
  <c r="AG74" i="12"/>
  <c r="AH74" i="12"/>
  <c r="AI74" i="12"/>
  <c r="AJ74" i="12"/>
  <c r="AK74" i="12"/>
  <c r="E76" i="12"/>
  <c r="F76" i="12"/>
  <c r="G76" i="12"/>
  <c r="H76" i="12"/>
  <c r="I76" i="12"/>
  <c r="J76" i="12"/>
  <c r="K76" i="12"/>
  <c r="L76" i="12"/>
  <c r="M76" i="12"/>
  <c r="N76" i="12"/>
  <c r="O76" i="12"/>
  <c r="P76" i="12"/>
  <c r="Q76" i="12"/>
  <c r="Q77" i="12" s="1"/>
  <c r="R76" i="12"/>
  <c r="S76" i="12"/>
  <c r="T76" i="12"/>
  <c r="U76" i="12"/>
  <c r="V76" i="12"/>
  <c r="W76" i="12"/>
  <c r="X76" i="12"/>
  <c r="Y76" i="12"/>
  <c r="Z76" i="12"/>
  <c r="AA76" i="12"/>
  <c r="AB76" i="12"/>
  <c r="AC76" i="12"/>
  <c r="AD76" i="12"/>
  <c r="AE76" i="12"/>
  <c r="AF76" i="12"/>
  <c r="AG76" i="12"/>
  <c r="AH76" i="12"/>
  <c r="AI76" i="12"/>
  <c r="AJ76" i="12"/>
  <c r="AK76" i="12"/>
  <c r="E81" i="12"/>
  <c r="G81" i="12"/>
  <c r="I81" i="12"/>
  <c r="K81" i="12"/>
  <c r="M81" i="12"/>
  <c r="O81" i="12"/>
  <c r="P81" i="12"/>
  <c r="Q81" i="12"/>
  <c r="R81" i="12"/>
  <c r="S81" i="12"/>
  <c r="T81" i="12"/>
  <c r="U81" i="12"/>
  <c r="V81" i="12"/>
  <c r="W81" i="12"/>
  <c r="X81" i="12"/>
  <c r="Y81" i="12"/>
  <c r="AA81" i="12"/>
  <c r="AC81" i="12"/>
  <c r="AE81" i="12"/>
  <c r="AF81" i="12"/>
  <c r="AG81" i="12"/>
  <c r="AH81" i="12"/>
  <c r="AI81" i="12"/>
  <c r="AJ81" i="12"/>
  <c r="AK81" i="12"/>
  <c r="J84" i="2"/>
  <c r="N84" i="2"/>
  <c r="N85" i="2" s="1"/>
  <c r="K72" i="2"/>
  <c r="P72" i="2" s="1"/>
  <c r="AL10" i="10" s="1"/>
  <c r="J72" i="2"/>
  <c r="AB4" i="12"/>
  <c r="AL59" i="12"/>
  <c r="AL37" i="10"/>
  <c r="AL58" i="12" s="1"/>
  <c r="AM69" i="12"/>
  <c r="AM37" i="10"/>
  <c r="AN37" i="10"/>
  <c r="AO58" i="12" s="1"/>
  <c r="AO37" i="10"/>
  <c r="AQ37" i="10"/>
  <c r="AU37" i="10"/>
  <c r="AL52" i="12"/>
  <c r="AM45" i="12"/>
  <c r="AN52" i="12"/>
  <c r="AM52" i="12"/>
  <c r="V39" i="1"/>
  <c r="AL45" i="12"/>
  <c r="AL69" i="12"/>
  <c r="AN45" i="12"/>
  <c r="AM17" i="12"/>
  <c r="W39" i="1"/>
  <c r="X39" i="1"/>
  <c r="I200" i="2"/>
  <c r="P180" i="2"/>
  <c r="AL18" i="12"/>
  <c r="AL57" i="12"/>
  <c r="AM18" i="12"/>
  <c r="Q180" i="2"/>
  <c r="AO18" i="12"/>
  <c r="AN18" i="12"/>
  <c r="AP18" i="12"/>
  <c r="AT37" i="10"/>
  <c r="AP37" i="10"/>
  <c r="AQ58" i="12" s="1"/>
  <c r="AS37" i="10"/>
  <c r="AR37" i="10"/>
  <c r="R180" i="2"/>
  <c r="AO16" i="12"/>
  <c r="AO15" i="12"/>
  <c r="AP16" i="12"/>
  <c r="AO57" i="12"/>
  <c r="AN57" i="12"/>
  <c r="Z22" i="1"/>
  <c r="AP24" i="11" s="1"/>
  <c r="AP25" i="11" s="1"/>
  <c r="Y22" i="1"/>
  <c r="AO24" i="11" s="1"/>
  <c r="AO25" i="11" s="1"/>
  <c r="AM57" i="12"/>
  <c r="AQ18" i="12"/>
  <c r="AP57" i="12"/>
  <c r="S180" i="2"/>
  <c r="S265" i="2"/>
  <c r="AO58" i="11" s="1"/>
  <c r="AO54" i="12"/>
  <c r="Y25" i="1"/>
  <c r="AO26" i="11" s="1"/>
  <c r="AA22" i="1"/>
  <c r="AQ24" i="11" s="1"/>
  <c r="AQ25" i="11" s="1"/>
  <c r="Y19" i="1"/>
  <c r="AO22" i="11" s="1"/>
  <c r="AO23" i="11"/>
  <c r="Y16" i="1"/>
  <c r="AO20" i="11" s="1"/>
  <c r="AO21" i="11" s="1"/>
  <c r="AQ16" i="12"/>
  <c r="AQ54" i="12"/>
  <c r="AR18" i="12"/>
  <c r="AR15" i="12" s="1"/>
  <c r="AQ57" i="12"/>
  <c r="AO55" i="12"/>
  <c r="T180" i="2"/>
  <c r="AP54" i="12"/>
  <c r="Z25" i="1"/>
  <c r="AP26" i="11" s="1"/>
  <c r="AP27" i="11" s="1"/>
  <c r="AB22" i="1"/>
  <c r="AR24" i="11"/>
  <c r="AR25" i="11" s="1"/>
  <c r="Z19" i="1"/>
  <c r="AP22" i="11" s="1"/>
  <c r="Z16" i="1"/>
  <c r="AP20" i="11"/>
  <c r="AP21" i="11" s="1"/>
  <c r="AR54" i="12"/>
  <c r="AR16" i="12"/>
  <c r="AS18" i="12"/>
  <c r="AR57" i="12"/>
  <c r="AP55" i="12"/>
  <c r="U180" i="2"/>
  <c r="AA25" i="1"/>
  <c r="AQ26" i="11" s="1"/>
  <c r="AQ27" i="11" s="1"/>
  <c r="AC22" i="1"/>
  <c r="AS24" i="11" s="1"/>
  <c r="AS25" i="11" s="1"/>
  <c r="AA19" i="1"/>
  <c r="AQ22" i="11"/>
  <c r="AQ23" i="11" s="1"/>
  <c r="AA16" i="1"/>
  <c r="AQ20" i="11"/>
  <c r="AQ21" i="11" s="1"/>
  <c r="AS16" i="12"/>
  <c r="AO14" i="12"/>
  <c r="AS54" i="12"/>
  <c r="AU18" i="12"/>
  <c r="AT18" i="12"/>
  <c r="AS57" i="12"/>
  <c r="AQ55" i="12"/>
  <c r="V180" i="2"/>
  <c r="V265" i="2"/>
  <c r="AR58" i="11"/>
  <c r="AB25" i="1"/>
  <c r="AR26" i="11" s="1"/>
  <c r="AR27" i="11" s="1"/>
  <c r="AD22" i="1"/>
  <c r="AT24" i="11"/>
  <c r="AT25" i="11" s="1"/>
  <c r="AE22" i="1"/>
  <c r="AU24" i="11" s="1"/>
  <c r="AU25" i="11" s="1"/>
  <c r="AB19" i="1"/>
  <c r="AR22" i="11" s="1"/>
  <c r="AR23" i="11" s="1"/>
  <c r="AB16" i="1"/>
  <c r="AR20" i="11"/>
  <c r="AR21" i="11" s="1"/>
  <c r="AP14" i="12"/>
  <c r="AT16" i="12"/>
  <c r="AU16" i="12"/>
  <c r="AT54" i="12"/>
  <c r="AU57" i="12"/>
  <c r="AT57" i="12"/>
  <c r="AR55" i="12"/>
  <c r="W180" i="2"/>
  <c r="AC25" i="1"/>
  <c r="AS26" i="11" s="1"/>
  <c r="AS27" i="11" s="1"/>
  <c r="AC19" i="1"/>
  <c r="AS22" i="11" s="1"/>
  <c r="AS23" i="11" s="1"/>
  <c r="AC16" i="1"/>
  <c r="AS20" i="11"/>
  <c r="AS21" i="11" s="1"/>
  <c r="AU54" i="12"/>
  <c r="AQ14" i="12"/>
  <c r="AS55" i="12"/>
  <c r="Y180" i="2"/>
  <c r="Y265" i="2"/>
  <c r="AU58" i="11" s="1"/>
  <c r="X180" i="2"/>
  <c r="X265" i="2"/>
  <c r="AT58" i="11"/>
  <c r="AD25" i="1"/>
  <c r="AT26" i="11" s="1"/>
  <c r="AT27" i="11" s="1"/>
  <c r="AE25" i="1"/>
  <c r="AU26" i="11"/>
  <c r="AU27" i="11" s="1"/>
  <c r="AD19" i="1"/>
  <c r="AT22" i="11" s="1"/>
  <c r="AT23" i="11" s="1"/>
  <c r="AE19" i="1"/>
  <c r="AU22" i="11" s="1"/>
  <c r="AU23" i="11" s="1"/>
  <c r="AE16" i="1"/>
  <c r="AU20" i="11" s="1"/>
  <c r="AU21" i="11" s="1"/>
  <c r="AD16" i="1"/>
  <c r="AT20" i="11"/>
  <c r="AT21" i="11" s="1"/>
  <c r="AR14" i="12"/>
  <c r="AT55" i="12"/>
  <c r="AS14" i="12"/>
  <c r="AU55" i="12"/>
  <c r="AT14" i="12"/>
  <c r="AU14" i="12"/>
  <c r="AU13" i="11" s="1"/>
  <c r="AO61" i="11"/>
  <c r="K105" i="2"/>
  <c r="M147" i="2"/>
  <c r="M148" i="2" s="1"/>
  <c r="L39" i="2"/>
  <c r="AL28" i="10"/>
  <c r="AM28" i="10" s="1"/>
  <c r="AN28" i="10" s="1"/>
  <c r="AO28" i="10" s="1"/>
  <c r="AP28" i="10" s="1"/>
  <c r="AQ28" i="10" s="1"/>
  <c r="AR28" i="10" s="1"/>
  <c r="AS28" i="10" s="1"/>
  <c r="AT28" i="10" s="1"/>
  <c r="AU28" i="10" s="1"/>
  <c r="T4" i="11"/>
  <c r="T4" i="12"/>
  <c r="I21" i="2"/>
  <c r="I19" i="1"/>
  <c r="O131" i="2"/>
  <c r="I35" i="2"/>
  <c r="AA4" i="12"/>
  <c r="J197" i="2"/>
  <c r="N4" i="11"/>
  <c r="N173" i="2"/>
  <c r="R28" i="1"/>
  <c r="L279" i="2"/>
  <c r="K200" i="2"/>
  <c r="P197" i="2"/>
  <c r="P200" i="2" s="1"/>
  <c r="Q197" i="2" s="1"/>
  <c r="K150" i="2"/>
  <c r="I150" i="2"/>
  <c r="L105" i="2"/>
  <c r="U4" i="11"/>
  <c r="H22" i="1"/>
  <c r="AA4" i="11"/>
  <c r="K4" i="1" s="1"/>
  <c r="K13" i="1" s="1"/>
  <c r="P31" i="1"/>
  <c r="S16" i="1"/>
  <c r="Z4" i="12"/>
  <c r="Z4" i="11"/>
  <c r="K4" i="11"/>
  <c r="P4" i="12"/>
  <c r="K161" i="2"/>
  <c r="J170" i="2"/>
  <c r="O43" i="2"/>
  <c r="L244" i="2"/>
  <c r="L242" i="2" s="1"/>
  <c r="M241" i="2"/>
  <c r="AQ7" i="11"/>
  <c r="O25" i="1"/>
  <c r="T70" i="11"/>
  <c r="N88" i="2"/>
  <c r="N89" i="2"/>
  <c r="I115" i="2"/>
  <c r="O139" i="2"/>
  <c r="O140" i="2" s="1"/>
  <c r="K147" i="2"/>
  <c r="K148" i="2"/>
  <c r="M143" i="2"/>
  <c r="M144" i="2" s="1"/>
  <c r="M146" i="2" s="1"/>
  <c r="L42" i="1"/>
  <c r="J19" i="1"/>
  <c r="O4" i="11"/>
  <c r="O4" i="12"/>
  <c r="AG101" i="11"/>
  <c r="U37" i="1"/>
  <c r="K5" i="1"/>
  <c r="J4" i="12"/>
  <c r="J4" i="11"/>
  <c r="G25" i="1"/>
  <c r="G6" i="1"/>
  <c r="U39" i="1"/>
  <c r="AK65" i="11"/>
  <c r="N22" i="1"/>
  <c r="L4" i="11"/>
  <c r="L4" i="12"/>
  <c r="AK74" i="11"/>
  <c r="AK50" i="11" s="1"/>
  <c r="L206" i="2"/>
  <c r="L205" i="2" s="1"/>
  <c r="M204" i="2"/>
  <c r="S5" i="2"/>
  <c r="AI4" i="12"/>
  <c r="AI4" i="11"/>
  <c r="M38" i="1"/>
  <c r="F28" i="1"/>
  <c r="T38" i="1"/>
  <c r="AJ70" i="11"/>
  <c r="T31" i="1"/>
  <c r="M102" i="2"/>
  <c r="M103" i="2"/>
  <c r="L35" i="2"/>
  <c r="O39" i="2"/>
  <c r="O40" i="2" s="1"/>
  <c r="K55" i="2"/>
  <c r="O170" i="2"/>
  <c r="AA68" i="11"/>
  <c r="M5" i="2"/>
  <c r="S5" i="1"/>
  <c r="K16" i="1"/>
  <c r="AA21" i="11"/>
  <c r="K17" i="1" s="1"/>
  <c r="R22" i="1"/>
  <c r="S11" i="11"/>
  <c r="S64" i="11"/>
  <c r="J215" i="2"/>
  <c r="R4" i="11"/>
  <c r="T5" i="2"/>
  <c r="M96" i="11"/>
  <c r="O118" i="2"/>
  <c r="O119" i="2" s="1"/>
  <c r="L89" i="12"/>
  <c r="F22" i="1"/>
  <c r="V25" i="11"/>
  <c r="F23" i="1" s="1"/>
  <c r="P28" i="1"/>
  <c r="K265" i="2"/>
  <c r="T5" i="1"/>
  <c r="N5" i="2"/>
  <c r="AJ30" i="11"/>
  <c r="AJ11" i="11"/>
  <c r="AB16" i="11"/>
  <c r="L170" i="2"/>
  <c r="M161" i="2"/>
  <c r="R42" i="1"/>
  <c r="AL85" i="12"/>
  <c r="P231" i="2"/>
  <c r="W4" i="11"/>
  <c r="W4" i="12"/>
  <c r="AQ11" i="11"/>
  <c r="U5" i="2"/>
  <c r="AP7" i="11"/>
  <c r="AJ4" i="11"/>
  <c r="AJ4" i="12"/>
  <c r="I4" i="11"/>
  <c r="I4" i="12"/>
  <c r="L45" i="1"/>
  <c r="Q23" i="11"/>
  <c r="Q16" i="11"/>
  <c r="J68" i="11"/>
  <c r="S4" i="12"/>
  <c r="S4" i="11"/>
  <c r="H19" i="1"/>
  <c r="AB70" i="11"/>
  <c r="Q70" i="11"/>
  <c r="T42" i="1"/>
  <c r="L74" i="11"/>
  <c r="L59" i="11" s="1"/>
  <c r="P16" i="1"/>
  <c r="M31" i="1"/>
  <c r="O6" i="2"/>
  <c r="U6" i="1"/>
  <c r="G70" i="11"/>
  <c r="G38" i="1"/>
  <c r="Q19" i="1"/>
  <c r="T27" i="11"/>
  <c r="T21" i="11"/>
  <c r="M118" i="2"/>
  <c r="M119" i="2" s="1"/>
  <c r="I96" i="11"/>
  <c r="P21" i="11"/>
  <c r="H68" i="11"/>
  <c r="P257" i="2"/>
  <c r="K258" i="2"/>
  <c r="N34" i="1"/>
  <c r="S19" i="1"/>
  <c r="G4" i="11"/>
  <c r="G4" i="12"/>
  <c r="U34" i="1"/>
  <c r="N170" i="2"/>
  <c r="O161" i="2"/>
  <c r="V4" i="11"/>
  <c r="F4" i="1" s="1"/>
  <c r="F13" i="1"/>
  <c r="O150" i="2"/>
  <c r="I39" i="1"/>
  <c r="L37" i="1"/>
  <c r="L177" i="2"/>
  <c r="M173" i="2"/>
  <c r="J29" i="2"/>
  <c r="R16" i="1"/>
  <c r="L5" i="1"/>
  <c r="AB11" i="11"/>
  <c r="AB21" i="11"/>
  <c r="L17" i="1" s="1"/>
  <c r="AB27" i="11"/>
  <c r="L26" i="1" s="1"/>
  <c r="Q7" i="11"/>
  <c r="M16" i="11"/>
  <c r="M17" i="11"/>
  <c r="M21" i="11"/>
  <c r="M64" i="11"/>
  <c r="M11" i="11"/>
  <c r="M25" i="11"/>
  <c r="E25" i="11"/>
  <c r="E27" i="11"/>
  <c r="E68" i="11"/>
  <c r="E30" i="11"/>
  <c r="M30" i="11"/>
  <c r="AI21" i="11"/>
  <c r="S17" i="1"/>
  <c r="L6" i="1"/>
  <c r="Q4" i="12"/>
  <c r="E4" i="12"/>
  <c r="E4" i="11"/>
  <c r="M34" i="1"/>
  <c r="K25" i="2"/>
  <c r="AG4" i="12"/>
  <c r="G37" i="1"/>
  <c r="E21" i="11"/>
  <c r="K114" i="2"/>
  <c r="K115" i="2"/>
  <c r="K122" i="2"/>
  <c r="M5" i="1"/>
  <c r="M35" i="1" s="1"/>
  <c r="AC70" i="11"/>
  <c r="N37" i="1"/>
  <c r="O6" i="1"/>
  <c r="AK64" i="11"/>
  <c r="AC65" i="11"/>
  <c r="AR7" i="11"/>
  <c r="V5" i="2"/>
  <c r="V43" i="2" s="1"/>
  <c r="AR54" i="10" s="1"/>
  <c r="AR16" i="11"/>
  <c r="T37" i="1"/>
  <c r="AJ68" i="11"/>
  <c r="Y6" i="2"/>
  <c r="Y35" i="2"/>
  <c r="AU11" i="11"/>
  <c r="AU16" i="11"/>
  <c r="J7" i="11"/>
  <c r="V64" i="11"/>
  <c r="V74" i="11"/>
  <c r="U30" i="11"/>
  <c r="G39" i="1"/>
  <c r="K31" i="1"/>
  <c r="N7" i="11"/>
  <c r="N70" i="11"/>
  <c r="N16" i="11"/>
  <c r="F34" i="1"/>
  <c r="P22" i="1"/>
  <c r="AF25" i="11"/>
  <c r="P23" i="1" s="1"/>
  <c r="J22" i="1"/>
  <c r="P16" i="11"/>
  <c r="P18" i="11" s="1"/>
  <c r="U7" i="11"/>
  <c r="U27" i="11"/>
  <c r="U16" i="11"/>
  <c r="U21" i="11"/>
  <c r="U64" i="11"/>
  <c r="AI27" i="11"/>
  <c r="S26" i="1" s="1"/>
  <c r="S21" i="11"/>
  <c r="N96" i="2"/>
  <c r="N97" i="2" s="1"/>
  <c r="L257" i="2"/>
  <c r="N155" i="2"/>
  <c r="AO67" i="10"/>
  <c r="AP67" i="10" s="1"/>
  <c r="AQ67" i="10" s="1"/>
  <c r="AR67" i="10" s="1"/>
  <c r="AS67" i="10" s="1"/>
  <c r="AT67" i="10" s="1"/>
  <c r="AU67" i="10" s="1"/>
  <c r="I101" i="10"/>
  <c r="L200" i="2"/>
  <c r="L198" i="2" s="1"/>
  <c r="I80" i="2"/>
  <c r="J68" i="2"/>
  <c r="Y21" i="10"/>
  <c r="I258" i="2"/>
  <c r="J4" i="2"/>
  <c r="J65" i="2" s="1"/>
  <c r="K215" i="2"/>
  <c r="I215" i="2"/>
  <c r="AH101" i="10"/>
  <c r="N158" i="2"/>
  <c r="N156" i="2" s="1"/>
  <c r="O155" i="2"/>
  <c r="AC80" i="10"/>
  <c r="I135" i="2"/>
  <c r="I132" i="2" s="1"/>
  <c r="AJ80" i="10"/>
  <c r="N177" i="2"/>
  <c r="N174" i="2" s="1"/>
  <c r="O173" i="2"/>
  <c r="K155" i="2"/>
  <c r="I25" i="2"/>
  <c r="I10" i="2"/>
  <c r="L81" i="2"/>
  <c r="N28" i="1"/>
  <c r="R19" i="1"/>
  <c r="AH23" i="11"/>
  <c r="R20" i="1" s="1"/>
  <c r="E16" i="11"/>
  <c r="E11" i="11"/>
  <c r="L5" i="2"/>
  <c r="AH7" i="11"/>
  <c r="R5" i="1"/>
  <c r="AH68" i="11"/>
  <c r="AH16" i="11"/>
  <c r="AH25" i="11"/>
  <c r="R23" i="1" s="1"/>
  <c r="AH70" i="11"/>
  <c r="AH21" i="11"/>
  <c r="R17" i="1" s="1"/>
  <c r="J244" i="2"/>
  <c r="K241" i="2"/>
  <c r="H102" i="11"/>
  <c r="AO70" i="10"/>
  <c r="AP70" i="10" s="1"/>
  <c r="AQ70" i="10" s="1"/>
  <c r="AR70" i="10" s="1"/>
  <c r="AS70" i="10" s="1"/>
  <c r="AT70" i="10" s="1"/>
  <c r="AU70" i="10" s="1"/>
  <c r="L43" i="2"/>
  <c r="T45" i="1"/>
  <c r="G22" i="1"/>
  <c r="J6" i="1"/>
  <c r="V43" i="11"/>
  <c r="AP21" i="12"/>
  <c r="I128" i="2"/>
  <c r="K45" i="1"/>
  <c r="AA27" i="11"/>
  <c r="K26" i="1" s="1"/>
  <c r="Q25" i="11"/>
  <c r="I241" i="2"/>
  <c r="AC4" i="11"/>
  <c r="AC4" i="12"/>
  <c r="L4" i="1"/>
  <c r="L13" i="1" s="1"/>
  <c r="AD74" i="11"/>
  <c r="AD53" i="11" s="1"/>
  <c r="U265" i="2"/>
  <c r="AQ58" i="11" s="1"/>
  <c r="AT15" i="12"/>
  <c r="Z89" i="12"/>
  <c r="AS70" i="11"/>
  <c r="F16" i="11"/>
  <c r="F80" i="10"/>
  <c r="S25" i="11"/>
  <c r="Q65" i="11"/>
  <c r="U65" i="11"/>
  <c r="Q64" i="11"/>
  <c r="Q74" i="11"/>
  <c r="Q56" i="11" s="1"/>
  <c r="J74" i="11"/>
  <c r="J59" i="11" s="1"/>
  <c r="J64" i="11"/>
  <c r="AT70" i="11"/>
  <c r="X5" i="2"/>
  <c r="X10" i="2" s="1"/>
  <c r="J16" i="1"/>
  <c r="G96" i="11"/>
  <c r="S27" i="11"/>
  <c r="J70" i="11"/>
  <c r="J16" i="11"/>
  <c r="J18" i="11" s="1"/>
  <c r="Q45" i="1"/>
  <c r="AD11" i="11"/>
  <c r="N5" i="1"/>
  <c r="AD16" i="11"/>
  <c r="AD17" i="11" s="1"/>
  <c r="F5" i="1"/>
  <c r="AD98" i="11"/>
  <c r="M6" i="1"/>
  <c r="J6" i="2"/>
  <c r="V11" i="11"/>
  <c r="F6" i="1"/>
  <c r="N204" i="2"/>
  <c r="M206" i="2"/>
  <c r="M205" i="2" s="1"/>
  <c r="N161" i="2"/>
  <c r="M170" i="2"/>
  <c r="M167" i="2" s="1"/>
  <c r="J25" i="2"/>
  <c r="J150" i="2"/>
  <c r="AF21" i="10"/>
  <c r="AF22" i="10" s="1"/>
  <c r="P143" i="2"/>
  <c r="P84" i="2"/>
  <c r="Q84" i="2" s="1"/>
  <c r="R84" i="2" s="1"/>
  <c r="J43" i="11"/>
  <c r="G4" i="1"/>
  <c r="G13" i="1" s="1"/>
  <c r="AP58" i="12"/>
  <c r="S6" i="1"/>
  <c r="AI16" i="11"/>
  <c r="AI17" i="11" s="1"/>
  <c r="AI11" i="11"/>
  <c r="AF21" i="11"/>
  <c r="P17" i="1"/>
  <c r="AF7" i="11"/>
  <c r="AF70" i="11"/>
  <c r="X23" i="11"/>
  <c r="H20" i="1"/>
  <c r="H5" i="1"/>
  <c r="X68" i="11"/>
  <c r="X25" i="11"/>
  <c r="H23" i="1" s="1"/>
  <c r="X21" i="11"/>
  <c r="H17" i="1" s="1"/>
  <c r="X11" i="11"/>
  <c r="X7" i="11"/>
  <c r="AB7" i="11"/>
  <c r="T7" i="11"/>
  <c r="P70" i="11"/>
  <c r="P25" i="11"/>
  <c r="I23" i="11"/>
  <c r="S4" i="1"/>
  <c r="S13" i="1"/>
  <c r="J4" i="1"/>
  <c r="J13" i="1" s="1"/>
  <c r="N279" i="2"/>
  <c r="S28" i="1"/>
  <c r="H25" i="1"/>
  <c r="X27" i="11"/>
  <c r="H26" i="1"/>
  <c r="AJ23" i="11"/>
  <c r="T20" i="1" s="1"/>
  <c r="T19" i="1"/>
  <c r="M37" i="1"/>
  <c r="X4" i="11"/>
  <c r="H4" i="1"/>
  <c r="H13" i="1"/>
  <c r="X4" i="12"/>
  <c r="H4" i="12"/>
  <c r="H4" i="11"/>
  <c r="AL25" i="12"/>
  <c r="N25" i="1"/>
  <c r="AE4" i="12"/>
  <c r="AE4" i="11"/>
  <c r="X74" i="11"/>
  <c r="X64" i="11"/>
  <c r="P74" i="11"/>
  <c r="P53" i="11" s="1"/>
  <c r="P64" i="11"/>
  <c r="P65" i="11"/>
  <c r="Z70" i="11"/>
  <c r="AJ27" i="11"/>
  <c r="T26" i="1" s="1"/>
  <c r="T25" i="1"/>
  <c r="AL4" i="11"/>
  <c r="X98" i="11"/>
  <c r="AB98" i="11"/>
  <c r="T98" i="11"/>
  <c r="H39" i="1"/>
  <c r="Z80" i="10"/>
  <c r="AG80" i="10"/>
  <c r="S34" i="1"/>
  <c r="AO16" i="11"/>
  <c r="AO11" i="11"/>
  <c r="S6" i="2"/>
  <c r="S35" i="2"/>
  <c r="S37" i="2" s="1"/>
  <c r="M49" i="2"/>
  <c r="M96" i="2"/>
  <c r="M97" i="2" s="1"/>
  <c r="AH4" i="11"/>
  <c r="R4" i="1" s="1"/>
  <c r="R13" i="1" s="1"/>
  <c r="L4" i="2"/>
  <c r="L263" i="2" s="1"/>
  <c r="AH4" i="12"/>
  <c r="AM70" i="12"/>
  <c r="E17" i="11"/>
  <c r="L16" i="1"/>
  <c r="P5" i="1"/>
  <c r="AF64" i="11"/>
  <c r="AJ7" i="11"/>
  <c r="I70" i="11"/>
  <c r="I30" i="11"/>
  <c r="M65" i="11"/>
  <c r="I65" i="11"/>
  <c r="I74" i="11"/>
  <c r="I43" i="11"/>
  <c r="T4" i="1"/>
  <c r="T13" i="1"/>
  <c r="AL24" i="12"/>
  <c r="H34" i="1"/>
  <c r="J28" i="1"/>
  <c r="M155" i="2"/>
  <c r="L158" i="2"/>
  <c r="L156" i="2" s="1"/>
  <c r="N38" i="1"/>
  <c r="AD70" i="11"/>
  <c r="M4" i="12"/>
  <c r="M4" i="11"/>
  <c r="AF68" i="11"/>
  <c r="P37" i="1"/>
  <c r="F31" i="1"/>
  <c r="F32" i="1" s="1"/>
  <c r="O21" i="10"/>
  <c r="P68" i="11"/>
  <c r="I68" i="11"/>
  <c r="N80" i="10"/>
  <c r="AF30" i="11"/>
  <c r="H16" i="11"/>
  <c r="I62" i="10"/>
  <c r="I21" i="11"/>
  <c r="O68" i="2"/>
  <c r="O69" i="2"/>
  <c r="P99" i="2"/>
  <c r="Q99" i="2" s="1"/>
  <c r="M81" i="2"/>
  <c r="O88" i="2"/>
  <c r="O89" i="2" s="1"/>
  <c r="I49" i="2"/>
  <c r="L85" i="2"/>
  <c r="L96" i="2"/>
  <c r="L97" i="2" s="1"/>
  <c r="J21" i="2"/>
  <c r="K257" i="2"/>
  <c r="J258" i="2"/>
  <c r="K39" i="2"/>
  <c r="K177" i="2"/>
  <c r="L173" i="2"/>
  <c r="I14" i="2"/>
  <c r="M244" i="2"/>
  <c r="M242" i="2" s="1"/>
  <c r="N241" i="2"/>
  <c r="K135" i="2"/>
  <c r="L131" i="2"/>
  <c r="I263" i="2"/>
  <c r="L18" i="2"/>
  <c r="O4" i="1"/>
  <c r="O13" i="1" s="1"/>
  <c r="P47" i="11"/>
  <c r="P62" i="11"/>
  <c r="P56" i="11"/>
  <c r="V53" i="11"/>
  <c r="U25" i="1"/>
  <c r="AS58" i="12"/>
  <c r="I31" i="1"/>
  <c r="O204" i="2"/>
  <c r="N206" i="2"/>
  <c r="N205" i="2" s="1"/>
  <c r="K204" i="2"/>
  <c r="J206" i="2"/>
  <c r="AT60" i="12"/>
  <c r="H42" i="1"/>
  <c r="AD23" i="11"/>
  <c r="N20" i="1" s="1"/>
  <c r="N19" i="1"/>
  <c r="M140" i="2"/>
  <c r="O98" i="11"/>
  <c r="G45" i="1"/>
  <c r="P42" i="1"/>
  <c r="AA30" i="11"/>
  <c r="F19" i="1"/>
  <c r="V23" i="11"/>
  <c r="F20" i="1" s="1"/>
  <c r="L64" i="11"/>
  <c r="L70" i="11"/>
  <c r="L7" i="11"/>
  <c r="P7" i="11"/>
  <c r="AO17" i="11"/>
  <c r="AL73" i="12"/>
  <c r="R29" i="1"/>
  <c r="Z96" i="11"/>
  <c r="AD96" i="11"/>
  <c r="J89" i="12"/>
  <c r="J102" i="11"/>
  <c r="M42" i="1"/>
  <c r="L265" i="2"/>
  <c r="X30" i="11"/>
  <c r="R25" i="1"/>
  <c r="T16" i="1"/>
  <c r="I25" i="11"/>
  <c r="I64" i="11"/>
  <c r="I7" i="11"/>
  <c r="I11" i="11"/>
  <c r="N105" i="2"/>
  <c r="N106" i="2" s="1"/>
  <c r="N73" i="2"/>
  <c r="AE74" i="11"/>
  <c r="AE72" i="11" s="1"/>
  <c r="O40" i="1" s="1"/>
  <c r="W65" i="11"/>
  <c r="W64" i="11"/>
  <c r="W74" i="11"/>
  <c r="AA65" i="11"/>
  <c r="H64" i="11"/>
  <c r="H74" i="11"/>
  <c r="L65" i="11"/>
  <c r="P122" i="2"/>
  <c r="P124" i="2" s="1"/>
  <c r="Q122" i="2" s="1"/>
  <c r="Q124" i="2" s="1"/>
  <c r="R122" i="2" s="1"/>
  <c r="R124" i="2" s="1"/>
  <c r="S122" i="2" s="1"/>
  <c r="S124" i="2" s="1"/>
  <c r="T122" i="2" s="1"/>
  <c r="T124" i="2" s="1"/>
  <c r="U122" i="2" s="1"/>
  <c r="U124" i="2" s="1"/>
  <c r="V122" i="2" s="1"/>
  <c r="V124" i="2" s="1"/>
  <c r="W122" i="2" s="1"/>
  <c r="W124" i="2" s="1"/>
  <c r="X122" i="2" s="1"/>
  <c r="X124" i="2" s="1"/>
  <c r="Y122" i="2" s="1"/>
  <c r="Y124" i="2" s="1"/>
  <c r="I16" i="11"/>
  <c r="I17" i="11" s="1"/>
  <c r="J69" i="2"/>
  <c r="K69" i="2"/>
  <c r="M7" i="11"/>
  <c r="V62" i="11"/>
  <c r="V77" i="11"/>
  <c r="F43" i="1" s="1"/>
  <c r="V75" i="11"/>
  <c r="V59" i="11"/>
  <c r="V78" i="11"/>
  <c r="V72" i="11"/>
  <c r="F40" i="1" s="1"/>
  <c r="K19" i="1"/>
  <c r="F38" i="1"/>
  <c r="Q101" i="11"/>
  <c r="AE13" i="11"/>
  <c r="Y101" i="11"/>
  <c r="L39" i="1"/>
  <c r="AD4" i="11"/>
  <c r="AD4" i="12"/>
  <c r="J143" i="2"/>
  <c r="J144" i="2" s="1"/>
  <c r="I144" i="2"/>
  <c r="I12" i="12"/>
  <c r="AL47" i="12"/>
  <c r="U18" i="11"/>
  <c r="AR13" i="11"/>
  <c r="M98" i="11"/>
  <c r="N39" i="1"/>
  <c r="F4" i="11"/>
  <c r="F4" i="12"/>
  <c r="AI74" i="11"/>
  <c r="AI75" i="11" s="1"/>
  <c r="K123" i="2"/>
  <c r="V89" i="10"/>
  <c r="V93" i="10" s="1"/>
  <c r="M74" i="11"/>
  <c r="H16" i="1"/>
  <c r="H73" i="10"/>
  <c r="H74" i="10" s="1"/>
  <c r="M12" i="12"/>
  <c r="Q80" i="10"/>
  <c r="O70" i="11"/>
  <c r="S30" i="11"/>
  <c r="AD80" i="10"/>
  <c r="V80" i="10"/>
  <c r="AB89" i="10"/>
  <c r="AB93" i="10" s="1"/>
  <c r="AA62" i="10"/>
  <c r="AA63" i="10" s="1"/>
  <c r="W101" i="10"/>
  <c r="L73" i="10"/>
  <c r="L74" i="10" s="1"/>
  <c r="T77" i="12"/>
  <c r="AB13" i="11"/>
  <c r="U12" i="12"/>
  <c r="U17" i="11"/>
  <c r="P29" i="1"/>
  <c r="AD47" i="11"/>
  <c r="N49" i="2"/>
  <c r="R80" i="10"/>
  <c r="J80" i="10"/>
  <c r="Y80" i="10"/>
  <c r="AE101" i="10"/>
  <c r="Z101" i="10"/>
  <c r="J119" i="2"/>
  <c r="M169" i="2"/>
  <c r="J204" i="2"/>
  <c r="G34" i="1"/>
  <c r="M279" i="2"/>
  <c r="U28" i="1"/>
  <c r="H28" i="1"/>
  <c r="H29" i="1" s="1"/>
  <c r="P19" i="1"/>
  <c r="J128" i="2"/>
  <c r="J125" i="2" s="1"/>
  <c r="AU13" i="12"/>
  <c r="X13" i="11"/>
  <c r="AE59" i="11"/>
  <c r="J50" i="2"/>
  <c r="F35" i="1"/>
  <c r="AF4" i="11"/>
  <c r="P4" i="1" s="1"/>
  <c r="P13" i="1" s="1"/>
  <c r="AF4" i="12"/>
  <c r="U11" i="11"/>
  <c r="Q18" i="11"/>
  <c r="AK12" i="12"/>
  <c r="AK13" i="11"/>
  <c r="W62" i="11"/>
  <c r="W50" i="11"/>
  <c r="W56" i="11"/>
  <c r="W72" i="11"/>
  <c r="G40" i="1" s="1"/>
  <c r="W77" i="11"/>
  <c r="G43" i="1"/>
  <c r="AN47" i="12"/>
  <c r="AM47" i="12"/>
  <c r="AE77" i="11"/>
  <c r="O43" i="1" s="1"/>
  <c r="W59" i="11"/>
  <c r="N4" i="1"/>
  <c r="N13" i="1"/>
  <c r="V79" i="11"/>
  <c r="V82" i="11"/>
  <c r="F46" i="1" s="1"/>
  <c r="V84" i="11"/>
  <c r="V85" i="11"/>
  <c r="AM73" i="12"/>
  <c r="AI56" i="11"/>
  <c r="K85" i="2"/>
  <c r="P75" i="11"/>
  <c r="I279" i="2"/>
  <c r="X16" i="11"/>
  <c r="H6" i="1"/>
  <c r="AD64" i="11"/>
  <c r="AD27" i="11"/>
  <c r="N26" i="1" s="1"/>
  <c r="AA7" i="11"/>
  <c r="G11" i="11"/>
  <c r="Y4" i="11"/>
  <c r="I4" i="1" s="1"/>
  <c r="I13" i="1" s="1"/>
  <c r="Y4" i="12"/>
  <c r="K158" i="2"/>
  <c r="L155" i="2"/>
  <c r="AM25" i="12"/>
  <c r="P59" i="11"/>
  <c r="AU15" i="12"/>
  <c r="I34" i="1"/>
  <c r="Q25" i="1"/>
  <c r="AB23" i="11"/>
  <c r="L20" i="1" s="1"/>
  <c r="L19" i="1"/>
  <c r="AK21" i="11"/>
  <c r="U17" i="1" s="1"/>
  <c r="N16" i="1"/>
  <c r="AD21" i="11"/>
  <c r="N17" i="1" s="1"/>
  <c r="K43" i="2"/>
  <c r="M257" i="2"/>
  <c r="L258" i="2"/>
  <c r="AL4" i="12"/>
  <c r="P4" i="2"/>
  <c r="P185" i="2" s="1"/>
  <c r="P72" i="11"/>
  <c r="AD30" i="11"/>
  <c r="K73" i="2"/>
  <c r="J73" i="2"/>
  <c r="F37" i="1"/>
  <c r="V68" i="11"/>
  <c r="J102" i="2"/>
  <c r="W42" i="10"/>
  <c r="W43" i="10" s="1"/>
  <c r="H31" i="1"/>
  <c r="O96" i="11"/>
  <c r="K96" i="11"/>
  <c r="O39" i="1"/>
  <c r="R96" i="11"/>
  <c r="S74" i="11"/>
  <c r="S23" i="11"/>
  <c r="J50" i="11"/>
  <c r="J75" i="11"/>
  <c r="AU68" i="11"/>
  <c r="W265" i="2"/>
  <c r="AS58" i="11" s="1"/>
  <c r="AJ77" i="12"/>
  <c r="AD25" i="11"/>
  <c r="N23" i="1" s="1"/>
  <c r="J72" i="11"/>
  <c r="AI65" i="11"/>
  <c r="AA64" i="11"/>
  <c r="AP15" i="12"/>
  <c r="AP13" i="11" s="1"/>
  <c r="U13" i="11"/>
  <c r="M13" i="11"/>
  <c r="M35" i="11" s="1"/>
  <c r="AF89" i="12"/>
  <c r="AU7" i="11"/>
  <c r="AE65" i="11"/>
  <c r="Y5" i="2"/>
  <c r="AP68" i="11"/>
  <c r="O68" i="11"/>
  <c r="AR13" i="12"/>
  <c r="AR12" i="12"/>
  <c r="AN73" i="12"/>
  <c r="N185" i="2"/>
  <c r="N263" i="2"/>
  <c r="N65" i="2"/>
  <c r="J56" i="11"/>
  <c r="Q53" i="11"/>
  <c r="W77" i="12"/>
  <c r="Q72" i="11"/>
  <c r="E12" i="12"/>
  <c r="Q43" i="11"/>
  <c r="K100" i="2"/>
  <c r="AA26" i="12"/>
  <c r="V16" i="11"/>
  <c r="R21" i="10"/>
  <c r="R22" i="10" s="1"/>
  <c r="J21" i="10"/>
  <c r="AI13" i="11"/>
  <c r="K77" i="12"/>
  <c r="AA13" i="11"/>
  <c r="K26" i="12"/>
  <c r="T12" i="12"/>
  <c r="AQ15" i="12"/>
  <c r="AQ13" i="11" s="1"/>
  <c r="AJ26" i="12"/>
  <c r="AT13" i="11"/>
  <c r="Q22" i="1"/>
  <c r="K6" i="2"/>
  <c r="K27" i="2" s="1"/>
  <c r="AG11" i="11"/>
  <c r="Q6" i="1"/>
  <c r="T16" i="11"/>
  <c r="T11" i="11"/>
  <c r="AG7" i="11"/>
  <c r="K5" i="2"/>
  <c r="Y23" i="11"/>
  <c r="I20" i="1" s="1"/>
  <c r="Y7" i="11"/>
  <c r="I5" i="1"/>
  <c r="I32" i="1" s="1"/>
  <c r="I5" i="2"/>
  <c r="I22" i="2" s="1"/>
  <c r="Z74" i="11"/>
  <c r="W78" i="11"/>
  <c r="W84" i="11" s="1"/>
  <c r="W85" i="11" s="1"/>
  <c r="J45" i="1"/>
  <c r="S25" i="1"/>
  <c r="M25" i="1"/>
  <c r="F25" i="1"/>
  <c r="V27" i="11"/>
  <c r="F26" i="1" s="1"/>
  <c r="T6" i="2"/>
  <c r="T35" i="2" s="1"/>
  <c r="AP11" i="11"/>
  <c r="X17" i="11"/>
  <c r="AJ21" i="11"/>
  <c r="T17" i="1" s="1"/>
  <c r="AC21" i="11"/>
  <c r="M17" i="1" s="1"/>
  <c r="V21" i="11"/>
  <c r="F17" i="1" s="1"/>
  <c r="F16" i="1"/>
  <c r="F96" i="11"/>
  <c r="J96" i="11"/>
  <c r="E74" i="11"/>
  <c r="E72" i="11" s="1"/>
  <c r="I265" i="2"/>
  <c r="AH64" i="11"/>
  <c r="K65" i="11"/>
  <c r="W47" i="11"/>
  <c r="K98" i="11"/>
  <c r="G98" i="11"/>
  <c r="AC101" i="11"/>
  <c r="AG96" i="11"/>
  <c r="AC96" i="11"/>
  <c r="U101" i="11"/>
  <c r="U96" i="11"/>
  <c r="Y96" i="11"/>
  <c r="AF23" i="11"/>
  <c r="P20" i="1" s="1"/>
  <c r="Z98" i="11"/>
  <c r="V98" i="11"/>
  <c r="O37" i="1"/>
  <c r="R74" i="11"/>
  <c r="R56" i="11" s="1"/>
  <c r="G42" i="1"/>
  <c r="P78" i="11"/>
  <c r="P84" i="11" s="1"/>
  <c r="P77" i="11"/>
  <c r="Q39" i="1"/>
  <c r="AG74" i="11"/>
  <c r="AG43" i="11" s="1"/>
  <c r="AB25" i="11"/>
  <c r="L23" i="1" s="1"/>
  <c r="L22" i="1"/>
  <c r="I47" i="11"/>
  <c r="I62" i="11"/>
  <c r="I53" i="11"/>
  <c r="I78" i="11"/>
  <c r="I56" i="11"/>
  <c r="I59" i="11"/>
  <c r="I72" i="11"/>
  <c r="I75" i="11"/>
  <c r="I77" i="11"/>
  <c r="N265" i="2"/>
  <c r="R16" i="11"/>
  <c r="U42" i="1"/>
  <c r="N42" i="1"/>
  <c r="I50" i="11"/>
  <c r="P11" i="11"/>
  <c r="Y98" i="11"/>
  <c r="Q96" i="11"/>
  <c r="M70" i="11"/>
  <c r="N96" i="11"/>
  <c r="N81" i="2"/>
  <c r="AE89" i="10"/>
  <c r="AE93" i="10" s="1"/>
  <c r="AE103" i="10" s="1"/>
  <c r="Z73" i="10"/>
  <c r="P21" i="10"/>
  <c r="P45" i="10" s="1"/>
  <c r="I148" i="2"/>
  <c r="V10" i="2"/>
  <c r="V12" i="2" s="1"/>
  <c r="O47" i="2"/>
  <c r="H72" i="11"/>
  <c r="H75" i="11"/>
  <c r="H77" i="11"/>
  <c r="AM24" i="12"/>
  <c r="W82" i="11"/>
  <c r="G46" i="1" s="1"/>
  <c r="AG77" i="12"/>
  <c r="J19" i="2"/>
  <c r="Y43" i="2"/>
  <c r="AU54" i="10" s="1"/>
  <c r="Y10" i="2"/>
  <c r="AU11" i="10" s="1"/>
  <c r="AT13" i="12"/>
  <c r="AT12" i="12"/>
  <c r="U10" i="2"/>
  <c r="U12" i="2" s="1"/>
  <c r="U43" i="2"/>
  <c r="AQ54" i="10" s="1"/>
  <c r="Q78" i="11"/>
  <c r="AU17" i="11"/>
  <c r="AL70" i="12"/>
  <c r="P77" i="12"/>
  <c r="E13" i="11"/>
  <c r="E35" i="11" s="1"/>
  <c r="E36" i="11" s="1"/>
  <c r="Q59" i="11"/>
  <c r="AR58" i="12"/>
  <c r="V47" i="11"/>
  <c r="S26" i="12"/>
  <c r="Q62" i="11"/>
  <c r="Q77" i="11"/>
  <c r="Q75" i="11"/>
  <c r="Q17" i="11"/>
  <c r="Q50" i="11"/>
  <c r="Q47" i="11"/>
  <c r="Q73" i="10"/>
  <c r="Q74" i="10" s="1"/>
  <c r="M123" i="2"/>
  <c r="AB62" i="10"/>
  <c r="S78" i="11"/>
  <c r="S50" i="11"/>
  <c r="V17" i="11"/>
  <c r="AO13" i="11"/>
  <c r="AO35" i="11"/>
  <c r="P79" i="11"/>
  <c r="P82" i="11"/>
  <c r="E78" i="11"/>
  <c r="E75" i="11"/>
  <c r="AR11" i="10"/>
  <c r="Z74" i="10"/>
  <c r="Q79" i="11"/>
  <c r="AO40" i="10"/>
  <c r="AO24" i="12" s="1"/>
  <c r="AN24" i="12"/>
  <c r="AO59" i="10"/>
  <c r="AP59" i="10" s="1"/>
  <c r="AQ59" i="10" s="1"/>
  <c r="AQ40" i="12" s="1"/>
  <c r="AN40" i="12"/>
  <c r="AO34" i="10"/>
  <c r="AP40" i="10"/>
  <c r="AQ40" i="10" s="1"/>
  <c r="AJ12" i="12"/>
  <c r="AH13" i="11"/>
  <c r="AH12" i="12"/>
  <c r="Q13" i="11"/>
  <c r="I13" i="11"/>
  <c r="I35" i="11"/>
  <c r="M37" i="11" s="1"/>
  <c r="AS13" i="11"/>
  <c r="O77" i="12"/>
  <c r="G77" i="12"/>
  <c r="E38" i="11"/>
  <c r="M19" i="12"/>
  <c r="M41" i="12" s="1"/>
  <c r="M89" i="12" s="1"/>
  <c r="AE19" i="12"/>
  <c r="W19" i="12"/>
  <c r="O19" i="12"/>
  <c r="AU12" i="12"/>
  <c r="Y12" i="12"/>
  <c r="AG12" i="12"/>
  <c r="P13" i="11"/>
  <c r="V12" i="12"/>
  <c r="AC13" i="11"/>
  <c r="AP17" i="11"/>
  <c r="AP18" i="11"/>
  <c r="AE50" i="11"/>
  <c r="AE62" i="11"/>
  <c r="P43" i="11"/>
  <c r="F29" i="1"/>
  <c r="AE47" i="11"/>
  <c r="AE56" i="11"/>
  <c r="O14" i="2"/>
  <c r="J14" i="2"/>
  <c r="J39" i="2"/>
  <c r="J40" i="2" s="1"/>
  <c r="AO25" i="10"/>
  <c r="P131" i="2"/>
  <c r="P173" i="2"/>
  <c r="P177" i="2"/>
  <c r="AL35" i="10" s="1"/>
  <c r="L174" i="2"/>
  <c r="L204" i="2"/>
  <c r="K206" i="2"/>
  <c r="P204" i="2"/>
  <c r="P206" i="2"/>
  <c r="Q204" i="2" s="1"/>
  <c r="Q206" i="2" s="1"/>
  <c r="Y73" i="10"/>
  <c r="Y74" i="10" s="1"/>
  <c r="I206" i="2"/>
  <c r="P108" i="2"/>
  <c r="Q108" i="2" s="1"/>
  <c r="AM39" i="10" s="1"/>
  <c r="L109" i="2"/>
  <c r="K76" i="2"/>
  <c r="O101" i="10"/>
  <c r="J173" i="2"/>
  <c r="I177" i="2"/>
  <c r="O215" i="2"/>
  <c r="AO68" i="10"/>
  <c r="AP68" i="10" s="1"/>
  <c r="AP73" i="12" s="1"/>
  <c r="AE42" i="10"/>
  <c r="AE43" i="10" s="1"/>
  <c r="N197" i="2"/>
  <c r="M200" i="2"/>
  <c r="M198" i="2" s="1"/>
  <c r="T42" i="10"/>
  <c r="L46" i="2"/>
  <c r="J135" i="2"/>
  <c r="K131" i="2"/>
  <c r="K132" i="2" s="1"/>
  <c r="K179" i="2" s="1"/>
  <c r="AI42" i="10"/>
  <c r="AI43" i="10" s="1"/>
  <c r="K21" i="2"/>
  <c r="M92" i="2"/>
  <c r="M69" i="2"/>
  <c r="M39" i="2"/>
  <c r="J263" i="2"/>
  <c r="I158" i="2"/>
  <c r="J156" i="2" s="1"/>
  <c r="J155" i="2"/>
  <c r="AH73" i="10"/>
  <c r="AH74" i="10"/>
  <c r="K102" i="2"/>
  <c r="P102" i="2" s="1"/>
  <c r="AL27" i="10" s="1"/>
  <c r="M185" i="2"/>
  <c r="M263" i="2"/>
  <c r="M65" i="2"/>
  <c r="J55" i="2"/>
  <c r="J56" i="2" s="1"/>
  <c r="H101" i="10"/>
  <c r="N244" i="2"/>
  <c r="N242" i="2" s="1"/>
  <c r="O241" i="2"/>
  <c r="N21" i="10"/>
  <c r="J81" i="2"/>
  <c r="I125" i="2"/>
  <c r="F86" i="94"/>
  <c r="D91" i="94"/>
  <c r="D76" i="94"/>
  <c r="L185" i="2"/>
  <c r="P139" i="2"/>
  <c r="P150" i="2" s="1"/>
  <c r="AL36" i="10" s="1"/>
  <c r="K140" i="2"/>
  <c r="O144" i="2"/>
  <c r="O146" i="2"/>
  <c r="P105" i="2"/>
  <c r="Q105" i="2" s="1"/>
  <c r="R105" i="2" s="1"/>
  <c r="S105" i="2" s="1"/>
  <c r="T105" i="2" s="1"/>
  <c r="U105" i="2" s="1"/>
  <c r="V105" i="2" s="1"/>
  <c r="W105" i="2" s="1"/>
  <c r="X105" i="2" s="1"/>
  <c r="Y105" i="2" s="1"/>
  <c r="L106" i="2"/>
  <c r="J85" i="2"/>
  <c r="J92" i="2"/>
  <c r="O114" i="2"/>
  <c r="O115" i="2" s="1"/>
  <c r="O179" i="2" s="1"/>
  <c r="O125" i="2"/>
  <c r="O122" i="2"/>
  <c r="O123" i="2" s="1"/>
  <c r="O41" i="2"/>
  <c r="O37" i="2"/>
  <c r="O50" i="2"/>
  <c r="O147" i="2"/>
  <c r="O148" i="2"/>
  <c r="K53" i="2"/>
  <c r="K26" i="2"/>
  <c r="K19" i="2"/>
  <c r="P76" i="2"/>
  <c r="AL20" i="10" s="1"/>
  <c r="K77" i="2"/>
  <c r="L77" i="2"/>
  <c r="O15" i="2"/>
  <c r="F84" i="94"/>
  <c r="F91" i="94"/>
  <c r="F76" i="94" s="1"/>
  <c r="AN54" i="12" s="1"/>
  <c r="P141" i="2"/>
  <c r="Q139" i="2" s="1"/>
  <c r="AP25" i="10"/>
  <c r="AP34" i="10"/>
  <c r="X18" i="11"/>
  <c r="T17" i="11"/>
  <c r="E47" i="11"/>
  <c r="E62" i="11"/>
  <c r="AS13" i="12"/>
  <c r="AS12" i="12"/>
  <c r="AO41" i="10"/>
  <c r="AO52" i="10"/>
  <c r="AN70" i="12"/>
  <c r="AO60" i="10"/>
  <c r="V77" i="12"/>
  <c r="R77" i="12"/>
  <c r="X26" i="12"/>
  <c r="K35" i="1"/>
  <c r="T26" i="12"/>
  <c r="AG19" i="12"/>
  <c r="Q19" i="12"/>
  <c r="F101" i="10"/>
  <c r="AA42" i="10"/>
  <c r="AA43" i="10" s="1"/>
  <c r="H21" i="10"/>
  <c r="H22" i="10" s="1"/>
  <c r="M114" i="2"/>
  <c r="M115" i="2"/>
  <c r="J140" i="2"/>
  <c r="AQ25" i="10"/>
  <c r="AR25" i="10" s="1"/>
  <c r="AP60" i="10"/>
  <c r="AO70" i="12"/>
  <c r="AL10" i="11"/>
  <c r="AQ60" i="10"/>
  <c r="AR60" i="10" s="1"/>
  <c r="AP70" i="12"/>
  <c r="H39" i="105" l="1"/>
  <c r="F21" i="105"/>
  <c r="AL54" i="12"/>
  <c r="P116" i="2"/>
  <c r="Q114" i="2" s="1"/>
  <c r="Q116" i="2" s="1"/>
  <c r="R114" i="2" s="1"/>
  <c r="R116" i="2" s="1"/>
  <c r="S114" i="2" s="1"/>
  <c r="S116" i="2" s="1"/>
  <c r="T114" i="2" s="1"/>
  <c r="T116" i="2" s="1"/>
  <c r="U114" i="2" s="1"/>
  <c r="U116" i="2" s="1"/>
  <c r="V114" i="2" s="1"/>
  <c r="V116" i="2" s="1"/>
  <c r="W114" i="2" s="1"/>
  <c r="W116" i="2" s="1"/>
  <c r="X114" i="2" s="1"/>
  <c r="X116" i="2" s="1"/>
  <c r="Y114" i="2" s="1"/>
  <c r="Y116" i="2" s="1"/>
  <c r="D84" i="94"/>
  <c r="I84" i="94" s="1"/>
  <c r="D92" i="94"/>
  <c r="D93" i="94"/>
  <c r="E83" i="94"/>
  <c r="E92" i="94" s="1"/>
  <c r="D78" i="94"/>
  <c r="E41" i="12"/>
  <c r="E89" i="12" s="1"/>
  <c r="W41" i="12"/>
  <c r="W89" i="12" s="1"/>
  <c r="R41" i="12"/>
  <c r="G13" i="11"/>
  <c r="X35" i="11"/>
  <c r="E77" i="12"/>
  <c r="AE12" i="12"/>
  <c r="W13" i="11"/>
  <c r="Q12" i="12"/>
  <c r="Q41" i="12" s="1"/>
  <c r="Q89" i="12" s="1"/>
  <c r="AJ41" i="12"/>
  <c r="AJ89" i="12" s="1"/>
  <c r="O12" i="12"/>
  <c r="Y77" i="12"/>
  <c r="AF77" i="12"/>
  <c r="P12" i="12"/>
  <c r="P41" i="12" s="1"/>
  <c r="P89" i="12" s="1"/>
  <c r="V26" i="12"/>
  <c r="V41" i="12" s="1"/>
  <c r="V89" i="12" s="1"/>
  <c r="Y19" i="12"/>
  <c r="Y41" i="12" s="1"/>
  <c r="S12" i="12"/>
  <c r="S41" i="12" s="1"/>
  <c r="S89" i="12" s="1"/>
  <c r="AJ13" i="11"/>
  <c r="R13" i="11"/>
  <c r="R35" i="11" s="1"/>
  <c r="X77" i="12"/>
  <c r="I77" i="12"/>
  <c r="E26" i="12"/>
  <c r="S19" i="12"/>
  <c r="K19" i="12"/>
  <c r="X41" i="12"/>
  <c r="X89" i="12" s="1"/>
  <c r="AE77" i="12"/>
  <c r="J174" i="2"/>
  <c r="K174" i="2"/>
  <c r="R45" i="10"/>
  <c r="R43" i="10"/>
  <c r="Q103" i="10"/>
  <c r="K63" i="10"/>
  <c r="K76" i="10"/>
  <c r="K95" i="10" s="1"/>
  <c r="K102" i="10" s="1"/>
  <c r="V22" i="10"/>
  <c r="O99" i="10"/>
  <c r="AF103" i="10"/>
  <c r="K89" i="2"/>
  <c r="P88" i="2"/>
  <c r="Q88" i="2" s="1"/>
  <c r="AM61" i="10" s="1"/>
  <c r="Z95" i="10"/>
  <c r="Z102" i="10" s="1"/>
  <c r="V45" i="10"/>
  <c r="F22" i="10"/>
  <c r="F45" i="10"/>
  <c r="F99" i="10"/>
  <c r="O92" i="2"/>
  <c r="O73" i="2"/>
  <c r="E45" i="10"/>
  <c r="E22" i="10"/>
  <c r="O95" i="10"/>
  <c r="O102" i="10" s="1"/>
  <c r="AB22" i="10"/>
  <c r="AB45" i="10"/>
  <c r="AK22" i="10"/>
  <c r="AK45" i="10"/>
  <c r="O59" i="2"/>
  <c r="O11" i="2"/>
  <c r="W76" i="10"/>
  <c r="W100" i="10" s="1"/>
  <c r="W74" i="10"/>
  <c r="N59" i="2"/>
  <c r="L92" i="2"/>
  <c r="L69" i="2"/>
  <c r="G103" i="10"/>
  <c r="K167" i="2"/>
  <c r="P161" i="2"/>
  <c r="P170" i="2" s="1"/>
  <c r="AL30" i="10" s="1"/>
  <c r="AB99" i="10"/>
  <c r="J36" i="2"/>
  <c r="AB73" i="10"/>
  <c r="AB74" i="10" s="1"/>
  <c r="AJ21" i="10"/>
  <c r="AH76" i="10"/>
  <c r="AH95" i="10" s="1"/>
  <c r="J132" i="2"/>
  <c r="J179" i="2" s="1"/>
  <c r="AK62" i="10"/>
  <c r="P22" i="10"/>
  <c r="AL40" i="12"/>
  <c r="AJ62" i="10"/>
  <c r="L161" i="2"/>
  <c r="O257" i="2"/>
  <c r="J241" i="2"/>
  <c r="K244" i="2"/>
  <c r="K242" i="2" s="1"/>
  <c r="AA101" i="10"/>
  <c r="AC42" i="10"/>
  <c r="AC43" i="10" s="1"/>
  <c r="O89" i="10"/>
  <c r="O93" i="10" s="1"/>
  <c r="O103" i="10" s="1"/>
  <c r="H99" i="10"/>
  <c r="AO40" i="12"/>
  <c r="J200" i="2"/>
  <c r="AG21" i="10"/>
  <c r="N257" i="2"/>
  <c r="AM40" i="12"/>
  <c r="I170" i="2"/>
  <c r="I167" i="2" s="1"/>
  <c r="AH89" i="12"/>
  <c r="O197" i="2"/>
  <c r="I244" i="2"/>
  <c r="J242" i="2" s="1"/>
  <c r="K173" i="2"/>
  <c r="L135" i="2"/>
  <c r="L132" i="2" s="1"/>
  <c r="L179" i="2" s="1"/>
  <c r="X101" i="10"/>
  <c r="X103" i="10" s="1"/>
  <c r="I92" i="2"/>
  <c r="L241" i="2"/>
  <c r="L101" i="10"/>
  <c r="L103" i="10" s="1"/>
  <c r="AD42" i="10"/>
  <c r="AD43" i="10" s="1"/>
  <c r="AE73" i="10"/>
  <c r="T45" i="10"/>
  <c r="K21" i="10"/>
  <c r="K45" i="10" s="1"/>
  <c r="K97" i="10" s="1"/>
  <c r="H62" i="10"/>
  <c r="J45" i="10"/>
  <c r="H45" i="10"/>
  <c r="L59" i="2"/>
  <c r="AI21" i="10"/>
  <c r="K15" i="2"/>
  <c r="N200" i="2"/>
  <c r="N198" i="2" s="1"/>
  <c r="I73" i="10"/>
  <c r="I74" i="10" s="1"/>
  <c r="M21" i="10"/>
  <c r="R89" i="12"/>
  <c r="AN56" i="12"/>
  <c r="P103" i="10"/>
  <c r="AQ68" i="10"/>
  <c r="AO56" i="12"/>
  <c r="AI101" i="10"/>
  <c r="AI103" i="10" s="1"/>
  <c r="Y42" i="10"/>
  <c r="Y43" i="10" s="1"/>
  <c r="AG73" i="10"/>
  <c r="AG74" i="10" s="1"/>
  <c r="O22" i="10"/>
  <c r="AP24" i="12"/>
  <c r="M168" i="2"/>
  <c r="P244" i="2"/>
  <c r="AL49" i="10" s="1"/>
  <c r="Q241" i="2" s="1"/>
  <c r="O80" i="10"/>
  <c r="AK73" i="10"/>
  <c r="AK74" i="10" s="1"/>
  <c r="AH89" i="10"/>
  <c r="AH93" i="10" s="1"/>
  <c r="AA89" i="10"/>
  <c r="AA93" i="10" s="1"/>
  <c r="AA103" i="10" s="1"/>
  <c r="L42" i="10"/>
  <c r="L43" i="10" s="1"/>
  <c r="AH21" i="10"/>
  <c r="AC21" i="10"/>
  <c r="O45" i="10"/>
  <c r="G73" i="10"/>
  <c r="G74" i="10" s="1"/>
  <c r="AG101" i="10"/>
  <c r="AA76" i="10"/>
  <c r="AA95" i="10" s="1"/>
  <c r="Q76" i="10"/>
  <c r="Q95" i="10" s="1"/>
  <c r="Q102" i="10" s="1"/>
  <c r="AL56" i="12"/>
  <c r="U73" i="10"/>
  <c r="U74" i="10" s="1"/>
  <c r="P258" i="2"/>
  <c r="P251" i="2" s="1"/>
  <c r="AL32" i="11" s="1"/>
  <c r="I63" i="10"/>
  <c r="K96" i="2"/>
  <c r="O206" i="2"/>
  <c r="O205" i="2" s="1"/>
  <c r="J73" i="10"/>
  <c r="J74" i="10" s="1"/>
  <c r="AD101" i="10"/>
  <c r="AD103" i="10" s="1"/>
  <c r="X73" i="10"/>
  <c r="X74" i="10" s="1"/>
  <c r="M101" i="10"/>
  <c r="M103" i="10" s="1"/>
  <c r="E101" i="10"/>
  <c r="E103" i="10" s="1"/>
  <c r="V62" i="10"/>
  <c r="V99" i="10" s="1"/>
  <c r="N62" i="10"/>
  <c r="N99" i="10" s="1"/>
  <c r="R62" i="10"/>
  <c r="J62" i="10"/>
  <c r="AF42" i="10"/>
  <c r="X42" i="10"/>
  <c r="X43" i="10" s="1"/>
  <c r="J167" i="2"/>
  <c r="AQ47" i="12"/>
  <c r="AP40" i="12"/>
  <c r="AG42" i="10"/>
  <c r="AG43" i="10" s="1"/>
  <c r="T43" i="10"/>
  <c r="AO73" i="12"/>
  <c r="AM56" i="12"/>
  <c r="J22" i="10"/>
  <c r="AB89" i="12"/>
  <c r="F89" i="10"/>
  <c r="F93" i="10" s="1"/>
  <c r="F103" i="10" s="1"/>
  <c r="I80" i="10"/>
  <c r="AJ101" i="10"/>
  <c r="AJ103" i="10" s="1"/>
  <c r="T101" i="10"/>
  <c r="T103" i="10" s="1"/>
  <c r="Y62" i="10"/>
  <c r="Q62" i="10"/>
  <c r="Q63" i="10" s="1"/>
  <c r="G21" i="10"/>
  <c r="AH56" i="11"/>
  <c r="AH43" i="11"/>
  <c r="AH53" i="11"/>
  <c r="AH59" i="11"/>
  <c r="AD56" i="11"/>
  <c r="AD77" i="11"/>
  <c r="N43" i="1" s="1"/>
  <c r="AC27" i="11"/>
  <c r="M26" i="1" s="1"/>
  <c r="Y70" i="11"/>
  <c r="AK56" i="11"/>
  <c r="AK27" i="11"/>
  <c r="U26" i="1" s="1"/>
  <c r="AA70" i="11"/>
  <c r="AH35" i="11"/>
  <c r="U19" i="1"/>
  <c r="AK16" i="11"/>
  <c r="AK17" i="11" s="1"/>
  <c r="AC11" i="11"/>
  <c r="AK78" i="11"/>
  <c r="Y68" i="11"/>
  <c r="AE78" i="11"/>
  <c r="AD72" i="11"/>
  <c r="N40" i="1" s="1"/>
  <c r="AF27" i="11"/>
  <c r="P26" i="1" s="1"/>
  <c r="AC68" i="11"/>
  <c r="N7" i="1"/>
  <c r="N8" i="1" s="1"/>
  <c r="AK11" i="11"/>
  <c r="U5" i="1"/>
  <c r="U29" i="1" s="1"/>
  <c r="AC16" i="11"/>
  <c r="K255" i="2"/>
  <c r="AG98" i="11"/>
  <c r="I23" i="2"/>
  <c r="AK82" i="11"/>
  <c r="U46" i="1" s="1"/>
  <c r="Y30" i="11"/>
  <c r="AD59" i="11"/>
  <c r="AD62" i="11"/>
  <c r="O5" i="2"/>
  <c r="J5" i="2"/>
  <c r="AE7" i="11"/>
  <c r="N32" i="1"/>
  <c r="AK89" i="11"/>
  <c r="AK43" i="11"/>
  <c r="I15" i="2"/>
  <c r="AK62" i="11"/>
  <c r="AK77" i="11"/>
  <c r="U43" i="1" s="1"/>
  <c r="AK25" i="11"/>
  <c r="U23" i="1" s="1"/>
  <c r="AH65" i="11"/>
  <c r="AD65" i="11"/>
  <c r="Y25" i="11"/>
  <c r="I23" i="1" s="1"/>
  <c r="AD43" i="11"/>
  <c r="AC25" i="11"/>
  <c r="M23" i="1" s="1"/>
  <c r="AD78" i="11"/>
  <c r="AC7" i="11"/>
  <c r="AD75" i="11"/>
  <c r="AI47" i="11"/>
  <c r="T29" i="1"/>
  <c r="N77" i="11"/>
  <c r="N62" i="11"/>
  <c r="G35" i="11"/>
  <c r="G17" i="11"/>
  <c r="T47" i="11"/>
  <c r="T59" i="11"/>
  <c r="T53" i="11"/>
  <c r="T75" i="11"/>
  <c r="T72" i="11"/>
  <c r="E56" i="11"/>
  <c r="AE75" i="11"/>
  <c r="AD84" i="11"/>
  <c r="AD85" i="11" s="1"/>
  <c r="O27" i="11"/>
  <c r="W68" i="11"/>
  <c r="H32" i="1"/>
  <c r="O16" i="11"/>
  <c r="W11" i="11"/>
  <c r="I25" i="1"/>
  <c r="T96" i="11"/>
  <c r="W25" i="11"/>
  <c r="G23" i="1" s="1"/>
  <c r="G23" i="11"/>
  <c r="H35" i="1"/>
  <c r="S29" i="1"/>
  <c r="J65" i="11"/>
  <c r="AF96" i="11"/>
  <c r="O5" i="1"/>
  <c r="O29" i="1" s="1"/>
  <c r="F74" i="11"/>
  <c r="O11" i="11"/>
  <c r="AA96" i="11"/>
  <c r="W96" i="11"/>
  <c r="E77" i="11"/>
  <c r="W79" i="11"/>
  <c r="V89" i="11"/>
  <c r="Y16" i="11"/>
  <c r="Y35" i="11" s="1"/>
  <c r="J78" i="11"/>
  <c r="AJ74" i="11"/>
  <c r="AA25" i="11"/>
  <c r="K23" i="1" s="1"/>
  <c r="S7" i="11"/>
  <c r="AC23" i="11"/>
  <c r="M20" i="1" s="1"/>
  <c r="AI53" i="11"/>
  <c r="AI25" i="11"/>
  <c r="S23" i="1" s="1"/>
  <c r="AE64" i="11"/>
  <c r="T65" i="11"/>
  <c r="AF11" i="11"/>
  <c r="L31" i="1"/>
  <c r="L32" i="1" s="1"/>
  <c r="AJ65" i="11"/>
  <c r="F98" i="11"/>
  <c r="I6" i="2"/>
  <c r="I47" i="2" s="1"/>
  <c r="AF65" i="11"/>
  <c r="AE98" i="11"/>
  <c r="P98" i="11"/>
  <c r="R62" i="11"/>
  <c r="J62" i="11"/>
  <c r="T56" i="11"/>
  <c r="L56" i="11"/>
  <c r="E53" i="11"/>
  <c r="AD50" i="11"/>
  <c r="V50" i="11"/>
  <c r="N50" i="11"/>
  <c r="F50" i="11"/>
  <c r="I38" i="11"/>
  <c r="I40" i="11" s="1"/>
  <c r="I44" i="2"/>
  <c r="S31" i="1"/>
  <c r="Z78" i="11"/>
  <c r="Z80" i="11" s="1"/>
  <c r="O64" i="11"/>
  <c r="AK35" i="11"/>
  <c r="AK38" i="11" s="1"/>
  <c r="AK70" i="11"/>
  <c r="L75" i="11"/>
  <c r="AE43" i="11"/>
  <c r="W27" i="11"/>
  <c r="G26" i="1" s="1"/>
  <c r="N65" i="11"/>
  <c r="X65" i="11"/>
  <c r="AE11" i="11"/>
  <c r="AE70" i="11"/>
  <c r="Z68" i="11"/>
  <c r="AB64" i="11"/>
  <c r="Y74" i="11"/>
  <c r="K74" i="11"/>
  <c r="K56" i="11" s="1"/>
  <c r="I29" i="1"/>
  <c r="M32" i="1"/>
  <c r="AG53" i="11"/>
  <c r="O7" i="11"/>
  <c r="W70" i="11"/>
  <c r="AI50" i="11"/>
  <c r="M18" i="11"/>
  <c r="W75" i="11"/>
  <c r="AB74" i="11"/>
  <c r="AB50" i="11" s="1"/>
  <c r="N64" i="11"/>
  <c r="AE16" i="11"/>
  <c r="AI18" i="11" s="1"/>
  <c r="AI7" i="11"/>
  <c r="G68" i="11"/>
  <c r="P35" i="1"/>
  <c r="K7" i="11"/>
  <c r="I7" i="1"/>
  <c r="I8" i="1" s="1"/>
  <c r="M7" i="1"/>
  <c r="M8" i="1" s="1"/>
  <c r="Q84" i="11"/>
  <c r="Q85" i="11" s="1"/>
  <c r="I30" i="2"/>
  <c r="AA74" i="11"/>
  <c r="AA62" i="11" s="1"/>
  <c r="G27" i="11"/>
  <c r="X89" i="11"/>
  <c r="Y11" i="11"/>
  <c r="AI72" i="11"/>
  <c r="S40" i="1" s="1"/>
  <c r="N98" i="11"/>
  <c r="U35" i="11"/>
  <c r="W16" i="11"/>
  <c r="W17" i="11" s="1"/>
  <c r="AI62" i="11"/>
  <c r="I18" i="11"/>
  <c r="AF16" i="11"/>
  <c r="T64" i="11"/>
  <c r="Z23" i="11"/>
  <c r="J20" i="1" s="1"/>
  <c r="R11" i="11"/>
  <c r="AE68" i="11"/>
  <c r="AE30" i="11"/>
  <c r="G25" i="11"/>
  <c r="G64" i="11"/>
  <c r="W7" i="11"/>
  <c r="AI43" i="11"/>
  <c r="W43" i="11"/>
  <c r="O23" i="11"/>
  <c r="AE21" i="11"/>
  <c r="O17" i="1" s="1"/>
  <c r="AE25" i="11"/>
  <c r="O23" i="1" s="1"/>
  <c r="T89" i="11"/>
  <c r="L77" i="11"/>
  <c r="N35" i="11"/>
  <c r="AE23" i="11"/>
  <c r="O20" i="1" s="1"/>
  <c r="H35" i="11"/>
  <c r="H38" i="11" s="1"/>
  <c r="H89" i="11" s="1"/>
  <c r="Y89" i="11"/>
  <c r="AA89" i="11"/>
  <c r="AI59" i="11"/>
  <c r="G5" i="1"/>
  <c r="G35" i="1" s="1"/>
  <c r="W53" i="11"/>
  <c r="W21" i="11"/>
  <c r="G17" i="1" s="1"/>
  <c r="U89" i="11"/>
  <c r="E96" i="11"/>
  <c r="J84" i="11"/>
  <c r="J85" i="11" s="1"/>
  <c r="H38" i="1"/>
  <c r="Q37" i="1"/>
  <c r="J35" i="11"/>
  <c r="U53" i="11"/>
  <c r="U43" i="11"/>
  <c r="Y47" i="11"/>
  <c r="Y53" i="11"/>
  <c r="Y75" i="11"/>
  <c r="Y78" i="11"/>
  <c r="Y62" i="11"/>
  <c r="K77" i="11"/>
  <c r="AH36" i="11"/>
  <c r="O53" i="11"/>
  <c r="O43" i="11"/>
  <c r="O47" i="11"/>
  <c r="O72" i="11"/>
  <c r="O78" i="11"/>
  <c r="O59" i="11"/>
  <c r="O75" i="11"/>
  <c r="O77" i="11"/>
  <c r="O50" i="11"/>
  <c r="O62" i="11"/>
  <c r="O56" i="11"/>
  <c r="U47" i="11"/>
  <c r="U50" i="11"/>
  <c r="U59" i="11"/>
  <c r="U78" i="11"/>
  <c r="U75" i="11"/>
  <c r="U56" i="11"/>
  <c r="U77" i="11"/>
  <c r="U62" i="11"/>
  <c r="N38" i="11"/>
  <c r="N89" i="11" s="1"/>
  <c r="N37" i="11"/>
  <c r="S17" i="11"/>
  <c r="S18" i="11"/>
  <c r="S89" i="11"/>
  <c r="L18" i="11"/>
  <c r="L35" i="11"/>
  <c r="J38" i="11"/>
  <c r="J89" i="11" s="1"/>
  <c r="AG62" i="11"/>
  <c r="R43" i="11"/>
  <c r="R50" i="11"/>
  <c r="K25" i="11"/>
  <c r="S96" i="11"/>
  <c r="O65" i="11"/>
  <c r="T78" i="11"/>
  <c r="N72" i="11"/>
  <c r="K30" i="11"/>
  <c r="K27" i="11"/>
  <c r="R21" i="11"/>
  <c r="Y64" i="11"/>
  <c r="AG68" i="11"/>
  <c r="AG70" i="11"/>
  <c r="AI77" i="11"/>
  <c r="S43" i="1" s="1"/>
  <c r="AD7" i="11"/>
  <c r="U72" i="11"/>
  <c r="G75" i="11"/>
  <c r="AA98" i="11"/>
  <c r="P17" i="11"/>
  <c r="Z11" i="11"/>
  <c r="L6" i="2"/>
  <c r="M22" i="1"/>
  <c r="V96" i="11"/>
  <c r="T43" i="11"/>
  <c r="L43" i="11"/>
  <c r="T77" i="11"/>
  <c r="Q35" i="11"/>
  <c r="Q38" i="11" s="1"/>
  <c r="R53" i="11"/>
  <c r="R47" i="11"/>
  <c r="K56" i="2"/>
  <c r="S56" i="2" s="1"/>
  <c r="S55" i="2" s="1"/>
  <c r="AO58" i="10" s="1"/>
  <c r="G43" i="11"/>
  <c r="AD89" i="11"/>
  <c r="N56" i="11"/>
  <c r="N75" i="11"/>
  <c r="K68" i="11"/>
  <c r="V7" i="11"/>
  <c r="Y21" i="11"/>
  <c r="I17" i="1" s="1"/>
  <c r="AG64" i="11"/>
  <c r="L98" i="11"/>
  <c r="AI78" i="11"/>
  <c r="Z27" i="11"/>
  <c r="J26" i="1" s="1"/>
  <c r="Q16" i="1"/>
  <c r="Z21" i="11"/>
  <c r="J17" i="1" s="1"/>
  <c r="F35" i="11"/>
  <c r="F38" i="11" s="1"/>
  <c r="F89" i="11" s="1"/>
  <c r="J5" i="1"/>
  <c r="J29" i="1" s="1"/>
  <c r="O19" i="1"/>
  <c r="M28" i="1"/>
  <c r="T22" i="1"/>
  <c r="T50" i="11"/>
  <c r="L50" i="11"/>
  <c r="Q89" i="11"/>
  <c r="R72" i="11"/>
  <c r="T18" i="11"/>
  <c r="G77" i="11"/>
  <c r="L96" i="11"/>
  <c r="K11" i="11"/>
  <c r="AA11" i="11"/>
  <c r="K64" i="11"/>
  <c r="R64" i="11"/>
  <c r="K21" i="11"/>
  <c r="R25" i="11"/>
  <c r="AG25" i="11"/>
  <c r="AE96" i="11"/>
  <c r="AC89" i="11"/>
  <c r="S37" i="1"/>
  <c r="Z25" i="11"/>
  <c r="J23" i="1" s="1"/>
  <c r="N18" i="11"/>
  <c r="Z16" i="11"/>
  <c r="Z89" i="11" s="1"/>
  <c r="Y65" i="11"/>
  <c r="R18" i="11"/>
  <c r="P35" i="11"/>
  <c r="R59" i="11"/>
  <c r="G59" i="11"/>
  <c r="G50" i="11"/>
  <c r="R23" i="11"/>
  <c r="N78" i="11"/>
  <c r="AI89" i="11"/>
  <c r="R65" i="11"/>
  <c r="R30" i="11"/>
  <c r="AG23" i="11"/>
  <c r="Q20" i="1" s="1"/>
  <c r="AK30" i="11"/>
  <c r="G72" i="11"/>
  <c r="I16" i="1"/>
  <c r="W98" i="11"/>
  <c r="V70" i="11"/>
  <c r="R75" i="11"/>
  <c r="G53" i="11"/>
  <c r="P89" i="11"/>
  <c r="AG16" i="11"/>
  <c r="N59" i="11"/>
  <c r="Z64" i="11"/>
  <c r="K16" i="11"/>
  <c r="R68" i="11"/>
  <c r="AK7" i="11"/>
  <c r="AG30" i="11"/>
  <c r="K6" i="1"/>
  <c r="K7" i="1" s="1"/>
  <c r="K8" i="1" s="1"/>
  <c r="J82" i="11"/>
  <c r="I98" i="11"/>
  <c r="L78" i="11"/>
  <c r="G47" i="11"/>
  <c r="AH11" i="11"/>
  <c r="S35" i="1"/>
  <c r="G78" i="11"/>
  <c r="T37" i="11"/>
  <c r="K11" i="2"/>
  <c r="AG75" i="11"/>
  <c r="N43" i="11"/>
  <c r="R7" i="11"/>
  <c r="AI35" i="11"/>
  <c r="AI38" i="11" s="1"/>
  <c r="AI39" i="11" s="1"/>
  <c r="AD35" i="11"/>
  <c r="AD38" i="11" s="1"/>
  <c r="AD39" i="11" s="1"/>
  <c r="K44" i="2"/>
  <c r="AE82" i="11"/>
  <c r="O46" i="1" s="1"/>
  <c r="G62" i="11"/>
  <c r="Z7" i="11"/>
  <c r="AC74" i="11"/>
  <c r="AC43" i="11" s="1"/>
  <c r="AC98" i="11"/>
  <c r="T30" i="11"/>
  <c r="T36" i="11"/>
  <c r="K12" i="2"/>
  <c r="R78" i="11"/>
  <c r="R82" i="11" s="1"/>
  <c r="Z47" i="11"/>
  <c r="R70" i="11"/>
  <c r="K23" i="11"/>
  <c r="AL16" i="12"/>
  <c r="AL15" i="12" s="1"/>
  <c r="J123" i="2"/>
  <c r="I179" i="2"/>
  <c r="H32" i="105"/>
  <c r="H34" i="105" s="1"/>
  <c r="G34" i="105"/>
  <c r="G57" i="105"/>
  <c r="G56" i="105" s="1"/>
  <c r="G6" i="105" s="1"/>
  <c r="H59" i="105"/>
  <c r="H57" i="105" s="1"/>
  <c r="H56" i="105" s="1"/>
  <c r="H6" i="105" s="1"/>
  <c r="F9" i="105"/>
  <c r="F5" i="105" s="1"/>
  <c r="V5" i="1" s="1"/>
  <c r="G10" i="105"/>
  <c r="G18" i="105"/>
  <c r="H23" i="105"/>
  <c r="H26" i="105" s="1"/>
  <c r="G14" i="105"/>
  <c r="G28" i="105"/>
  <c r="P215" i="2"/>
  <c r="Q215" i="2" s="1"/>
  <c r="R215" i="2" s="1"/>
  <c r="S215" i="2" s="1"/>
  <c r="T215" i="2" s="1"/>
  <c r="U215" i="2" s="1"/>
  <c r="V215" i="2" s="1"/>
  <c r="W215" i="2" s="1"/>
  <c r="X215" i="2" s="1"/>
  <c r="Y215" i="2" s="1"/>
  <c r="AM54" i="12"/>
  <c r="AL9" i="10"/>
  <c r="Q76" i="2"/>
  <c r="R76" i="2" s="1"/>
  <c r="S76" i="2" s="1"/>
  <c r="AR70" i="12"/>
  <c r="AS60" i="10"/>
  <c r="AS25" i="10"/>
  <c r="AH103" i="10"/>
  <c r="Y22" i="10"/>
  <c r="E79" i="11"/>
  <c r="E82" i="11"/>
  <c r="E84" i="11"/>
  <c r="E85" i="11" s="1"/>
  <c r="S47" i="11"/>
  <c r="S77" i="11"/>
  <c r="S75" i="11"/>
  <c r="S62" i="11"/>
  <c r="S72" i="11"/>
  <c r="S56" i="11"/>
  <c r="X37" i="11"/>
  <c r="J41" i="2"/>
  <c r="J16" i="2"/>
  <c r="J59" i="2"/>
  <c r="R17" i="11"/>
  <c r="AU18" i="10"/>
  <c r="AQ24" i="12"/>
  <c r="AR40" i="10"/>
  <c r="S59" i="11"/>
  <c r="K40" i="2"/>
  <c r="K41" i="2"/>
  <c r="K36" i="2"/>
  <c r="K50" i="2"/>
  <c r="K47" i="2"/>
  <c r="P145" i="2"/>
  <c r="Q143" i="2" s="1"/>
  <c r="Q145" i="2" s="1"/>
  <c r="R143" i="2" s="1"/>
  <c r="S10" i="2"/>
  <c r="S43" i="2"/>
  <c r="AO54" i="10" s="1"/>
  <c r="AH50" i="11"/>
  <c r="AH47" i="11"/>
  <c r="AH62" i="11"/>
  <c r="AH77" i="11"/>
  <c r="R43" i="1" s="1"/>
  <c r="AH78" i="11"/>
  <c r="AH72" i="11"/>
  <c r="R40" i="1" s="1"/>
  <c r="F76" i="10"/>
  <c r="F63" i="10"/>
  <c r="S63" i="10"/>
  <c r="S76" i="10"/>
  <c r="M53" i="11"/>
  <c r="M62" i="11"/>
  <c r="M59" i="11"/>
  <c r="M75" i="11"/>
  <c r="M56" i="11"/>
  <c r="M47" i="11"/>
  <c r="M77" i="11"/>
  <c r="M78" i="11"/>
  <c r="M50" i="11"/>
  <c r="X59" i="11"/>
  <c r="X62" i="11"/>
  <c r="X43" i="11"/>
  <c r="X75" i="11"/>
  <c r="X53" i="11"/>
  <c r="X50" i="11"/>
  <c r="X56" i="11"/>
  <c r="X77" i="11"/>
  <c r="H43" i="1" s="1"/>
  <c r="X72" i="11"/>
  <c r="H40" i="1" s="1"/>
  <c r="X78" i="11"/>
  <c r="J26" i="2"/>
  <c r="J27" i="2"/>
  <c r="O169" i="2"/>
  <c r="O167" i="2"/>
  <c r="AO13" i="12"/>
  <c r="AO12" i="12" s="1"/>
  <c r="AT58" i="12"/>
  <c r="AU58" i="12"/>
  <c r="AN25" i="12"/>
  <c r="AO71" i="10"/>
  <c r="AK103" i="10"/>
  <c r="V73" i="10"/>
  <c r="V74" i="10" s="1"/>
  <c r="V101" i="10"/>
  <c r="N73" i="10"/>
  <c r="N74" i="10" s="1"/>
  <c r="N101" i="10"/>
  <c r="AC62" i="10"/>
  <c r="AC101" i="10"/>
  <c r="U101" i="10"/>
  <c r="U62" i="10"/>
  <c r="N63" i="10"/>
  <c r="K80" i="2"/>
  <c r="AG62" i="10"/>
  <c r="R99" i="10"/>
  <c r="R76" i="10"/>
  <c r="R63" i="10"/>
  <c r="Q36" i="11"/>
  <c r="Q37" i="11"/>
  <c r="W80" i="11"/>
  <c r="S82" i="11"/>
  <c r="S79" i="11"/>
  <c r="S80" i="11"/>
  <c r="P85" i="11"/>
  <c r="AH38" i="11"/>
  <c r="N22" i="10"/>
  <c r="AC45" i="10"/>
  <c r="AC22" i="10"/>
  <c r="AC99" i="10"/>
  <c r="AQ70" i="12"/>
  <c r="AR59" i="10"/>
  <c r="AO63" i="12"/>
  <c r="AP41" i="10"/>
  <c r="Y45" i="10"/>
  <c r="AD45" i="10"/>
  <c r="AD22" i="10"/>
  <c r="AD99" i="10"/>
  <c r="O74" i="10"/>
  <c r="AP47" i="12"/>
  <c r="AO47" i="12"/>
  <c r="R89" i="11"/>
  <c r="E39" i="11"/>
  <c r="E89" i="11"/>
  <c r="AH75" i="11"/>
  <c r="K37" i="2"/>
  <c r="Z43" i="11"/>
  <c r="Z50" i="11"/>
  <c r="Z72" i="11"/>
  <c r="J40" i="1" s="1"/>
  <c r="Z75" i="11"/>
  <c r="V35" i="11"/>
  <c r="V18" i="11"/>
  <c r="W99" i="10"/>
  <c r="W22" i="10"/>
  <c r="U38" i="11"/>
  <c r="U36" i="11"/>
  <c r="AQ35" i="11"/>
  <c r="AP56" i="12"/>
  <c r="AQ34" i="10"/>
  <c r="AQ56" i="12" s="1"/>
  <c r="S99" i="10"/>
  <c r="S45" i="10"/>
  <c r="AP63" i="12"/>
  <c r="X76" i="10"/>
  <c r="Z63" i="10"/>
  <c r="O82" i="11"/>
  <c r="V43" i="10"/>
  <c r="M72" i="11"/>
  <c r="Y82" i="11"/>
  <c r="I46" i="1" s="1"/>
  <c r="Y79" i="11"/>
  <c r="S84" i="11"/>
  <c r="Q258" i="2"/>
  <c r="Q242" i="2"/>
  <c r="S53" i="11"/>
  <c r="I79" i="11"/>
  <c r="I84" i="11"/>
  <c r="I82" i="11"/>
  <c r="AG50" i="11"/>
  <c r="AG59" i="11"/>
  <c r="AG77" i="11"/>
  <c r="AG47" i="11"/>
  <c r="AG72" i="11"/>
  <c r="AG78" i="11"/>
  <c r="AG56" i="11"/>
  <c r="AA35" i="11"/>
  <c r="AA17" i="11"/>
  <c r="M43" i="11"/>
  <c r="AQ11" i="10"/>
  <c r="U37" i="11"/>
  <c r="AR47" i="12"/>
  <c r="AD76" i="10"/>
  <c r="AI76" i="10"/>
  <c r="K23" i="2"/>
  <c r="K59" i="2"/>
  <c r="K60" i="2" s="1"/>
  <c r="AG103" i="10"/>
  <c r="Y12" i="2"/>
  <c r="Y18" i="11"/>
  <c r="I80" i="11"/>
  <c r="S43" i="11"/>
  <c r="K78" i="11"/>
  <c r="K43" i="11"/>
  <c r="K59" i="11"/>
  <c r="K75" i="11"/>
  <c r="K72" i="11"/>
  <c r="K50" i="11"/>
  <c r="K62" i="11"/>
  <c r="K47" i="11"/>
  <c r="Z62" i="11"/>
  <c r="M38" i="11"/>
  <c r="M36" i="11"/>
  <c r="AF99" i="10"/>
  <c r="AF63" i="10"/>
  <c r="AF76" i="10"/>
  <c r="O168" i="2"/>
  <c r="E59" i="11"/>
  <c r="E50" i="11"/>
  <c r="K103" i="10"/>
  <c r="I40" i="2"/>
  <c r="F102" i="11"/>
  <c r="F89" i="12"/>
  <c r="T6" i="1"/>
  <c r="N6" i="2"/>
  <c r="AJ16" i="11"/>
  <c r="AH18" i="11"/>
  <c r="AH17" i="11"/>
  <c r="AE41" i="12"/>
  <c r="AE89" i="12" s="1"/>
  <c r="G99" i="10"/>
  <c r="AP12" i="12"/>
  <c r="K16" i="2"/>
  <c r="K22" i="2"/>
  <c r="K156" i="2"/>
  <c r="P155" i="2"/>
  <c r="P158" i="2" s="1"/>
  <c r="AE84" i="11"/>
  <c r="AE79" i="11"/>
  <c r="H78" i="11"/>
  <c r="H43" i="11"/>
  <c r="H56" i="11"/>
  <c r="H62" i="11"/>
  <c r="E43" i="11"/>
  <c r="J255" i="2"/>
  <c r="AC30" i="11"/>
  <c r="M62" i="10"/>
  <c r="E62" i="10"/>
  <c r="T62" i="10"/>
  <c r="L62" i="10"/>
  <c r="I37" i="11"/>
  <c r="I36" i="11"/>
  <c r="K30" i="2"/>
  <c r="AQ13" i="12"/>
  <c r="AQ12" i="12" s="1"/>
  <c r="Y37" i="2"/>
  <c r="AU52" i="10"/>
  <c r="AE74" i="10"/>
  <c r="AE76" i="10"/>
  <c r="AH99" i="10"/>
  <c r="R84" i="11"/>
  <c r="V80" i="11"/>
  <c r="H59" i="11"/>
  <c r="AK84" i="11"/>
  <c r="AK79" i="11"/>
  <c r="AH89" i="11"/>
  <c r="P32" i="1"/>
  <c r="P7" i="1"/>
  <c r="P8" i="1" s="1"/>
  <c r="J22" i="2"/>
  <c r="J12" i="2"/>
  <c r="J15" i="2"/>
  <c r="J30" i="2"/>
  <c r="AI26" i="12"/>
  <c r="AI41" i="12" s="1"/>
  <c r="AI89" i="12" s="1"/>
  <c r="Q7" i="1"/>
  <c r="Q8" i="1" s="1"/>
  <c r="AK53" i="11"/>
  <c r="AK72" i="11"/>
  <c r="U40" i="1" s="1"/>
  <c r="X6" i="2"/>
  <c r="X35" i="2" s="1"/>
  <c r="AT16" i="11"/>
  <c r="AT18" i="11" s="1"/>
  <c r="AT11" i="11"/>
  <c r="T32" i="1"/>
  <c r="AI77" i="12"/>
  <c r="X47" i="11"/>
  <c r="N131" i="2"/>
  <c r="M135" i="2"/>
  <c r="M132" i="2" s="1"/>
  <c r="M179" i="2" s="1"/>
  <c r="K103" i="2"/>
  <c r="AB103" i="10"/>
  <c r="F75" i="11"/>
  <c r="F78" i="11"/>
  <c r="F77" i="11"/>
  <c r="N102" i="11"/>
  <c r="N89" i="12"/>
  <c r="K279" i="2"/>
  <c r="I65" i="2"/>
  <c r="I185" i="2"/>
  <c r="AR20" i="12"/>
  <c r="AK59" i="11"/>
  <c r="AE53" i="11"/>
  <c r="N29" i="1"/>
  <c r="F43" i="11"/>
  <c r="S13" i="11"/>
  <c r="S35" i="11" s="1"/>
  <c r="S7" i="1"/>
  <c r="S8" i="1" s="1"/>
  <c r="AK75" i="11"/>
  <c r="AF74" i="11"/>
  <c r="P39" i="1"/>
  <c r="AI70" i="11"/>
  <c r="S38" i="1"/>
  <c r="AN84" i="10"/>
  <c r="N42" i="10"/>
  <c r="N43" i="10" s="1"/>
  <c r="S32" i="1"/>
  <c r="Z103" i="10"/>
  <c r="AK47" i="11"/>
  <c r="F56" i="11"/>
  <c r="O44" i="2"/>
  <c r="Y89" i="10"/>
  <c r="I21" i="10"/>
  <c r="H7" i="1"/>
  <c r="H8" i="1" s="1"/>
  <c r="Q29" i="1"/>
  <c r="K12" i="12"/>
  <c r="U32" i="1"/>
  <c r="F7" i="1"/>
  <c r="F8" i="1" s="1"/>
  <c r="AH77" i="12"/>
  <c r="Y26" i="12"/>
  <c r="G62" i="10"/>
  <c r="L21" i="10"/>
  <c r="O26" i="12"/>
  <c r="O41" i="12" s="1"/>
  <c r="O89" i="12" s="1"/>
  <c r="I19" i="12"/>
  <c r="I41" i="12" s="1"/>
  <c r="I89" i="12" s="1"/>
  <c r="I89" i="10"/>
  <c r="I93" i="10" s="1"/>
  <c r="K205" i="2"/>
  <c r="U26" i="12"/>
  <c r="U41" i="12" s="1"/>
  <c r="U89" i="12" s="1"/>
  <c r="Z13" i="11"/>
  <c r="J11" i="2"/>
  <c r="U21" i="10"/>
  <c r="K32" i="1"/>
  <c r="N35" i="1"/>
  <c r="R7" i="1"/>
  <c r="R8" i="1" s="1"/>
  <c r="I26" i="12"/>
  <c r="G19" i="12"/>
  <c r="G41" i="12" s="1"/>
  <c r="G89" i="12" s="1"/>
  <c r="N68" i="11"/>
  <c r="W30" i="11"/>
  <c r="E80" i="10"/>
  <c r="AC12" i="12"/>
  <c r="AK41" i="12"/>
  <c r="AK89" i="12" s="1"/>
  <c r="AE21" i="10"/>
  <c r="X21" i="10"/>
  <c r="F41" i="103"/>
  <c r="E41" i="103"/>
  <c r="D41" i="103"/>
  <c r="Q38" i="1"/>
  <c r="P62" i="10"/>
  <c r="Q21" i="10"/>
  <c r="B3" i="1"/>
  <c r="B5" i="11"/>
  <c r="B184" i="2"/>
  <c r="B64" i="2"/>
  <c r="J106" i="2"/>
  <c r="J148" i="2"/>
  <c r="AO27" i="11"/>
  <c r="AG41" i="12"/>
  <c r="AG89" i="12" s="1"/>
  <c r="K109" i="2"/>
  <c r="AA12" i="12"/>
  <c r="AA41" i="12" s="1"/>
  <c r="AA89" i="12" s="1"/>
  <c r="F28" i="103"/>
  <c r="AU20" i="12"/>
  <c r="AA21" i="10"/>
  <c r="AA22" i="10" s="1"/>
  <c r="Q265" i="2"/>
  <c r="AM58" i="11" s="1"/>
  <c r="AM13" i="12" s="1"/>
  <c r="Q141" i="2"/>
  <c r="R139" i="2" s="1"/>
  <c r="R144" i="2" s="1"/>
  <c r="AL51" i="10"/>
  <c r="Q72" i="2"/>
  <c r="AM10" i="10" s="1"/>
  <c r="R265" i="2"/>
  <c r="AN58" i="11" s="1"/>
  <c r="P265" i="2"/>
  <c r="AL58" i="11" s="1"/>
  <c r="AL13" i="12" s="1"/>
  <c r="AL78" i="10"/>
  <c r="AL61" i="10"/>
  <c r="AL51" i="12"/>
  <c r="Q173" i="2"/>
  <c r="Q177" i="2" s="1"/>
  <c r="R173" i="2" s="1"/>
  <c r="R177" i="2" s="1"/>
  <c r="AM58" i="12"/>
  <c r="AL39" i="10"/>
  <c r="Q102" i="2"/>
  <c r="R102" i="2" s="1"/>
  <c r="AN27" i="10" s="1"/>
  <c r="AL26" i="10"/>
  <c r="AL48" i="12" s="1"/>
  <c r="AN63" i="12"/>
  <c r="AN21" i="12"/>
  <c r="AN58" i="12"/>
  <c r="R108" i="2"/>
  <c r="AL49" i="12"/>
  <c r="R204" i="2"/>
  <c r="R206" i="2" s="1"/>
  <c r="AM65" i="10"/>
  <c r="AL65" i="10"/>
  <c r="P247" i="2"/>
  <c r="Q200" i="2"/>
  <c r="AL66" i="10"/>
  <c r="AL82" i="10"/>
  <c r="AL76" i="12" s="1"/>
  <c r="AM16" i="12"/>
  <c r="AM15" i="12" s="1"/>
  <c r="Q150" i="2"/>
  <c r="AM26" i="10"/>
  <c r="R99" i="2"/>
  <c r="AO24" i="10"/>
  <c r="AO51" i="12" s="1"/>
  <c r="AN51" i="12"/>
  <c r="AM51" i="12"/>
  <c r="AM51" i="10"/>
  <c r="AN51" i="10"/>
  <c r="S84" i="2"/>
  <c r="AM21" i="12"/>
  <c r="AM63" i="12"/>
  <c r="AM9" i="10"/>
  <c r="R68" i="2"/>
  <c r="AL21" i="12"/>
  <c r="AL63" i="12"/>
  <c r="E28" i="103"/>
  <c r="P6" i="2"/>
  <c r="D28" i="103"/>
  <c r="V4" i="1"/>
  <c r="V13" i="1" s="1"/>
  <c r="L65" i="2"/>
  <c r="M4" i="1"/>
  <c r="M13" i="1" s="1"/>
  <c r="AO38" i="11"/>
  <c r="AO36" i="11"/>
  <c r="AS52" i="10"/>
  <c r="W37" i="2"/>
  <c r="AS16" i="11"/>
  <c r="AT7" i="11"/>
  <c r="AS11" i="11"/>
  <c r="AS7" i="11"/>
  <c r="W5" i="2"/>
  <c r="AR60" i="12"/>
  <c r="AQ20" i="12"/>
  <c r="AQ60" i="12"/>
  <c r="V6" i="2"/>
  <c r="AR11" i="11"/>
  <c r="AM10" i="11"/>
  <c r="AQ38" i="11"/>
  <c r="AQ36" i="11"/>
  <c r="AU36" i="12"/>
  <c r="X12" i="2"/>
  <c r="AT11" i="10"/>
  <c r="AQ17" i="11"/>
  <c r="AQ18" i="11"/>
  <c r="AU35" i="11"/>
  <c r="G7" i="1"/>
  <c r="G8" i="1" s="1"/>
  <c r="G29" i="1"/>
  <c r="AO20" i="12"/>
  <c r="AO60" i="12"/>
  <c r="AP20" i="12"/>
  <c r="AP60" i="12"/>
  <c r="AP53" i="12" s="1"/>
  <c r="AR17" i="11"/>
  <c r="AR35" i="11"/>
  <c r="AR18" i="11"/>
  <c r="AP52" i="10"/>
  <c r="T37" i="2"/>
  <c r="AT17" i="11"/>
  <c r="AU18" i="11"/>
  <c r="AR36" i="12"/>
  <c r="AP23" i="11"/>
  <c r="AP35" i="11"/>
  <c r="AS20" i="12"/>
  <c r="AS60" i="12"/>
  <c r="I35" i="1"/>
  <c r="T10" i="2"/>
  <c r="L35" i="1"/>
  <c r="T43" i="2"/>
  <c r="AP54" i="10" s="1"/>
  <c r="AP36" i="12" s="1"/>
  <c r="U6" i="2"/>
  <c r="X43" i="2"/>
  <c r="AT54" i="10" s="1"/>
  <c r="T7" i="1"/>
  <c r="T8" i="1" s="1"/>
  <c r="AU60" i="12"/>
  <c r="T35" i="1"/>
  <c r="M29" i="1"/>
  <c r="AN10" i="11"/>
  <c r="N92" i="2"/>
  <c r="O4" i="2"/>
  <c r="O65" i="2" s="1"/>
  <c r="B262" i="2"/>
  <c r="B3" i="2"/>
  <c r="B5" i="10"/>
  <c r="J205" i="2"/>
  <c r="AA45" i="10"/>
  <c r="Z99" i="10"/>
  <c r="Z45" i="10"/>
  <c r="AA75" i="11"/>
  <c r="AA72" i="11"/>
  <c r="K40" i="1" s="1"/>
  <c r="AA56" i="11"/>
  <c r="AA47" i="11"/>
  <c r="AA50" i="11"/>
  <c r="AA53" i="11"/>
  <c r="AA59" i="11"/>
  <c r="AA78" i="11"/>
  <c r="AA77" i="11"/>
  <c r="AA43" i="11"/>
  <c r="I12" i="2"/>
  <c r="I11" i="2"/>
  <c r="I59" i="2"/>
  <c r="J60" i="2" s="1"/>
  <c r="AA102" i="10"/>
  <c r="AB89" i="11"/>
  <c r="AB18" i="11"/>
  <c r="AF18" i="11"/>
  <c r="AB35" i="11"/>
  <c r="AB17" i="11"/>
  <c r="I27" i="2"/>
  <c r="AB63" i="10"/>
  <c r="J37" i="2"/>
  <c r="J47" i="2"/>
  <c r="Y72" i="11"/>
  <c r="I40" i="1" s="1"/>
  <c r="Y77" i="11"/>
  <c r="Y50" i="11"/>
  <c r="Y59" i="11"/>
  <c r="Y56" i="11"/>
  <c r="Y43" i="11"/>
  <c r="I16" i="2"/>
  <c r="I53" i="2"/>
  <c r="AD80" i="11"/>
  <c r="AB76" i="10"/>
  <c r="Y99" i="10"/>
  <c r="L7" i="1"/>
  <c r="L8" i="1" s="1"/>
  <c r="L29" i="1"/>
  <c r="AD18" i="11"/>
  <c r="Z56" i="11"/>
  <c r="Z77" i="11"/>
  <c r="J43" i="1" s="1"/>
  <c r="Z53" i="11"/>
  <c r="Z59" i="11"/>
  <c r="AC35" i="11"/>
  <c r="AC17" i="11"/>
  <c r="J185" i="2"/>
  <c r="Q4" i="1"/>
  <c r="Q13" i="1" s="1"/>
  <c r="K4" i="2"/>
  <c r="AM4" i="10"/>
  <c r="G4" i="105" s="1"/>
  <c r="AK4" i="11"/>
  <c r="O263" i="2"/>
  <c r="P65" i="2"/>
  <c r="P263" i="2"/>
  <c r="R88" i="2" l="1"/>
  <c r="Q161" i="2"/>
  <c r="Q170" i="2" s="1"/>
  <c r="AM30" i="10" s="1"/>
  <c r="E93" i="94"/>
  <c r="F83" i="94"/>
  <c r="F92" i="94" s="1"/>
  <c r="D79" i="94"/>
  <c r="E75" i="94"/>
  <c r="E77" i="94" s="1"/>
  <c r="P120" i="2"/>
  <c r="Q118" i="2" s="1"/>
  <c r="AL14" i="12"/>
  <c r="AL12" i="12" s="1"/>
  <c r="R38" i="11"/>
  <c r="R36" i="11"/>
  <c r="R37" i="11"/>
  <c r="X38" i="11"/>
  <c r="X36" i="11"/>
  <c r="I39" i="11"/>
  <c r="K41" i="12"/>
  <c r="K89" i="12" s="1"/>
  <c r="I89" i="11"/>
  <c r="AH102" i="10"/>
  <c r="V76" i="10"/>
  <c r="O97" i="10"/>
  <c r="AQ73" i="12"/>
  <c r="AR68" i="10"/>
  <c r="AI99" i="10"/>
  <c r="AI22" i="10"/>
  <c r="AI45" i="10"/>
  <c r="AJ45" i="10"/>
  <c r="AJ99" i="10"/>
  <c r="AJ22" i="10"/>
  <c r="AA99" i="10"/>
  <c r="V63" i="10"/>
  <c r="G22" i="10"/>
  <c r="G45" i="10"/>
  <c r="W95" i="10"/>
  <c r="AH45" i="10"/>
  <c r="AH97" i="10" s="1"/>
  <c r="AH22" i="10"/>
  <c r="AJ63" i="10"/>
  <c r="AJ76" i="10"/>
  <c r="AJ95" i="10" s="1"/>
  <c r="AJ102" i="10" s="1"/>
  <c r="K198" i="2"/>
  <c r="J198" i="2"/>
  <c r="AM27" i="10"/>
  <c r="AO53" i="12"/>
  <c r="Y63" i="10"/>
  <c r="Y76" i="10"/>
  <c r="Y100" i="10" s="1"/>
  <c r="AF45" i="10"/>
  <c r="AF43" i="10"/>
  <c r="AM20" i="10"/>
  <c r="J63" i="10"/>
  <c r="J76" i="10"/>
  <c r="M22" i="10"/>
  <c r="M45" i="10"/>
  <c r="J99" i="10"/>
  <c r="I76" i="10"/>
  <c r="N45" i="10"/>
  <c r="AK76" i="10"/>
  <c r="H76" i="10"/>
  <c r="H63" i="10"/>
  <c r="AK99" i="10"/>
  <c r="AK63" i="10"/>
  <c r="O100" i="10"/>
  <c r="P96" i="2"/>
  <c r="Q96" i="2" s="1"/>
  <c r="R96" i="2" s="1"/>
  <c r="S96" i="2" s="1"/>
  <c r="T96" i="2" s="1"/>
  <c r="U96" i="2" s="1"/>
  <c r="V96" i="2" s="1"/>
  <c r="W96" i="2" s="1"/>
  <c r="X96" i="2" s="1"/>
  <c r="Y96" i="2" s="1"/>
  <c r="K97" i="2"/>
  <c r="K99" i="10"/>
  <c r="K22" i="10"/>
  <c r="AG22" i="10"/>
  <c r="AG45" i="10"/>
  <c r="I36" i="2"/>
  <c r="I26" i="2"/>
  <c r="I41" i="2"/>
  <c r="AE18" i="11"/>
  <c r="AC18" i="11"/>
  <c r="O32" i="1"/>
  <c r="I50" i="2"/>
  <c r="J44" i="2"/>
  <c r="J53" i="2"/>
  <c r="S53" i="2" s="1"/>
  <c r="T53" i="2" s="1"/>
  <c r="T52" i="2" s="1"/>
  <c r="AP57" i="10" s="1"/>
  <c r="J23" i="2"/>
  <c r="AB62" i="11"/>
  <c r="AB77" i="11"/>
  <c r="L43" i="1" s="1"/>
  <c r="Y17" i="11"/>
  <c r="AK36" i="11"/>
  <c r="Z84" i="11"/>
  <c r="Z85" i="11" s="1"/>
  <c r="AC72" i="11"/>
  <c r="M40" i="1" s="1"/>
  <c r="O53" i="2"/>
  <c r="O23" i="2"/>
  <c r="O16" i="2"/>
  <c r="O30" i="2"/>
  <c r="O12" i="2"/>
  <c r="Z79" i="11"/>
  <c r="AD79" i="11"/>
  <c r="AD82" i="11"/>
  <c r="N46" i="1" s="1"/>
  <c r="U7" i="1"/>
  <c r="U8" i="1" s="1"/>
  <c r="U35" i="1"/>
  <c r="Z17" i="11"/>
  <c r="Z82" i="11"/>
  <c r="J46" i="1" s="1"/>
  <c r="Z35" i="11"/>
  <c r="Z18" i="11"/>
  <c r="Q23" i="1"/>
  <c r="AE17" i="11"/>
  <c r="AJ47" i="11"/>
  <c r="AJ59" i="11"/>
  <c r="AJ75" i="11"/>
  <c r="AJ53" i="11"/>
  <c r="AJ43" i="11"/>
  <c r="AJ72" i="11"/>
  <c r="T40" i="1" s="1"/>
  <c r="AJ77" i="11"/>
  <c r="T43" i="1" s="1"/>
  <c r="AJ78" i="11"/>
  <c r="AJ50" i="11"/>
  <c r="W35" i="11"/>
  <c r="AD36" i="11"/>
  <c r="AB78" i="11"/>
  <c r="AB72" i="11"/>
  <c r="L40" i="1" s="1"/>
  <c r="AB56" i="11"/>
  <c r="AB59" i="11"/>
  <c r="AB75" i="11"/>
  <c r="AB43" i="11"/>
  <c r="AB53" i="11"/>
  <c r="AJ62" i="11"/>
  <c r="F62" i="11"/>
  <c r="F72" i="11"/>
  <c r="F59" i="11"/>
  <c r="W18" i="11"/>
  <c r="AE35" i="11"/>
  <c r="AI37" i="11" s="1"/>
  <c r="AH37" i="11"/>
  <c r="O35" i="1"/>
  <c r="O7" i="1"/>
  <c r="O8" i="1" s="1"/>
  <c r="G32" i="1"/>
  <c r="W89" i="11"/>
  <c r="N40" i="11"/>
  <c r="AB47" i="11"/>
  <c r="AA18" i="11"/>
  <c r="J40" i="11"/>
  <c r="K53" i="11"/>
  <c r="AF17" i="11"/>
  <c r="AF35" i="11"/>
  <c r="AF89" i="11"/>
  <c r="I37" i="2"/>
  <c r="I56" i="2"/>
  <c r="I19" i="2"/>
  <c r="O17" i="11"/>
  <c r="O35" i="11"/>
  <c r="G38" i="11"/>
  <c r="G36" i="11"/>
  <c r="Z86" i="11"/>
  <c r="AD86" i="11"/>
  <c r="AE89" i="11"/>
  <c r="J37" i="11"/>
  <c r="AJ56" i="11"/>
  <c r="AI36" i="11"/>
  <c r="G84" i="11"/>
  <c r="G85" i="11" s="1"/>
  <c r="G82" i="11"/>
  <c r="G79" i="11"/>
  <c r="U82" i="11"/>
  <c r="U80" i="11"/>
  <c r="U79" i="11"/>
  <c r="U84" i="11"/>
  <c r="J7" i="1"/>
  <c r="J8" i="1" s="1"/>
  <c r="T79" i="11"/>
  <c r="T80" i="11"/>
  <c r="T84" i="11"/>
  <c r="T82" i="11"/>
  <c r="O79" i="11"/>
  <c r="O84" i="11"/>
  <c r="O85" i="11" s="1"/>
  <c r="AC77" i="11"/>
  <c r="M43" i="1" s="1"/>
  <c r="AC50" i="11"/>
  <c r="AC75" i="11"/>
  <c r="AC53" i="11"/>
  <c r="AC59" i="11"/>
  <c r="AC62" i="11"/>
  <c r="AC56" i="11"/>
  <c r="AC78" i="11"/>
  <c r="AC47" i="11"/>
  <c r="P38" i="11"/>
  <c r="P36" i="11"/>
  <c r="P37" i="11"/>
  <c r="J32" i="1"/>
  <c r="P80" i="11"/>
  <c r="L84" i="11"/>
  <c r="L82" i="11"/>
  <c r="K35" i="11"/>
  <c r="K17" i="11"/>
  <c r="K18" i="11"/>
  <c r="O18" i="11"/>
  <c r="AE38" i="11"/>
  <c r="S22" i="2"/>
  <c r="T22" i="2" s="1"/>
  <c r="L38" i="11"/>
  <c r="L37" i="11"/>
  <c r="Y84" i="11"/>
  <c r="Y80" i="11"/>
  <c r="J35" i="1"/>
  <c r="AG89" i="11"/>
  <c r="AG17" i="11"/>
  <c r="AK18" i="11"/>
  <c r="AG35" i="11"/>
  <c r="AG18" i="11"/>
  <c r="R79" i="11"/>
  <c r="R80" i="11"/>
  <c r="N82" i="11"/>
  <c r="N84" i="11"/>
  <c r="N80" i="11"/>
  <c r="AI80" i="11"/>
  <c r="AI79" i="11"/>
  <c r="AI82" i="11"/>
  <c r="S46" i="1" s="1"/>
  <c r="AI84" i="11"/>
  <c r="AI86" i="11" s="1"/>
  <c r="G21" i="105"/>
  <c r="H18" i="105"/>
  <c r="H21" i="105" s="1"/>
  <c r="G12" i="105"/>
  <c r="H10" i="105"/>
  <c r="H12" i="105" s="1"/>
  <c r="G30" i="105"/>
  <c r="H28" i="105"/>
  <c r="H30" i="105" s="1"/>
  <c r="G16" i="105"/>
  <c r="H14" i="105"/>
  <c r="H16" i="105" s="1"/>
  <c r="AN20" i="10"/>
  <c r="AN16" i="12"/>
  <c r="AN15" i="12" s="1"/>
  <c r="R141" i="2"/>
  <c r="S139" i="2" s="1"/>
  <c r="S141" i="2" s="1"/>
  <c r="T139" i="2" s="1"/>
  <c r="T141" i="2" s="1"/>
  <c r="U139" i="2" s="1"/>
  <c r="U141" i="2" s="1"/>
  <c r="V139" i="2" s="1"/>
  <c r="V141" i="2" s="1"/>
  <c r="W139" i="2" s="1"/>
  <c r="W141" i="2" s="1"/>
  <c r="X139" i="2" s="1"/>
  <c r="X141" i="2" s="1"/>
  <c r="Y139" i="2" s="1"/>
  <c r="Y141" i="2" s="1"/>
  <c r="R72" i="2"/>
  <c r="AN10" i="10" s="1"/>
  <c r="S37" i="11"/>
  <c r="S36" i="11"/>
  <c r="S38" i="11"/>
  <c r="AE95" i="10"/>
  <c r="AE102" i="10" s="1"/>
  <c r="Q39" i="11"/>
  <c r="Q40" i="11"/>
  <c r="AA37" i="11"/>
  <c r="AA38" i="11"/>
  <c r="AA36" i="11"/>
  <c r="S85" i="11"/>
  <c r="W86" i="11"/>
  <c r="U63" i="10"/>
  <c r="U76" i="10"/>
  <c r="AT25" i="10"/>
  <c r="AT47" i="12" s="1"/>
  <c r="AQ53" i="12"/>
  <c r="F78" i="103"/>
  <c r="U22" i="10"/>
  <c r="U99" i="10"/>
  <c r="U45" i="10"/>
  <c r="L22" i="10"/>
  <c r="L99" i="10"/>
  <c r="L45" i="10"/>
  <c r="AO84" i="10"/>
  <c r="AP84" i="10" s="1"/>
  <c r="AQ84" i="10" s="1"/>
  <c r="AR84" i="10" s="1"/>
  <c r="AS84" i="10" s="1"/>
  <c r="AT84" i="10" s="1"/>
  <c r="AU84" i="10" s="1"/>
  <c r="AK95" i="11"/>
  <c r="AK96" i="11" s="1"/>
  <c r="AK97" i="11"/>
  <c r="AK98" i="11" s="1"/>
  <c r="AK85" i="11"/>
  <c r="AE85" i="11"/>
  <c r="K84" i="11"/>
  <c r="K80" i="11"/>
  <c r="K82" i="11"/>
  <c r="K79" i="11"/>
  <c r="AD95" i="10"/>
  <c r="AD102" i="10" s="1"/>
  <c r="AD100" i="10"/>
  <c r="V38" i="11"/>
  <c r="V37" i="11"/>
  <c r="V36" i="11"/>
  <c r="O80" i="11"/>
  <c r="AG63" i="10"/>
  <c r="AG99" i="10"/>
  <c r="AG76" i="10"/>
  <c r="U103" i="10"/>
  <c r="AS47" i="12"/>
  <c r="E78" i="94"/>
  <c r="D67" i="103"/>
  <c r="D75" i="103"/>
  <c r="F72" i="103"/>
  <c r="F74" i="103"/>
  <c r="D70" i="103"/>
  <c r="D78" i="103"/>
  <c r="F66" i="103"/>
  <c r="D71" i="103"/>
  <c r="D66" i="103"/>
  <c r="E72" i="103"/>
  <c r="D72" i="103"/>
  <c r="E74" i="103"/>
  <c r="D73" i="103"/>
  <c r="D76" i="103"/>
  <c r="E66" i="103"/>
  <c r="D68" i="103"/>
  <c r="D74" i="103"/>
  <c r="AE22" i="10"/>
  <c r="AE99" i="10"/>
  <c r="AE45" i="10"/>
  <c r="AE97" i="10" s="1"/>
  <c r="E71" i="103"/>
  <c r="G76" i="10"/>
  <c r="G63" i="10"/>
  <c r="F79" i="11"/>
  <c r="F82" i="11"/>
  <c r="J80" i="11"/>
  <c r="F84" i="11"/>
  <c r="AL38" i="10"/>
  <c r="Q155" i="2"/>
  <c r="Q158" i="2" s="1"/>
  <c r="AF95" i="10"/>
  <c r="AF100" i="10"/>
  <c r="AG84" i="11"/>
  <c r="AG82" i="11"/>
  <c r="Q46" i="1" s="1"/>
  <c r="AG79" i="11"/>
  <c r="AK80" i="11"/>
  <c r="I86" i="11"/>
  <c r="I85" i="11"/>
  <c r="W102" i="10"/>
  <c r="W97" i="10"/>
  <c r="U39" i="11"/>
  <c r="U40" i="11"/>
  <c r="AR40" i="12"/>
  <c r="AS59" i="10"/>
  <c r="AH39" i="11"/>
  <c r="AH40" i="11"/>
  <c r="K92" i="2"/>
  <c r="P80" i="2"/>
  <c r="K81" i="2"/>
  <c r="AC103" i="10"/>
  <c r="AP71" i="10"/>
  <c r="AO25" i="12"/>
  <c r="F95" i="10"/>
  <c r="F100" i="10"/>
  <c r="S12" i="2"/>
  <c r="AO11" i="10"/>
  <c r="E78" i="103"/>
  <c r="P63" i="10"/>
  <c r="P99" i="10"/>
  <c r="P76" i="10"/>
  <c r="L76" i="10"/>
  <c r="L63" i="10"/>
  <c r="AJ18" i="11"/>
  <c r="AJ35" i="11"/>
  <c r="AJ89" i="11"/>
  <c r="AJ17" i="11"/>
  <c r="Q40" i="1"/>
  <c r="AQ41" i="10"/>
  <c r="AC63" i="10"/>
  <c r="AC76" i="10"/>
  <c r="AT60" i="10"/>
  <c r="AS70" i="12"/>
  <c r="R40" i="11"/>
  <c r="R39" i="11"/>
  <c r="E75" i="103"/>
  <c r="F20" i="103"/>
  <c r="E20" i="103"/>
  <c r="F19" i="103"/>
  <c r="E19" i="103"/>
  <c r="D20" i="103"/>
  <c r="D19" i="103"/>
  <c r="I22" i="10"/>
  <c r="I99" i="10"/>
  <c r="I45" i="10"/>
  <c r="V86" i="11"/>
  <c r="R86" i="11"/>
  <c r="R85" i="11"/>
  <c r="T63" i="10"/>
  <c r="T76" i="10"/>
  <c r="T99" i="10"/>
  <c r="X95" i="10"/>
  <c r="X102" i="10" s="1"/>
  <c r="N76" i="10"/>
  <c r="N103" i="10"/>
  <c r="X84" i="11"/>
  <c r="X80" i="11"/>
  <c r="AB80" i="11"/>
  <c r="X79" i="11"/>
  <c r="X82" i="11"/>
  <c r="H46" i="1" s="1"/>
  <c r="AH79" i="11"/>
  <c r="AH84" i="11"/>
  <c r="AH82" i="11"/>
  <c r="R46" i="1" s="1"/>
  <c r="AH80" i="11"/>
  <c r="Y93" i="10"/>
  <c r="AF62" i="11"/>
  <c r="AF77" i="11"/>
  <c r="P43" i="1" s="1"/>
  <c r="AF75" i="11"/>
  <c r="AF59" i="11"/>
  <c r="AF47" i="11"/>
  <c r="AF56" i="11"/>
  <c r="AF72" i="11"/>
  <c r="P40" i="1" s="1"/>
  <c r="AF53" i="11"/>
  <c r="AF78" i="11"/>
  <c r="AF50" i="11"/>
  <c r="AF43" i="11"/>
  <c r="AR34" i="10"/>
  <c r="Y36" i="11"/>
  <c r="Y38" i="11"/>
  <c r="Y37" i="11"/>
  <c r="Y89" i="12"/>
  <c r="E76" i="103"/>
  <c r="F71" i="103"/>
  <c r="E63" i="10"/>
  <c r="E76" i="10"/>
  <c r="E99" i="10"/>
  <c r="E70" i="103"/>
  <c r="Q244" i="2"/>
  <c r="AM49" i="10" s="1"/>
  <c r="AM78" i="12"/>
  <c r="W36" i="11"/>
  <c r="W38" i="11"/>
  <c r="W37" i="11"/>
  <c r="V95" i="10"/>
  <c r="V97" i="10" s="1"/>
  <c r="V100" i="10"/>
  <c r="O185" i="2"/>
  <c r="AT35" i="11"/>
  <c r="E29" i="103"/>
  <c r="D32" i="103"/>
  <c r="D36" i="103"/>
  <c r="E39" i="103"/>
  <c r="D30" i="103"/>
  <c r="F32" i="103"/>
  <c r="F36" i="103"/>
  <c r="E30" i="103"/>
  <c r="D37" i="103"/>
  <c r="F30" i="103"/>
  <c r="D34" i="103"/>
  <c r="E37" i="103"/>
  <c r="D31" i="103"/>
  <c r="D35" i="103"/>
  <c r="F37" i="103"/>
  <c r="E31" i="103"/>
  <c r="E35" i="103"/>
  <c r="E32" i="103"/>
  <c r="F35" i="103"/>
  <c r="E36" i="103"/>
  <c r="D39" i="103"/>
  <c r="F39" i="103"/>
  <c r="D29" i="103"/>
  <c r="F29" i="103"/>
  <c r="F31" i="103"/>
  <c r="I95" i="10"/>
  <c r="I102" i="10" s="1"/>
  <c r="I103" i="10"/>
  <c r="AC41" i="12"/>
  <c r="X37" i="2"/>
  <c r="AT52" i="10"/>
  <c r="M63" i="10"/>
  <c r="M99" i="10"/>
  <c r="M76" i="10"/>
  <c r="M39" i="11"/>
  <c r="M89" i="11"/>
  <c r="M40" i="11"/>
  <c r="AI100" i="10"/>
  <c r="AI95" i="10"/>
  <c r="Q43" i="1"/>
  <c r="K100" i="10"/>
  <c r="V103" i="10"/>
  <c r="AK95" i="10"/>
  <c r="AK100" i="10"/>
  <c r="F60" i="103"/>
  <c r="F52" i="103"/>
  <c r="F44" i="103"/>
  <c r="E60" i="103"/>
  <c r="E52" i="103"/>
  <c r="E44" i="103"/>
  <c r="D44" i="103"/>
  <c r="D52" i="103"/>
  <c r="D60" i="103"/>
  <c r="F58" i="103"/>
  <c r="F50" i="103"/>
  <c r="E58" i="103"/>
  <c r="E50" i="103"/>
  <c r="D46" i="103"/>
  <c r="F57" i="103"/>
  <c r="F49" i="103"/>
  <c r="E57" i="103"/>
  <c r="E49" i="103"/>
  <c r="D47" i="103"/>
  <c r="D55" i="103"/>
  <c r="D63" i="103"/>
  <c r="F56" i="103"/>
  <c r="F48" i="103"/>
  <c r="E56" i="103"/>
  <c r="E48" i="103"/>
  <c r="D48" i="103"/>
  <c r="D56" i="103"/>
  <c r="F63" i="103"/>
  <c r="F55" i="103"/>
  <c r="F47" i="103"/>
  <c r="E63" i="103"/>
  <c r="E55" i="103"/>
  <c r="E47" i="103"/>
  <c r="D49" i="103"/>
  <c r="D57" i="103"/>
  <c r="F62" i="103"/>
  <c r="F54" i="103"/>
  <c r="F46" i="103"/>
  <c r="E62" i="103"/>
  <c r="E54" i="103"/>
  <c r="E46" i="103"/>
  <c r="E59" i="103"/>
  <c r="D51" i="103"/>
  <c r="F61" i="103"/>
  <c r="E53" i="103"/>
  <c r="D53" i="103"/>
  <c r="F59" i="103"/>
  <c r="E51" i="103"/>
  <c r="D54" i="103"/>
  <c r="F53" i="103"/>
  <c r="E45" i="103"/>
  <c r="D58" i="103"/>
  <c r="F51" i="103"/>
  <c r="E43" i="103"/>
  <c r="D59" i="103"/>
  <c r="F45" i="103"/>
  <c r="D43" i="103"/>
  <c r="D61" i="103"/>
  <c r="D50" i="103"/>
  <c r="D62" i="103"/>
  <c r="E61" i="103"/>
  <c r="F43" i="103"/>
  <c r="D45" i="103"/>
  <c r="F77" i="103"/>
  <c r="E68" i="103"/>
  <c r="Q45" i="10"/>
  <c r="Q22" i="10"/>
  <c r="Q99" i="10"/>
  <c r="X22" i="10"/>
  <c r="X45" i="10"/>
  <c r="X97" i="10" s="1"/>
  <c r="X99" i="10"/>
  <c r="H82" i="11"/>
  <c r="H79" i="11"/>
  <c r="L80" i="11"/>
  <c r="H84" i="11"/>
  <c r="AK39" i="11"/>
  <c r="R95" i="10"/>
  <c r="R100" i="10"/>
  <c r="M84" i="11"/>
  <c r="M80" i="11"/>
  <c r="Q80" i="11"/>
  <c r="M82" i="11"/>
  <c r="M79" i="11"/>
  <c r="S100" i="10"/>
  <c r="S95" i="10"/>
  <c r="S102" i="10" s="1"/>
  <c r="AS40" i="10"/>
  <c r="AS24" i="12" s="1"/>
  <c r="AR24" i="12"/>
  <c r="AM82" i="10"/>
  <c r="AM76" i="12" s="1"/>
  <c r="AM78" i="10"/>
  <c r="S30" i="2"/>
  <c r="S29" i="2" s="1"/>
  <c r="AO17" i="10" s="1"/>
  <c r="AN13" i="12"/>
  <c r="AL67" i="12"/>
  <c r="AL92" i="11"/>
  <c r="AL93" i="11" s="1"/>
  <c r="AM35" i="10"/>
  <c r="AM49" i="12"/>
  <c r="AL44" i="12"/>
  <c r="S102" i="2"/>
  <c r="AO27" i="10" s="1"/>
  <c r="AO49" i="12" s="1"/>
  <c r="T56" i="2"/>
  <c r="U56" i="2" s="1"/>
  <c r="S108" i="2"/>
  <c r="AN39" i="10"/>
  <c r="S88" i="2"/>
  <c r="AN61" i="10"/>
  <c r="AL71" i="12"/>
  <c r="AM71" i="12"/>
  <c r="S204" i="2"/>
  <c r="S206" i="2" s="1"/>
  <c r="AN65" i="10"/>
  <c r="AL31" i="11"/>
  <c r="P255" i="2"/>
  <c r="AL73" i="10"/>
  <c r="AL101" i="10"/>
  <c r="AL72" i="12"/>
  <c r="R197" i="2"/>
  <c r="AM66" i="10"/>
  <c r="Q247" i="2"/>
  <c r="AM31" i="11" s="1"/>
  <c r="S173" i="2"/>
  <c r="S177" i="2" s="1"/>
  <c r="AN35" i="10"/>
  <c r="R150" i="2"/>
  <c r="AM36" i="10"/>
  <c r="AN49" i="12"/>
  <c r="AN26" i="10"/>
  <c r="AN48" i="12" s="1"/>
  <c r="S99" i="2"/>
  <c r="AM48" i="12"/>
  <c r="AP24" i="10"/>
  <c r="T84" i="2"/>
  <c r="AO51" i="10"/>
  <c r="AO20" i="10"/>
  <c r="T76" i="2"/>
  <c r="S68" i="2"/>
  <c r="AN9" i="10"/>
  <c r="S50" i="2"/>
  <c r="F76" i="103"/>
  <c r="F75" i="103"/>
  <c r="S47" i="2"/>
  <c r="S19" i="2"/>
  <c r="F68" i="103"/>
  <c r="P35" i="2"/>
  <c r="P37" i="2" s="1"/>
  <c r="P25" i="2"/>
  <c r="AL16" i="10" s="1"/>
  <c r="P18" i="2"/>
  <c r="AL14" i="10" s="1"/>
  <c r="AL31" i="12" s="1"/>
  <c r="P46" i="2"/>
  <c r="AL55" i="10" s="1"/>
  <c r="AL39" i="12" s="1"/>
  <c r="V25" i="1"/>
  <c r="AL26" i="11" s="1"/>
  <c r="V16" i="1"/>
  <c r="AL20" i="11" s="1"/>
  <c r="D27" i="103"/>
  <c r="V34" i="1"/>
  <c r="AL61" i="11" s="1"/>
  <c r="AL6" i="11"/>
  <c r="V7" i="1"/>
  <c r="V8" i="1" s="1"/>
  <c r="V19" i="1"/>
  <c r="AL22" i="11" s="1"/>
  <c r="V22" i="1"/>
  <c r="AL24" i="11" s="1"/>
  <c r="P55" i="2"/>
  <c r="AL58" i="10" s="1"/>
  <c r="AL35" i="12" s="1"/>
  <c r="P49" i="2"/>
  <c r="AL56" i="10" s="1"/>
  <c r="AL37" i="12" s="1"/>
  <c r="R6" i="2"/>
  <c r="R46" i="2" s="1"/>
  <c r="AN55" i="10" s="1"/>
  <c r="V31" i="1"/>
  <c r="AL44" i="11" s="1"/>
  <c r="AP37" i="11"/>
  <c r="AP36" i="11"/>
  <c r="AP38" i="11"/>
  <c r="AS17" i="11"/>
  <c r="AS18" i="11"/>
  <c r="AS35" i="11"/>
  <c r="U35" i="2"/>
  <c r="AP11" i="10"/>
  <c r="T12" i="2"/>
  <c r="AQ37" i="11"/>
  <c r="AQ40" i="11"/>
  <c r="AQ39" i="11"/>
  <c r="W43" i="2"/>
  <c r="AS54" i="10" s="1"/>
  <c r="AS36" i="12" s="1"/>
  <c r="W10" i="2"/>
  <c r="AO39" i="11"/>
  <c r="AR36" i="11"/>
  <c r="AR38" i="11"/>
  <c r="AR37" i="11"/>
  <c r="AU36" i="11"/>
  <c r="AU38" i="11"/>
  <c r="AU37" i="11"/>
  <c r="V35" i="2"/>
  <c r="AT36" i="11"/>
  <c r="AT38" i="11"/>
  <c r="AT37" i="11"/>
  <c r="AQ36" i="12"/>
  <c r="Q6" i="2"/>
  <c r="AB95" i="10"/>
  <c r="AB100" i="10"/>
  <c r="K43" i="1"/>
  <c r="AD37" i="11"/>
  <c r="Z38" i="11"/>
  <c r="Z37" i="11"/>
  <c r="Z36" i="11"/>
  <c r="AB36" i="11"/>
  <c r="AB37" i="11"/>
  <c r="AF37" i="11"/>
  <c r="AB38" i="11"/>
  <c r="AA80" i="11"/>
  <c r="AA79" i="11"/>
  <c r="AA84" i="11"/>
  <c r="AE80" i="11"/>
  <c r="AA82" i="11"/>
  <c r="K46" i="1" s="1"/>
  <c r="AC38" i="11"/>
  <c r="AC36" i="11"/>
  <c r="AC37" i="11"/>
  <c r="AG37" i="11"/>
  <c r="Z100" i="10"/>
  <c r="Z97" i="10"/>
  <c r="AA97" i="10"/>
  <c r="AA100" i="10"/>
  <c r="I43" i="1"/>
  <c r="K65" i="2"/>
  <c r="K263" i="2"/>
  <c r="K185" i="2"/>
  <c r="U4" i="1"/>
  <c r="U13" i="1" s="1"/>
  <c r="AN4" i="10"/>
  <c r="H4" i="105" s="1"/>
  <c r="AM4" i="11"/>
  <c r="W4" i="1"/>
  <c r="W13" i="1" s="1"/>
  <c r="Q4" i="2"/>
  <c r="AM4" i="12"/>
  <c r="R161" i="2" l="1"/>
  <c r="R170" i="2" s="1"/>
  <c r="S161" i="2" s="1"/>
  <c r="S170" i="2" s="1"/>
  <c r="E67" i="103"/>
  <c r="AL55" i="12"/>
  <c r="P135" i="2"/>
  <c r="P133" i="2"/>
  <c r="P126" i="2" s="1"/>
  <c r="P128" i="2" s="1"/>
  <c r="AL31" i="10" s="1"/>
  <c r="F93" i="94"/>
  <c r="G83" i="94"/>
  <c r="G92" i="94" s="1"/>
  <c r="AM55" i="12"/>
  <c r="X39" i="11"/>
  <c r="X40" i="11"/>
  <c r="S52" i="2"/>
  <c r="AO57" i="10" s="1"/>
  <c r="AP38" i="12" s="1"/>
  <c r="U53" i="2"/>
  <c r="V53" i="2" s="1"/>
  <c r="V102" i="10"/>
  <c r="H95" i="10"/>
  <c r="H100" i="10"/>
  <c r="J95" i="10"/>
  <c r="J100" i="10"/>
  <c r="E77" i="103"/>
  <c r="AH100" i="10"/>
  <c r="AJ100" i="10"/>
  <c r="AJ97" i="10"/>
  <c r="AS68" i="10"/>
  <c r="AR73" i="12"/>
  <c r="D77" i="103"/>
  <c r="AE36" i="11"/>
  <c r="AE37" i="11"/>
  <c r="AF38" i="11"/>
  <c r="AF39" i="11" s="1"/>
  <c r="AF36" i="11"/>
  <c r="AB79" i="11"/>
  <c r="AB82" i="11"/>
  <c r="L46" i="1" s="1"/>
  <c r="AB84" i="11"/>
  <c r="D38" i="103"/>
  <c r="G89" i="11"/>
  <c r="G39" i="11"/>
  <c r="O38" i="11"/>
  <c r="O36" i="11"/>
  <c r="AJ82" i="11"/>
  <c r="T46" i="1" s="1"/>
  <c r="AJ79" i="11"/>
  <c r="AJ84" i="11"/>
  <c r="AG36" i="11"/>
  <c r="AG38" i="11"/>
  <c r="AK37" i="11"/>
  <c r="S86" i="11"/>
  <c r="L85" i="11"/>
  <c r="P86" i="11"/>
  <c r="AC80" i="11"/>
  <c r="AC79" i="11"/>
  <c r="AC84" i="11"/>
  <c r="AC82" i="11"/>
  <c r="M46" i="1" s="1"/>
  <c r="L89" i="11"/>
  <c r="L40" i="11"/>
  <c r="U85" i="11"/>
  <c r="U86" i="11"/>
  <c r="AK86" i="11"/>
  <c r="N85" i="11"/>
  <c r="N86" i="11"/>
  <c r="AE39" i="11"/>
  <c r="AI40" i="11"/>
  <c r="T85" i="11"/>
  <c r="T86" i="11"/>
  <c r="AG80" i="11"/>
  <c r="AI95" i="11"/>
  <c r="AI96" i="11" s="1"/>
  <c r="AI97" i="11"/>
  <c r="AI98" i="11" s="1"/>
  <c r="AI85" i="11"/>
  <c r="Y86" i="11"/>
  <c r="Y85" i="11"/>
  <c r="P40" i="11"/>
  <c r="P39" i="11"/>
  <c r="T40" i="11"/>
  <c r="K38" i="11"/>
  <c r="K37" i="11"/>
  <c r="K36" i="11"/>
  <c r="O37" i="11"/>
  <c r="H9" i="105"/>
  <c r="H5" i="105" s="1"/>
  <c r="X5" i="1" s="1"/>
  <c r="G9" i="105"/>
  <c r="G5" i="105" s="1"/>
  <c r="W5" i="1" s="1"/>
  <c r="W28" i="1" s="1"/>
  <c r="AM42" i="11" s="1"/>
  <c r="S72" i="2"/>
  <c r="T72" i="2" s="1"/>
  <c r="T30" i="2"/>
  <c r="U30" i="2" s="1"/>
  <c r="S21" i="2"/>
  <c r="AO15" i="10" s="1"/>
  <c r="R145" i="2"/>
  <c r="S143" i="2" s="1"/>
  <c r="S145" i="2" s="1"/>
  <c r="T143" i="2" s="1"/>
  <c r="T145" i="2" s="1"/>
  <c r="U143" i="2" s="1"/>
  <c r="U145" i="2" s="1"/>
  <c r="V143" i="2" s="1"/>
  <c r="V145" i="2" s="1"/>
  <c r="W143" i="2" s="1"/>
  <c r="W145" i="2" s="1"/>
  <c r="X143" i="2" s="1"/>
  <c r="X145" i="2" s="1"/>
  <c r="Y143" i="2" s="1"/>
  <c r="Y145" i="2" s="1"/>
  <c r="AN82" i="10"/>
  <c r="T55" i="2"/>
  <c r="AP58" i="10" s="1"/>
  <c r="AP35" i="12" s="1"/>
  <c r="E69" i="103"/>
  <c r="R241" i="2"/>
  <c r="AS34" i="10"/>
  <c r="AS56" i="12" s="1"/>
  <c r="AS53" i="12" s="1"/>
  <c r="M95" i="10"/>
  <c r="M100" i="10"/>
  <c r="X100" i="10"/>
  <c r="AF102" i="10"/>
  <c r="AF97" i="10"/>
  <c r="AG95" i="10"/>
  <c r="AG100" i="10"/>
  <c r="V40" i="11"/>
  <c r="V39" i="11"/>
  <c r="AE100" i="10"/>
  <c r="Q100" i="10"/>
  <c r="Q97" i="10"/>
  <c r="AR41" i="10"/>
  <c r="AR63" i="12" s="1"/>
  <c r="AL50" i="10"/>
  <c r="Q80" i="2"/>
  <c r="P92" i="2"/>
  <c r="X85" i="11"/>
  <c r="X86" i="11"/>
  <c r="I97" i="10"/>
  <c r="I100" i="10"/>
  <c r="F69" i="103"/>
  <c r="F97" i="10"/>
  <c r="F102" i="10"/>
  <c r="R155" i="2"/>
  <c r="R158" i="2" s="1"/>
  <c r="AM38" i="10"/>
  <c r="G95" i="10"/>
  <c r="G100" i="10"/>
  <c r="AU25" i="10"/>
  <c r="AU47" i="12" s="1"/>
  <c r="AT70" i="12"/>
  <c r="AU60" i="10"/>
  <c r="AU70" i="12" s="1"/>
  <c r="L100" i="10"/>
  <c r="L95" i="10"/>
  <c r="L102" i="10" s="1"/>
  <c r="M85" i="11"/>
  <c r="M86" i="11"/>
  <c r="Q86" i="11"/>
  <c r="D33" i="103"/>
  <c r="AF79" i="11"/>
  <c r="AF84" i="11"/>
  <c r="AF82" i="11"/>
  <c r="P46" i="1" s="1"/>
  <c r="AF80" i="11"/>
  <c r="AJ80" i="11"/>
  <c r="U22" i="2"/>
  <c r="T21" i="2"/>
  <c r="P95" i="10"/>
  <c r="P100" i="10"/>
  <c r="E79" i="94"/>
  <c r="F75" i="94"/>
  <c r="P39" i="2"/>
  <c r="AI102" i="10"/>
  <c r="AI97" i="10"/>
  <c r="W39" i="11"/>
  <c r="W40" i="11"/>
  <c r="AH85" i="11"/>
  <c r="AH86" i="11"/>
  <c r="AC95" i="10"/>
  <c r="AC100" i="10"/>
  <c r="AQ71" i="10"/>
  <c r="AP25" i="12"/>
  <c r="AT59" i="10"/>
  <c r="AS40" i="12"/>
  <c r="F85" i="11"/>
  <c r="J86" i="11"/>
  <c r="AT40" i="10"/>
  <c r="V28" i="1"/>
  <c r="AL42" i="11" s="1"/>
  <c r="R102" i="10"/>
  <c r="R97" i="10"/>
  <c r="H85" i="11"/>
  <c r="L86" i="11"/>
  <c r="AK102" i="10"/>
  <c r="AK97" i="10"/>
  <c r="E95" i="10"/>
  <c r="E100" i="10"/>
  <c r="Y39" i="11"/>
  <c r="Y40" i="11"/>
  <c r="N95" i="10"/>
  <c r="N100" i="10"/>
  <c r="T95" i="10"/>
  <c r="T100" i="10"/>
  <c r="AJ37" i="11"/>
  <c r="AJ36" i="11"/>
  <c r="AJ38" i="11"/>
  <c r="S97" i="10"/>
  <c r="U100" i="10"/>
  <c r="U95" i="10"/>
  <c r="U102" i="10" s="1"/>
  <c r="AA39" i="11"/>
  <c r="AA40" i="11"/>
  <c r="AE40" i="11"/>
  <c r="S39" i="11"/>
  <c r="S40" i="11"/>
  <c r="Q39" i="2"/>
  <c r="Q41" i="2" s="1"/>
  <c r="AC89" i="12"/>
  <c r="AG85" i="11"/>
  <c r="AR56" i="12"/>
  <c r="AR53" i="12" s="1"/>
  <c r="Y103" i="10"/>
  <c r="Y95" i="10"/>
  <c r="AQ63" i="12"/>
  <c r="D69" i="103"/>
  <c r="K85" i="11"/>
  <c r="K86" i="11"/>
  <c r="O86" i="11"/>
  <c r="AD97" i="10"/>
  <c r="AM67" i="12"/>
  <c r="AN78" i="10"/>
  <c r="AM92" i="11"/>
  <c r="AM93" i="11" s="1"/>
  <c r="AM44" i="12"/>
  <c r="AL68" i="12"/>
  <c r="P27" i="2"/>
  <c r="T102" i="2"/>
  <c r="U102" i="2" s="1"/>
  <c r="AO39" i="10"/>
  <c r="T108" i="2"/>
  <c r="T88" i="2"/>
  <c r="AO61" i="10"/>
  <c r="AN71" i="12"/>
  <c r="AO65" i="10"/>
  <c r="AO71" i="12" s="1"/>
  <c r="T204" i="2"/>
  <c r="T206" i="2" s="1"/>
  <c r="AL22" i="12"/>
  <c r="AM101" i="10"/>
  <c r="AM72" i="12"/>
  <c r="AM68" i="12" s="1"/>
  <c r="AM73" i="10"/>
  <c r="R200" i="2"/>
  <c r="AM22" i="12"/>
  <c r="T173" i="2"/>
  <c r="T177" i="2" s="1"/>
  <c r="AO35" i="10"/>
  <c r="AN30" i="10"/>
  <c r="S150" i="2"/>
  <c r="AN36" i="10"/>
  <c r="AN44" i="12"/>
  <c r="T99" i="2"/>
  <c r="AO26" i="10"/>
  <c r="AO48" i="12" s="1"/>
  <c r="AO44" i="12" s="1"/>
  <c r="AQ24" i="10"/>
  <c r="AP51" i="12"/>
  <c r="AP51" i="10"/>
  <c r="U84" i="2"/>
  <c r="U76" i="2"/>
  <c r="AP20" i="10"/>
  <c r="AO10" i="10"/>
  <c r="AO9" i="10"/>
  <c r="T68" i="2"/>
  <c r="AL52" i="10"/>
  <c r="T50" i="2"/>
  <c r="S49" i="2"/>
  <c r="AO56" i="10" s="1"/>
  <c r="T47" i="2"/>
  <c r="S46" i="2"/>
  <c r="AO55" i="10" s="1"/>
  <c r="AO39" i="12" s="1"/>
  <c r="T19" i="2"/>
  <c r="S18" i="2"/>
  <c r="AO14" i="10" s="1"/>
  <c r="F67" i="103"/>
  <c r="E34" i="103"/>
  <c r="E33" i="103"/>
  <c r="P5" i="2"/>
  <c r="P14" i="2" s="1"/>
  <c r="AL7" i="11"/>
  <c r="AL8" i="11"/>
  <c r="AL30" i="11"/>
  <c r="R35" i="2"/>
  <c r="R37" i="2" s="1"/>
  <c r="R25" i="2"/>
  <c r="R27" i="2" s="1"/>
  <c r="AL60" i="12"/>
  <c r="AL53" i="12" s="1"/>
  <c r="AL20" i="12"/>
  <c r="AL21" i="11"/>
  <c r="AL11" i="11"/>
  <c r="AL16" i="11"/>
  <c r="AL23" i="11"/>
  <c r="AL27" i="11"/>
  <c r="R49" i="2"/>
  <c r="AN56" i="10" s="1"/>
  <c r="R55" i="2"/>
  <c r="AN58" i="10" s="1"/>
  <c r="AO35" i="12" s="1"/>
  <c r="R18" i="2"/>
  <c r="AN14" i="10" s="1"/>
  <c r="AT39" i="11"/>
  <c r="AT40" i="11"/>
  <c r="AR40" i="11"/>
  <c r="AR39" i="11"/>
  <c r="W12" i="2"/>
  <c r="AS11" i="10"/>
  <c r="AP40" i="11"/>
  <c r="AP39" i="11"/>
  <c r="AL62" i="12"/>
  <c r="AL61" i="12" s="1"/>
  <c r="AL23" i="12"/>
  <c r="AS36" i="11"/>
  <c r="AS37" i="11"/>
  <c r="AS38" i="11"/>
  <c r="U37" i="2"/>
  <c r="AQ52" i="10"/>
  <c r="Q35" i="2"/>
  <c r="Q49" i="2"/>
  <c r="AM56" i="10" s="1"/>
  <c r="AM37" i="12" s="1"/>
  <c r="Q25" i="2"/>
  <c r="Q55" i="2"/>
  <c r="AM58" i="10" s="1"/>
  <c r="Q46" i="2"/>
  <c r="AM55" i="10" s="1"/>
  <c r="AM39" i="12" s="1"/>
  <c r="Q18" i="2"/>
  <c r="AM14" i="10" s="1"/>
  <c r="AM31" i="12" s="1"/>
  <c r="V37" i="2"/>
  <c r="AR52" i="10"/>
  <c r="AT36" i="12"/>
  <c r="AU39" i="11"/>
  <c r="AU40" i="11"/>
  <c r="AL27" i="12"/>
  <c r="AG40" i="11"/>
  <c r="AC40" i="11"/>
  <c r="AC39" i="11"/>
  <c r="AA85" i="11"/>
  <c r="AA86" i="11"/>
  <c r="AE86" i="11"/>
  <c r="AB39" i="11"/>
  <c r="AF40" i="11"/>
  <c r="AB40" i="11"/>
  <c r="S15" i="2"/>
  <c r="U55" i="2"/>
  <c r="AQ58" i="10" s="1"/>
  <c r="V56" i="2"/>
  <c r="AD40" i="11"/>
  <c r="Z39" i="11"/>
  <c r="Z40" i="11"/>
  <c r="AB102" i="10"/>
  <c r="AB97" i="10"/>
  <c r="R4" i="2"/>
  <c r="AN4" i="12"/>
  <c r="X4" i="1"/>
  <c r="X13" i="1" s="1"/>
  <c r="AO4" i="10"/>
  <c r="AN4" i="11"/>
  <c r="Q65" i="2"/>
  <c r="Q185" i="2"/>
  <c r="Q263" i="2"/>
  <c r="U52" i="2" l="1"/>
  <c r="AQ57" i="10" s="1"/>
  <c r="AQ38" i="12" s="1"/>
  <c r="W31" i="1"/>
  <c r="AM44" i="11" s="1"/>
  <c r="AM23" i="12" s="1"/>
  <c r="AN6" i="11"/>
  <c r="X7" i="1"/>
  <c r="X8" i="1" s="1"/>
  <c r="F27" i="103"/>
  <c r="X16" i="1"/>
  <c r="AN20" i="11" s="1"/>
  <c r="AN21" i="11" s="1"/>
  <c r="X22" i="1"/>
  <c r="AN24" i="11" s="1"/>
  <c r="X25" i="1"/>
  <c r="AN26" i="11" s="1"/>
  <c r="X19" i="1"/>
  <c r="AN22" i="11" s="1"/>
  <c r="X34" i="1"/>
  <c r="AN61" i="11" s="1"/>
  <c r="E27" i="103"/>
  <c r="W16" i="1"/>
  <c r="AM20" i="11" s="1"/>
  <c r="W22" i="1"/>
  <c r="AM24" i="11" s="1"/>
  <c r="W19" i="1"/>
  <c r="AM22" i="11" s="1"/>
  <c r="AM6" i="11"/>
  <c r="W34" i="1"/>
  <c r="AM61" i="11" s="1"/>
  <c r="W25" i="1"/>
  <c r="AM26" i="11" s="1"/>
  <c r="W7" i="1"/>
  <c r="W8" i="1" s="1"/>
  <c r="H83" i="94"/>
  <c r="H92" i="94" s="1"/>
  <c r="H93" i="94" s="1"/>
  <c r="G93" i="94"/>
  <c r="AN55" i="12"/>
  <c r="P179" i="2"/>
  <c r="Q135" i="2"/>
  <c r="Q131" i="2"/>
  <c r="Q133" i="2" s="1"/>
  <c r="Q126" i="2" s="1"/>
  <c r="Q179" i="2" s="1"/>
  <c r="AL32" i="10"/>
  <c r="AL42" i="10" s="1"/>
  <c r="AM14" i="12"/>
  <c r="AM12" i="12" s="1"/>
  <c r="Q120" i="2"/>
  <c r="R118" i="2" s="1"/>
  <c r="J102" i="10"/>
  <c r="J97" i="10"/>
  <c r="AS73" i="12"/>
  <c r="AT68" i="10"/>
  <c r="H102" i="10"/>
  <c r="H97" i="10"/>
  <c r="AJ85" i="11"/>
  <c r="AJ97" i="11"/>
  <c r="AJ98" i="11" s="1"/>
  <c r="AJ95" i="11"/>
  <c r="AJ96" i="11" s="1"/>
  <c r="AB85" i="11"/>
  <c r="AB86" i="11"/>
  <c r="O39" i="11"/>
  <c r="O89" i="11"/>
  <c r="K39" i="11"/>
  <c r="K89" i="11"/>
  <c r="K40" i="11"/>
  <c r="O40" i="11"/>
  <c r="AG39" i="11"/>
  <c r="AK40" i="11"/>
  <c r="S23" i="2"/>
  <c r="T29" i="2"/>
  <c r="AP17" i="10" s="1"/>
  <c r="AP32" i="12" s="1"/>
  <c r="AC85" i="11"/>
  <c r="AG86" i="11"/>
  <c r="AC86" i="11"/>
  <c r="AN76" i="12"/>
  <c r="AM53" i="10"/>
  <c r="AQ35" i="12"/>
  <c r="AO82" i="10"/>
  <c r="AP82" i="10" s="1"/>
  <c r="AO37" i="12"/>
  <c r="U97" i="10"/>
  <c r="N97" i="10"/>
  <c r="N102" i="10"/>
  <c r="AF85" i="11"/>
  <c r="AJ86" i="11"/>
  <c r="AF86" i="11"/>
  <c r="AM50" i="10"/>
  <c r="R80" i="2"/>
  <c r="Q92" i="2"/>
  <c r="M97" i="10"/>
  <c r="M102" i="10"/>
  <c r="Y102" i="10"/>
  <c r="Y97" i="10"/>
  <c r="AT34" i="10"/>
  <c r="AT56" i="12" s="1"/>
  <c r="AT53" i="12" s="1"/>
  <c r="T97" i="10"/>
  <c r="T102" i="10"/>
  <c r="AU40" i="10"/>
  <c r="AU24" i="12" s="1"/>
  <c r="F77" i="94"/>
  <c r="AJ39" i="11"/>
  <c r="AJ40" i="11"/>
  <c r="AU59" i="10"/>
  <c r="AU40" i="12" s="1"/>
  <c r="AT40" i="12"/>
  <c r="P102" i="10"/>
  <c r="P97" i="10"/>
  <c r="E73" i="103"/>
  <c r="T23" i="2"/>
  <c r="AP15" i="10"/>
  <c r="AP30" i="12" s="1"/>
  <c r="S26" i="2"/>
  <c r="F70" i="103"/>
  <c r="L97" i="10"/>
  <c r="G102" i="10"/>
  <c r="G97" i="10"/>
  <c r="AS41" i="10"/>
  <c r="AS63" i="12" s="1"/>
  <c r="AG102" i="10"/>
  <c r="AG97" i="10"/>
  <c r="R242" i="2"/>
  <c r="R244" i="2" s="1"/>
  <c r="AN49" i="10" s="1"/>
  <c r="R258" i="2"/>
  <c r="E38" i="103"/>
  <c r="AR71" i="10"/>
  <c r="AQ25" i="12"/>
  <c r="U21" i="2"/>
  <c r="V22" i="2"/>
  <c r="AC102" i="10"/>
  <c r="AC97" i="10"/>
  <c r="E97" i="10"/>
  <c r="E102" i="10"/>
  <c r="AT24" i="12"/>
  <c r="P41" i="2"/>
  <c r="AL53" i="10"/>
  <c r="S155" i="2"/>
  <c r="S158" i="2" s="1"/>
  <c r="AN38" i="10"/>
  <c r="AO78" i="10"/>
  <c r="AN92" i="11"/>
  <c r="AN93" i="11" s="1"/>
  <c r="AN67" i="12"/>
  <c r="AO31" i="12"/>
  <c r="AP27" i="10"/>
  <c r="AP49" i="12" s="1"/>
  <c r="AN16" i="10"/>
  <c r="P29" i="2"/>
  <c r="AL17" i="10" s="1"/>
  <c r="AL32" i="12" s="1"/>
  <c r="P43" i="2"/>
  <c r="AL54" i="10" s="1"/>
  <c r="AL36" i="12" s="1"/>
  <c r="P10" i="2"/>
  <c r="P12" i="2" s="1"/>
  <c r="P52" i="2"/>
  <c r="AL57" i="10" s="1"/>
  <c r="AL38" i="12" s="1"/>
  <c r="P21" i="2"/>
  <c r="P23" i="2" s="1"/>
  <c r="U108" i="2"/>
  <c r="AP39" i="10"/>
  <c r="AP61" i="10"/>
  <c r="U88" i="2"/>
  <c r="U204" i="2"/>
  <c r="U206" i="2" s="1"/>
  <c r="AP65" i="10"/>
  <c r="AP71" i="12" s="1"/>
  <c r="AN66" i="10"/>
  <c r="S197" i="2"/>
  <c r="U173" i="2"/>
  <c r="U177" i="2" s="1"/>
  <c r="AP35" i="10"/>
  <c r="AO30" i="10"/>
  <c r="T161" i="2"/>
  <c r="T170" i="2" s="1"/>
  <c r="T150" i="2"/>
  <c r="AO36" i="10"/>
  <c r="AQ27" i="10"/>
  <c r="V102" i="2"/>
  <c r="AP26" i="10"/>
  <c r="U99" i="2"/>
  <c r="AR24" i="10"/>
  <c r="AR51" i="12" s="1"/>
  <c r="AQ51" i="12"/>
  <c r="V84" i="2"/>
  <c r="AQ51" i="10"/>
  <c r="AQ20" i="10"/>
  <c r="V76" i="2"/>
  <c r="AP10" i="10"/>
  <c r="U72" i="2"/>
  <c r="AP9" i="10"/>
  <c r="U68" i="2"/>
  <c r="AN52" i="10"/>
  <c r="U50" i="2"/>
  <c r="T49" i="2"/>
  <c r="AP56" i="10" s="1"/>
  <c r="AP37" i="12" s="1"/>
  <c r="U47" i="2"/>
  <c r="T46" i="2"/>
  <c r="AP55" i="10" s="1"/>
  <c r="AP39" i="12" s="1"/>
  <c r="V30" i="2"/>
  <c r="U29" i="2"/>
  <c r="AQ17" i="10" s="1"/>
  <c r="U19" i="2"/>
  <c r="T18" i="2"/>
  <c r="AP14" i="10" s="1"/>
  <c r="AP31" i="12" s="1"/>
  <c r="F34" i="103"/>
  <c r="F33" i="103"/>
  <c r="AL19" i="12"/>
  <c r="AN35" i="12"/>
  <c r="AL17" i="11"/>
  <c r="AL35" i="11"/>
  <c r="AN39" i="12"/>
  <c r="AN37" i="12"/>
  <c r="AN31" i="12"/>
  <c r="P16" i="2"/>
  <c r="AL12" i="10"/>
  <c r="AL64" i="12"/>
  <c r="AS40" i="11"/>
  <c r="AS39" i="11"/>
  <c r="AM35" i="12"/>
  <c r="AM16" i="10"/>
  <c r="Q27" i="2"/>
  <c r="Y29" i="1"/>
  <c r="X28" i="1"/>
  <c r="AN42" i="11" s="1"/>
  <c r="Y32" i="1"/>
  <c r="X31" i="1"/>
  <c r="AN44" i="11" s="1"/>
  <c r="Q37" i="2"/>
  <c r="AM52" i="10"/>
  <c r="V55" i="2"/>
  <c r="AR58" i="10" s="1"/>
  <c r="AR35" i="12" s="1"/>
  <c r="W56" i="2"/>
  <c r="W53" i="2"/>
  <c r="V52" i="2"/>
  <c r="AR57" i="10" s="1"/>
  <c r="AR38" i="12" s="1"/>
  <c r="T15" i="2"/>
  <c r="S14" i="2"/>
  <c r="R65" i="2"/>
  <c r="R185" i="2"/>
  <c r="R263" i="2"/>
  <c r="AO4" i="11"/>
  <c r="AO4" i="12"/>
  <c r="AP4" i="10"/>
  <c r="S4" i="2"/>
  <c r="Y4" i="1"/>
  <c r="Y13" i="1" s="1"/>
  <c r="AQ32" i="12" l="1"/>
  <c r="AN23" i="11"/>
  <c r="AM62" i="12"/>
  <c r="AM61" i="12" s="1"/>
  <c r="AN27" i="11"/>
  <c r="AN20" i="12"/>
  <c r="AN60" i="12"/>
  <c r="AN53" i="12" s="1"/>
  <c r="AO7" i="11"/>
  <c r="R5" i="2"/>
  <c r="AN16" i="11"/>
  <c r="AN11" i="11"/>
  <c r="AM27" i="11"/>
  <c r="AM23" i="11"/>
  <c r="AM21" i="11"/>
  <c r="AM20" i="12"/>
  <c r="AM19" i="12" s="1"/>
  <c r="AM60" i="12"/>
  <c r="AM53" i="12" s="1"/>
  <c r="AM64" i="12" s="1"/>
  <c r="Q5" i="2"/>
  <c r="AN7" i="11"/>
  <c r="AM7" i="11"/>
  <c r="AM11" i="11"/>
  <c r="AM16" i="11"/>
  <c r="Q128" i="2"/>
  <c r="AM31" i="10" s="1"/>
  <c r="R131" i="2"/>
  <c r="R133" i="2" s="1"/>
  <c r="R126" i="2" s="1"/>
  <c r="R179" i="2" s="1"/>
  <c r="AM32" i="10"/>
  <c r="R135" i="2"/>
  <c r="AU68" i="10"/>
  <c r="AU73" i="12" s="1"/>
  <c r="AT73" i="12"/>
  <c r="AO76" i="12"/>
  <c r="AN27" i="12"/>
  <c r="F78" i="94"/>
  <c r="S241" i="2"/>
  <c r="S40" i="2"/>
  <c r="R39" i="2"/>
  <c r="F73" i="103"/>
  <c r="AN14" i="12"/>
  <c r="AN12" i="12" s="1"/>
  <c r="R120" i="2"/>
  <c r="S118" i="2" s="1"/>
  <c r="S120" i="2" s="1"/>
  <c r="T118" i="2" s="1"/>
  <c r="T120" i="2" s="1"/>
  <c r="U118" i="2" s="1"/>
  <c r="U120" i="2" s="1"/>
  <c r="V118" i="2" s="1"/>
  <c r="V120" i="2" s="1"/>
  <c r="W118" i="2" s="1"/>
  <c r="W120" i="2" s="1"/>
  <c r="X118" i="2" s="1"/>
  <c r="X120" i="2" s="1"/>
  <c r="Y118" i="2" s="1"/>
  <c r="Y120" i="2" s="1"/>
  <c r="T155" i="2"/>
  <c r="T158" i="2" s="1"/>
  <c r="AO38" i="10"/>
  <c r="T26" i="2"/>
  <c r="S25" i="2"/>
  <c r="AL34" i="12"/>
  <c r="AL33" i="12" s="1"/>
  <c r="V21" i="2"/>
  <c r="W22" i="2"/>
  <c r="U23" i="2"/>
  <c r="AQ15" i="10"/>
  <c r="AQ30" i="12" s="1"/>
  <c r="F38" i="103"/>
  <c r="Y43" i="1"/>
  <c r="Z43" i="1" s="1"/>
  <c r="AA43" i="1" s="1"/>
  <c r="AB43" i="1" s="1"/>
  <c r="AC43" i="1" s="1"/>
  <c r="AD43" i="1" s="1"/>
  <c r="AE43" i="1" s="1"/>
  <c r="AT41" i="10"/>
  <c r="AT63" i="12" s="1"/>
  <c r="AR25" i="12"/>
  <c r="AS71" i="10"/>
  <c r="AN78" i="12"/>
  <c r="AU34" i="10"/>
  <c r="AU56" i="12" s="1"/>
  <c r="AU53" i="12" s="1"/>
  <c r="AN50" i="10"/>
  <c r="R92" i="2"/>
  <c r="S80" i="2"/>
  <c r="R247" i="2"/>
  <c r="AN31" i="11" s="1"/>
  <c r="AP78" i="10"/>
  <c r="AO67" i="12"/>
  <c r="AO92" i="11"/>
  <c r="AL15" i="10"/>
  <c r="AL62" i="10"/>
  <c r="P59" i="2"/>
  <c r="P60" i="2" s="1"/>
  <c r="AL11" i="10"/>
  <c r="V108" i="2"/>
  <c r="AQ39" i="10"/>
  <c r="V88" i="2"/>
  <c r="AQ61" i="10"/>
  <c r="AQ65" i="10"/>
  <c r="AQ71" i="12" s="1"/>
  <c r="V204" i="2"/>
  <c r="V206" i="2" s="1"/>
  <c r="S200" i="2"/>
  <c r="AN101" i="10"/>
  <c r="AN73" i="10"/>
  <c r="AN72" i="12"/>
  <c r="AN68" i="12" s="1"/>
  <c r="V173" i="2"/>
  <c r="V177" i="2" s="1"/>
  <c r="AQ35" i="10"/>
  <c r="U161" i="2"/>
  <c r="U170" i="2" s="1"/>
  <c r="AP30" i="10"/>
  <c r="U150" i="2"/>
  <c r="AP36" i="10"/>
  <c r="AR27" i="10"/>
  <c r="AR49" i="12" s="1"/>
  <c r="W102" i="2"/>
  <c r="AQ49" i="12"/>
  <c r="V99" i="2"/>
  <c r="AQ26" i="10"/>
  <c r="AQ48" i="12" s="1"/>
  <c r="AP48" i="12"/>
  <c r="AP44" i="12" s="1"/>
  <c r="AS24" i="10"/>
  <c r="AS51" i="12" s="1"/>
  <c r="AR51" i="10"/>
  <c r="W84" i="2"/>
  <c r="W76" i="2"/>
  <c r="AR20" i="10"/>
  <c r="AQ10" i="10"/>
  <c r="V72" i="2"/>
  <c r="V68" i="2"/>
  <c r="AQ9" i="10"/>
  <c r="V50" i="2"/>
  <c r="U49" i="2"/>
  <c r="AQ56" i="10" s="1"/>
  <c r="AQ37" i="12" s="1"/>
  <c r="V47" i="2"/>
  <c r="U46" i="2"/>
  <c r="AQ55" i="10" s="1"/>
  <c r="AQ39" i="12" s="1"/>
  <c r="W30" i="2"/>
  <c r="V29" i="2"/>
  <c r="AR17" i="10" s="1"/>
  <c r="V19" i="2"/>
  <c r="U18" i="2"/>
  <c r="AQ14" i="10" s="1"/>
  <c r="AL38" i="11"/>
  <c r="AL37" i="11"/>
  <c r="AL36" i="11"/>
  <c r="AQ82" i="10"/>
  <c r="AP76" i="12"/>
  <c r="AM34" i="12"/>
  <c r="Y28" i="1"/>
  <c r="AO42" i="11" s="1"/>
  <c r="Z29" i="1"/>
  <c r="AN23" i="12"/>
  <c r="AN62" i="12"/>
  <c r="AN61" i="12" s="1"/>
  <c r="AM27" i="12"/>
  <c r="Z32" i="1"/>
  <c r="Y31" i="1"/>
  <c r="AO44" i="11" s="1"/>
  <c r="P234" i="2"/>
  <c r="S16" i="2"/>
  <c r="AO12" i="10"/>
  <c r="X53" i="2"/>
  <c r="W52" i="2"/>
  <c r="AS57" i="10" s="1"/>
  <c r="AS38" i="12" s="1"/>
  <c r="U15" i="2"/>
  <c r="T14" i="2"/>
  <c r="W55" i="2"/>
  <c r="AS58" i="10" s="1"/>
  <c r="AS35" i="12" s="1"/>
  <c r="X56" i="2"/>
  <c r="S263" i="2"/>
  <c r="S185" i="2"/>
  <c r="S65" i="2"/>
  <c r="AP4" i="12"/>
  <c r="Z4" i="1"/>
  <c r="Z13" i="1" s="1"/>
  <c r="T4" i="2"/>
  <c r="AP4" i="11"/>
  <c r="AQ4" i="10"/>
  <c r="AN17" i="11" l="1"/>
  <c r="AO18" i="11"/>
  <c r="AN35" i="11"/>
  <c r="R21" i="2"/>
  <c r="R14" i="2"/>
  <c r="R10" i="2"/>
  <c r="R29" i="2"/>
  <c r="AN17" i="10" s="1"/>
  <c r="AO32" i="12" s="1"/>
  <c r="R43" i="2"/>
  <c r="AN54" i="10" s="1"/>
  <c r="AO36" i="12" s="1"/>
  <c r="R52" i="2"/>
  <c r="AN57" i="10" s="1"/>
  <c r="AO38" i="12" s="1"/>
  <c r="Q10" i="2"/>
  <c r="Q29" i="2"/>
  <c r="AM17" i="10" s="1"/>
  <c r="Q52" i="2"/>
  <c r="AM57" i="10" s="1"/>
  <c r="Q14" i="2"/>
  <c r="Q43" i="2"/>
  <c r="AM54" i="10" s="1"/>
  <c r="Q21" i="2"/>
  <c r="AM17" i="11"/>
  <c r="AM35" i="11"/>
  <c r="AM42" i="10"/>
  <c r="R128" i="2"/>
  <c r="AN32" i="10"/>
  <c r="S131" i="2"/>
  <c r="S133" i="2" s="1"/>
  <c r="S126" i="2" s="1"/>
  <c r="S179" i="2" s="1"/>
  <c r="S135" i="2"/>
  <c r="AN22" i="12"/>
  <c r="AN19" i="12" s="1"/>
  <c r="AT71" i="10"/>
  <c r="AS25" i="12"/>
  <c r="U155" i="2"/>
  <c r="U158" i="2" s="1"/>
  <c r="AP38" i="10"/>
  <c r="AN53" i="10"/>
  <c r="R41" i="2"/>
  <c r="AO50" i="10"/>
  <c r="T80" i="2"/>
  <c r="S92" i="2"/>
  <c r="W21" i="2"/>
  <c r="X22" i="2"/>
  <c r="V23" i="2"/>
  <c r="AR15" i="10"/>
  <c r="AR30" i="12" s="1"/>
  <c r="S39" i="2"/>
  <c r="T40" i="2"/>
  <c r="AU41" i="10"/>
  <c r="AU63" i="12" s="1"/>
  <c r="S242" i="2"/>
  <c r="S258" i="2"/>
  <c r="AO16" i="10"/>
  <c r="AO27" i="12" s="1"/>
  <c r="S27" i="2"/>
  <c r="G75" i="94"/>
  <c r="F79" i="94"/>
  <c r="U26" i="2"/>
  <c r="T25" i="2"/>
  <c r="AO93" i="11"/>
  <c r="AO100" i="11"/>
  <c r="AP67" i="12"/>
  <c r="AP92" i="11"/>
  <c r="AQ78" i="10"/>
  <c r="AL76" i="10"/>
  <c r="AL30" i="12"/>
  <c r="AL29" i="12"/>
  <c r="AQ44" i="12"/>
  <c r="AR39" i="10"/>
  <c r="W108" i="2"/>
  <c r="W88" i="2"/>
  <c r="AR61" i="10"/>
  <c r="AR65" i="10"/>
  <c r="AR71" i="12" s="1"/>
  <c r="W204" i="2"/>
  <c r="W206" i="2" s="1"/>
  <c r="T197" i="2"/>
  <c r="AO66" i="10"/>
  <c r="W173" i="2"/>
  <c r="W177" i="2" s="1"/>
  <c r="AR35" i="10"/>
  <c r="AQ30" i="10"/>
  <c r="V161" i="2"/>
  <c r="V170" i="2" s="1"/>
  <c r="V150" i="2"/>
  <c r="AQ36" i="10"/>
  <c r="X102" i="2"/>
  <c r="AS27" i="10"/>
  <c r="AS49" i="12" s="1"/>
  <c r="W99" i="2"/>
  <c r="AR26" i="10"/>
  <c r="AT24" i="10"/>
  <c r="AS51" i="10"/>
  <c r="X84" i="2"/>
  <c r="AS20" i="10"/>
  <c r="X76" i="2"/>
  <c r="AR10" i="10"/>
  <c r="W72" i="2"/>
  <c r="AR9" i="10"/>
  <c r="W68" i="2"/>
  <c r="V49" i="2"/>
  <c r="AR56" i="10" s="1"/>
  <c r="AR37" i="12" s="1"/>
  <c r="W50" i="2"/>
  <c r="W47" i="2"/>
  <c r="V46" i="2"/>
  <c r="AR55" i="10" s="1"/>
  <c r="AR39" i="12" s="1"/>
  <c r="AR32" i="12"/>
  <c r="X30" i="2"/>
  <c r="W29" i="2"/>
  <c r="AS17" i="10" s="1"/>
  <c r="AQ31" i="12"/>
  <c r="V18" i="2"/>
  <c r="AR14" i="10" s="1"/>
  <c r="AR31" i="12" s="1"/>
  <c r="W19" i="2"/>
  <c r="AL39" i="11"/>
  <c r="AL63" i="11"/>
  <c r="AQ76" i="12"/>
  <c r="AR82" i="10"/>
  <c r="Q234" i="2"/>
  <c r="AO62" i="12"/>
  <c r="AO61" i="12" s="1"/>
  <c r="AO64" i="12" s="1"/>
  <c r="S234" i="2" s="1"/>
  <c r="AO23" i="12"/>
  <c r="AN64" i="12"/>
  <c r="Z31" i="1"/>
  <c r="AP44" i="11" s="1"/>
  <c r="AA32" i="1"/>
  <c r="Z28" i="1"/>
  <c r="AP42" i="11" s="1"/>
  <c r="AA29" i="1"/>
  <c r="T16" i="2"/>
  <c r="AP12" i="10"/>
  <c r="AP29" i="12" s="1"/>
  <c r="AP28" i="12" s="1"/>
  <c r="X52" i="2"/>
  <c r="AT57" i="10" s="1"/>
  <c r="AT38" i="12" s="1"/>
  <c r="Y53" i="2"/>
  <c r="Y52" i="2" s="1"/>
  <c r="AU57" i="10" s="1"/>
  <c r="X55" i="2"/>
  <c r="AT58" i="10" s="1"/>
  <c r="AT35" i="12" s="1"/>
  <c r="Y56" i="2"/>
  <c r="Y55" i="2" s="1"/>
  <c r="AU58" i="10" s="1"/>
  <c r="U14" i="2"/>
  <c r="V15" i="2"/>
  <c r="T185" i="2"/>
  <c r="T263" i="2"/>
  <c r="T65" i="2"/>
  <c r="U4" i="2"/>
  <c r="AR4" i="10"/>
  <c r="AQ4" i="11"/>
  <c r="AA4" i="1"/>
  <c r="AA13" i="1" s="1"/>
  <c r="AQ4" i="12"/>
  <c r="R12" i="2" l="1"/>
  <c r="AN11" i="10"/>
  <c r="R16" i="2"/>
  <c r="AN12" i="10"/>
  <c r="R23" i="2"/>
  <c r="AN15" i="10"/>
  <c r="AO30" i="12" s="1"/>
  <c r="AN36" i="11"/>
  <c r="AO37" i="11"/>
  <c r="AN38" i="11"/>
  <c r="R59" i="2"/>
  <c r="AM15" i="10"/>
  <c r="Q23" i="2"/>
  <c r="AM36" i="12"/>
  <c r="AM62" i="10"/>
  <c r="AM76" i="10" s="1"/>
  <c r="AN36" i="12"/>
  <c r="Q16" i="2"/>
  <c r="AM12" i="10"/>
  <c r="AN38" i="12"/>
  <c r="AM38" i="12"/>
  <c r="AM36" i="11"/>
  <c r="AM38" i="11"/>
  <c r="AM39" i="11" s="1"/>
  <c r="AN37" i="11"/>
  <c r="AM37" i="11"/>
  <c r="AM32" i="12"/>
  <c r="AN32" i="12"/>
  <c r="Q12" i="2"/>
  <c r="AM11" i="10"/>
  <c r="Q59" i="2"/>
  <c r="S128" i="2"/>
  <c r="AO31" i="10" s="1"/>
  <c r="AN31" i="10"/>
  <c r="AN42" i="10" s="1"/>
  <c r="T131" i="2"/>
  <c r="T133" i="2" s="1"/>
  <c r="T126" i="2" s="1"/>
  <c r="T179" i="2" s="1"/>
  <c r="AO32" i="10"/>
  <c r="T135" i="2"/>
  <c r="V26" i="2"/>
  <c r="U25" i="2"/>
  <c r="AO78" i="12"/>
  <c r="AN34" i="12"/>
  <c r="AN62" i="10"/>
  <c r="G77" i="94"/>
  <c r="G78" i="94" s="1"/>
  <c r="X21" i="2"/>
  <c r="Y22" i="2"/>
  <c r="Y21" i="2" s="1"/>
  <c r="AQ38" i="10"/>
  <c r="V155" i="2"/>
  <c r="V158" i="2" s="1"/>
  <c r="AS15" i="10"/>
  <c r="AS30" i="12" s="1"/>
  <c r="W23" i="2"/>
  <c r="AU71" i="10"/>
  <c r="AU25" i="12" s="1"/>
  <c r="AT25" i="12"/>
  <c r="S244" i="2"/>
  <c r="U40" i="2"/>
  <c r="T39" i="2"/>
  <c r="AP50" i="10"/>
  <c r="U80" i="2"/>
  <c r="T92" i="2"/>
  <c r="AP16" i="10"/>
  <c r="AP27" i="12" s="1"/>
  <c r="T27" i="2"/>
  <c r="S41" i="2"/>
  <c r="AO53" i="10"/>
  <c r="AO34" i="12" s="1"/>
  <c r="AO33" i="12" s="1"/>
  <c r="S59" i="2"/>
  <c r="AR78" i="10"/>
  <c r="AQ67" i="12"/>
  <c r="AQ92" i="11"/>
  <c r="AP93" i="11"/>
  <c r="AP100" i="11"/>
  <c r="AL28" i="12"/>
  <c r="AL26" i="12" s="1"/>
  <c r="AS39" i="10"/>
  <c r="X108" i="2"/>
  <c r="X88" i="2"/>
  <c r="AS61" i="10"/>
  <c r="X204" i="2"/>
  <c r="X206" i="2" s="1"/>
  <c r="AS65" i="10"/>
  <c r="AS71" i="12" s="1"/>
  <c r="AO72" i="12"/>
  <c r="AO68" i="12" s="1"/>
  <c r="AO73" i="10"/>
  <c r="T200" i="2"/>
  <c r="X173" i="2"/>
  <c r="X177" i="2" s="1"/>
  <c r="AS35" i="10"/>
  <c r="W161" i="2"/>
  <c r="W170" i="2" s="1"/>
  <c r="AR30" i="10"/>
  <c r="W150" i="2"/>
  <c r="AR36" i="10"/>
  <c r="Y102" i="2"/>
  <c r="AU27" i="10" s="1"/>
  <c r="AT27" i="10"/>
  <c r="X99" i="2"/>
  <c r="AS26" i="10"/>
  <c r="AR48" i="12"/>
  <c r="AR44" i="12" s="1"/>
  <c r="AU24" i="10"/>
  <c r="AU51" i="12" s="1"/>
  <c r="AT51" i="12"/>
  <c r="AT51" i="10"/>
  <c r="Y84" i="2"/>
  <c r="AU51" i="10" s="1"/>
  <c r="AT20" i="10"/>
  <c r="Y76" i="2"/>
  <c r="AU20" i="10" s="1"/>
  <c r="X72" i="2"/>
  <c r="AS10" i="10"/>
  <c r="X68" i="2"/>
  <c r="AS9" i="10"/>
  <c r="X50" i="2"/>
  <c r="W49" i="2"/>
  <c r="AS56" i="10" s="1"/>
  <c r="AS37" i="12" s="1"/>
  <c r="W46" i="2"/>
  <c r="AS55" i="10" s="1"/>
  <c r="AS39" i="12" s="1"/>
  <c r="X47" i="2"/>
  <c r="Y30" i="2"/>
  <c r="Y29" i="2" s="1"/>
  <c r="AU17" i="10" s="1"/>
  <c r="X29" i="2"/>
  <c r="AT17" i="10" s="1"/>
  <c r="AS32" i="12"/>
  <c r="X19" i="2"/>
  <c r="W18" i="2"/>
  <c r="AS14" i="10" s="1"/>
  <c r="AL64" i="11"/>
  <c r="AL74" i="11"/>
  <c r="AL65" i="11"/>
  <c r="AS82" i="10"/>
  <c r="AR76" i="12"/>
  <c r="AU35" i="12"/>
  <c r="AA31" i="1"/>
  <c r="AQ44" i="11" s="1"/>
  <c r="AB32" i="1"/>
  <c r="AP23" i="12"/>
  <c r="AP62" i="12"/>
  <c r="AP61" i="12" s="1"/>
  <c r="AP64" i="12" s="1"/>
  <c r="T234" i="2" s="1"/>
  <c r="AU38" i="12"/>
  <c r="R234" i="2"/>
  <c r="AA28" i="1"/>
  <c r="AQ42" i="11" s="1"/>
  <c r="AB29" i="1"/>
  <c r="W15" i="2"/>
  <c r="V14" i="2"/>
  <c r="AQ12" i="10"/>
  <c r="U16" i="2"/>
  <c r="U185" i="2"/>
  <c r="U263" i="2"/>
  <c r="U65" i="2"/>
  <c r="AR4" i="12"/>
  <c r="V4" i="2"/>
  <c r="AS4" i="10"/>
  <c r="AR4" i="11"/>
  <c r="AB4" i="1"/>
  <c r="AB13" i="1" s="1"/>
  <c r="AM33" i="12" l="1"/>
  <c r="AO42" i="10"/>
  <c r="S60" i="2"/>
  <c r="AO29" i="12"/>
  <c r="AO28" i="12" s="1"/>
  <c r="AO26" i="12" s="1"/>
  <c r="AO40" i="11"/>
  <c r="AN39" i="11"/>
  <c r="Q60" i="2"/>
  <c r="R60" i="2"/>
  <c r="AN33" i="12"/>
  <c r="AN29" i="12"/>
  <c r="AM29" i="12"/>
  <c r="AN30" i="12"/>
  <c r="AM30" i="12"/>
  <c r="T128" i="2"/>
  <c r="AP31" i="10" s="1"/>
  <c r="AP32" i="10"/>
  <c r="U135" i="2"/>
  <c r="U131" i="2"/>
  <c r="U133" i="2" s="1"/>
  <c r="U126" i="2" s="1"/>
  <c r="U179" i="2" s="1"/>
  <c r="G79" i="94"/>
  <c r="H75" i="94"/>
  <c r="AO49" i="10"/>
  <c r="S247" i="2"/>
  <c r="AO31" i="11" s="1"/>
  <c r="X23" i="2"/>
  <c r="AT15" i="10"/>
  <c r="T59" i="2"/>
  <c r="T60" i="2" s="1"/>
  <c r="AP53" i="10"/>
  <c r="AP34" i="12" s="1"/>
  <c r="AP33" i="12" s="1"/>
  <c r="AP26" i="12" s="1"/>
  <c r="T41" i="2"/>
  <c r="U39" i="2"/>
  <c r="V40" i="2"/>
  <c r="AU15" i="10"/>
  <c r="Y23" i="2"/>
  <c r="V80" i="2"/>
  <c r="U92" i="2"/>
  <c r="AQ50" i="10"/>
  <c r="AQ16" i="10"/>
  <c r="AQ27" i="12" s="1"/>
  <c r="U27" i="2"/>
  <c r="W155" i="2"/>
  <c r="W158" i="2" s="1"/>
  <c r="AR38" i="10"/>
  <c r="AN76" i="10"/>
  <c r="W26" i="2"/>
  <c r="V25" i="2"/>
  <c r="AQ100" i="11"/>
  <c r="AQ93" i="11"/>
  <c r="AR67" i="12"/>
  <c r="AR92" i="11"/>
  <c r="AS78" i="10"/>
  <c r="AT39" i="10"/>
  <c r="Y108" i="2"/>
  <c r="AU39" i="10" s="1"/>
  <c r="AU49" i="12"/>
  <c r="AT61" i="10"/>
  <c r="Y88" i="2"/>
  <c r="AU61" i="10" s="1"/>
  <c r="AT65" i="10"/>
  <c r="AT71" i="12" s="1"/>
  <c r="Y204" i="2"/>
  <c r="Y206" i="2" s="1"/>
  <c r="AU65" i="10" s="1"/>
  <c r="U197" i="2"/>
  <c r="AP66" i="10"/>
  <c r="Y173" i="2"/>
  <c r="Y177" i="2" s="1"/>
  <c r="AU35" i="10" s="1"/>
  <c r="AT35" i="10"/>
  <c r="X161" i="2"/>
  <c r="X170" i="2" s="1"/>
  <c r="AS30" i="10"/>
  <c r="X150" i="2"/>
  <c r="AS36" i="10"/>
  <c r="AT49" i="12"/>
  <c r="Y99" i="2"/>
  <c r="AU26" i="10" s="1"/>
  <c r="AT26" i="10"/>
  <c r="AS48" i="12"/>
  <c r="AS44" i="12" s="1"/>
  <c r="Y72" i="2"/>
  <c r="AU10" i="10" s="1"/>
  <c r="AT10" i="10"/>
  <c r="AT9" i="10"/>
  <c r="Y68" i="2"/>
  <c r="AU32" i="12"/>
  <c r="X49" i="2"/>
  <c r="AT56" i="10" s="1"/>
  <c r="AT37" i="12" s="1"/>
  <c r="Y50" i="2"/>
  <c r="Y49" i="2" s="1"/>
  <c r="AU56" i="10" s="1"/>
  <c r="X46" i="2"/>
  <c r="AT55" i="10" s="1"/>
  <c r="AT39" i="12" s="1"/>
  <c r="Y47" i="2"/>
  <c r="Y46" i="2" s="1"/>
  <c r="AU55" i="10" s="1"/>
  <c r="AT32" i="12"/>
  <c r="AS31" i="12"/>
  <c r="X18" i="2"/>
  <c r="AT14" i="10" s="1"/>
  <c r="Y19" i="2"/>
  <c r="Y18" i="2" s="1"/>
  <c r="AU14" i="10" s="1"/>
  <c r="V40" i="1"/>
  <c r="AL56" i="11"/>
  <c r="AL43" i="11"/>
  <c r="AL75" i="11"/>
  <c r="AL47" i="11"/>
  <c r="AL50" i="11"/>
  <c r="AL53" i="11"/>
  <c r="AL62" i="11"/>
  <c r="V42" i="1"/>
  <c r="AL76" i="11" s="1"/>
  <c r="AL78" i="11" s="1"/>
  <c r="AS76" i="12"/>
  <c r="AT82" i="10"/>
  <c r="AC29" i="1"/>
  <c r="AB28" i="1"/>
  <c r="AR42" i="11" s="1"/>
  <c r="AB31" i="1"/>
  <c r="AR44" i="11" s="1"/>
  <c r="AC32" i="1"/>
  <c r="AQ23" i="12"/>
  <c r="AQ62" i="12"/>
  <c r="AQ61" i="12" s="1"/>
  <c r="AQ64" i="12" s="1"/>
  <c r="U234" i="2" s="1"/>
  <c r="AR12" i="10"/>
  <c r="AR29" i="12" s="1"/>
  <c r="AR28" i="12" s="1"/>
  <c r="V16" i="2"/>
  <c r="W14" i="2"/>
  <c r="X15" i="2"/>
  <c r="AQ29" i="12"/>
  <c r="AQ28" i="12" s="1"/>
  <c r="W4" i="2"/>
  <c r="AS4" i="12"/>
  <c r="AS4" i="11"/>
  <c r="AT4" i="10"/>
  <c r="AC4" i="1"/>
  <c r="AC13" i="1" s="1"/>
  <c r="V185" i="2"/>
  <c r="V65" i="2"/>
  <c r="V263" i="2"/>
  <c r="AU39" i="12" l="1"/>
  <c r="AP42" i="10"/>
  <c r="AM28" i="12"/>
  <c r="AM26" i="12" s="1"/>
  <c r="AN28" i="12"/>
  <c r="AN26" i="12" s="1"/>
  <c r="V135" i="2"/>
  <c r="V131" i="2"/>
  <c r="V133" i="2" s="1"/>
  <c r="V126" i="2" s="1"/>
  <c r="V179" i="2" s="1"/>
  <c r="AQ32" i="10"/>
  <c r="U128" i="2"/>
  <c r="AQ31" i="10" s="1"/>
  <c r="AQ42" i="10" s="1"/>
  <c r="AU30" i="12"/>
  <c r="AT30" i="12"/>
  <c r="V27" i="2"/>
  <c r="AR16" i="10"/>
  <c r="AR27" i="12" s="1"/>
  <c r="AS38" i="10"/>
  <c r="X155" i="2"/>
  <c r="X158" i="2" s="1"/>
  <c r="U41" i="2"/>
  <c r="AQ53" i="10"/>
  <c r="AQ34" i="12" s="1"/>
  <c r="AQ33" i="12" s="1"/>
  <c r="AQ26" i="12" s="1"/>
  <c r="U59" i="2"/>
  <c r="U60" i="2" s="1"/>
  <c r="T241" i="2"/>
  <c r="AO62" i="10"/>
  <c r="AO76" i="10" s="1"/>
  <c r="AO101" i="10"/>
  <c r="W25" i="2"/>
  <c r="X26" i="2"/>
  <c r="AO74" i="12"/>
  <c r="AO77" i="12" s="1"/>
  <c r="AO22" i="12"/>
  <c r="AO19" i="12" s="1"/>
  <c r="H77" i="94"/>
  <c r="H78" i="94"/>
  <c r="H79" i="94" s="1"/>
  <c r="W40" i="2"/>
  <c r="V39" i="2"/>
  <c r="AR50" i="10"/>
  <c r="W80" i="2"/>
  <c r="V92" i="2"/>
  <c r="AS92" i="11"/>
  <c r="AS67" i="12"/>
  <c r="AT78" i="10"/>
  <c r="AR100" i="11"/>
  <c r="AR93" i="11"/>
  <c r="AU71" i="12"/>
  <c r="AP72" i="12"/>
  <c r="AP68" i="12" s="1"/>
  <c r="AP73" i="10"/>
  <c r="U200" i="2"/>
  <c r="AT30" i="10"/>
  <c r="Y161" i="2"/>
  <c r="Y170" i="2" s="1"/>
  <c r="AU30" i="10" s="1"/>
  <c r="AT36" i="10"/>
  <c r="Y150" i="2"/>
  <c r="AU36" i="10" s="1"/>
  <c r="AU48" i="12"/>
  <c r="AU44" i="12" s="1"/>
  <c r="AT48" i="12"/>
  <c r="AT44" i="12" s="1"/>
  <c r="AU9" i="10"/>
  <c r="AU37" i="12"/>
  <c r="AU31" i="12"/>
  <c r="AT31" i="12"/>
  <c r="AL80" i="11"/>
  <c r="V45" i="1"/>
  <c r="AL81" i="11" s="1"/>
  <c r="AL77" i="11"/>
  <c r="AU82" i="10"/>
  <c r="AU76" i="12" s="1"/>
  <c r="AT76" i="12"/>
  <c r="AC31" i="1"/>
  <c r="AS44" i="11" s="1"/>
  <c r="AD32" i="1"/>
  <c r="AR62" i="12"/>
  <c r="AR61" i="12" s="1"/>
  <c r="AR64" i="12" s="1"/>
  <c r="V234" i="2" s="1"/>
  <c r="AR23" i="12"/>
  <c r="AD29" i="1"/>
  <c r="AC28" i="1"/>
  <c r="AS42" i="11" s="1"/>
  <c r="X14" i="2"/>
  <c r="Y15" i="2"/>
  <c r="Y14" i="2" s="1"/>
  <c r="AS12" i="10"/>
  <c r="AS29" i="12" s="1"/>
  <c r="AS28" i="12" s="1"/>
  <c r="W16" i="2"/>
  <c r="AU4" i="10"/>
  <c r="AT4" i="12"/>
  <c r="AD4" i="1"/>
  <c r="AD13" i="1" s="1"/>
  <c r="X4" i="2"/>
  <c r="AT4" i="11"/>
  <c r="W185" i="2"/>
  <c r="W65" i="2"/>
  <c r="W263" i="2"/>
  <c r="V128" i="2" l="1"/>
  <c r="AR31" i="10" s="1"/>
  <c r="AR32" i="10"/>
  <c r="W131" i="2"/>
  <c r="W133" i="2" s="1"/>
  <c r="W126" i="2" s="1"/>
  <c r="W179" i="2" s="1"/>
  <c r="W135" i="2"/>
  <c r="X25" i="2"/>
  <c r="Y26" i="2"/>
  <c r="Y25" i="2" s="1"/>
  <c r="AT38" i="10"/>
  <c r="Y155" i="2"/>
  <c r="Y158" i="2" s="1"/>
  <c r="AU38" i="10" s="1"/>
  <c r="V59" i="2"/>
  <c r="V60" i="2" s="1"/>
  <c r="AR53" i="10"/>
  <c r="AR34" i="12" s="1"/>
  <c r="AR33" i="12" s="1"/>
  <c r="AR26" i="12" s="1"/>
  <c r="V41" i="2"/>
  <c r="AS16" i="10"/>
  <c r="AS27" i="12" s="1"/>
  <c r="W27" i="2"/>
  <c r="T258" i="2"/>
  <c r="T242" i="2"/>
  <c r="T244" i="2" s="1"/>
  <c r="AP49" i="10" s="1"/>
  <c r="X40" i="2"/>
  <c r="W39" i="2"/>
  <c r="AS50" i="10"/>
  <c r="W92" i="2"/>
  <c r="X80" i="2"/>
  <c r="S235" i="2"/>
  <c r="AO79" i="12"/>
  <c r="AT92" i="11"/>
  <c r="AU78" i="10"/>
  <c r="AT67" i="12"/>
  <c r="AS93" i="11"/>
  <c r="AS100" i="11"/>
  <c r="AQ66" i="10"/>
  <c r="V197" i="2"/>
  <c r="AL86" i="11"/>
  <c r="AL86" i="10"/>
  <c r="AL97" i="11"/>
  <c r="AL98" i="11" s="1"/>
  <c r="AL87" i="10"/>
  <c r="AL7" i="12"/>
  <c r="AL95" i="11"/>
  <c r="AL96" i="11" s="1"/>
  <c r="AL91" i="10"/>
  <c r="AL8" i="12"/>
  <c r="AL89" i="11"/>
  <c r="AL82" i="11"/>
  <c r="AE29" i="1"/>
  <c r="AE28" i="1" s="1"/>
  <c r="AU42" i="11" s="1"/>
  <c r="AD28" i="1"/>
  <c r="AT42" i="11" s="1"/>
  <c r="AD31" i="1"/>
  <c r="AT44" i="11" s="1"/>
  <c r="AE32" i="1"/>
  <c r="AE31" i="1" s="1"/>
  <c r="AU44" i="11" s="1"/>
  <c r="AS62" i="12"/>
  <c r="AS61" i="12" s="1"/>
  <c r="AS64" i="12" s="1"/>
  <c r="W234" i="2" s="1"/>
  <c r="AS23" i="12"/>
  <c r="Y16" i="2"/>
  <c r="AU12" i="10"/>
  <c r="AT12" i="10"/>
  <c r="X16" i="2"/>
  <c r="X65" i="2"/>
  <c r="X185" i="2"/>
  <c r="X263" i="2"/>
  <c r="AU4" i="11"/>
  <c r="AU4" i="12"/>
  <c r="Y4" i="2"/>
  <c r="AE4" i="1"/>
  <c r="AE13" i="1" s="1"/>
  <c r="W128" i="2" l="1"/>
  <c r="AS31" i="10" s="1"/>
  <c r="AR42" i="10"/>
  <c r="X131" i="2"/>
  <c r="X133" i="2" s="1"/>
  <c r="X126" i="2" s="1"/>
  <c r="X179" i="2" s="1"/>
  <c r="X135" i="2"/>
  <c r="AS32" i="10"/>
  <c r="Y80" i="2"/>
  <c r="X92" i="2"/>
  <c r="AT50" i="10"/>
  <c r="T247" i="2"/>
  <c r="AP31" i="11" s="1"/>
  <c r="U241" i="2"/>
  <c r="AP62" i="10"/>
  <c r="AP76" i="10" s="1"/>
  <c r="AP101" i="10"/>
  <c r="AP78" i="12"/>
  <c r="W41" i="2"/>
  <c r="AS53" i="10"/>
  <c r="AS34" i="12" s="1"/>
  <c r="AS33" i="12" s="1"/>
  <c r="AS26" i="12" s="1"/>
  <c r="W59" i="2"/>
  <c r="W60" i="2" s="1"/>
  <c r="X39" i="2"/>
  <c r="Y40" i="2"/>
  <c r="Y39" i="2" s="1"/>
  <c r="Y27" i="2"/>
  <c r="AU16" i="10"/>
  <c r="AT16" i="10"/>
  <c r="X27" i="2"/>
  <c r="AU67" i="12"/>
  <c r="AU92" i="11"/>
  <c r="AT93" i="11"/>
  <c r="AT100" i="11"/>
  <c r="V200" i="2"/>
  <c r="AQ73" i="10"/>
  <c r="AQ72" i="12"/>
  <c r="AQ68" i="12" s="1"/>
  <c r="AL89" i="10"/>
  <c r="AL102" i="11"/>
  <c r="AL100" i="11" s="1"/>
  <c r="AL74" i="12"/>
  <c r="P218" i="2"/>
  <c r="AL101" i="11" s="1"/>
  <c r="AL41" i="12"/>
  <c r="AL89" i="12" s="1"/>
  <c r="AU62" i="12"/>
  <c r="AU61" i="12" s="1"/>
  <c r="AU64" i="12" s="1"/>
  <c r="Y234" i="2" s="1"/>
  <c r="AU23" i="12"/>
  <c r="AU29" i="12"/>
  <c r="AU28" i="12" s="1"/>
  <c r="AT62" i="12"/>
  <c r="AT61" i="12" s="1"/>
  <c r="AT64" i="12" s="1"/>
  <c r="X234" i="2" s="1"/>
  <c r="AT23" i="12"/>
  <c r="AT29" i="12"/>
  <c r="AT28" i="12" s="1"/>
  <c r="Y263" i="2"/>
  <c r="Y185" i="2"/>
  <c r="Y65" i="2"/>
  <c r="AS42" i="10" l="1"/>
  <c r="X128" i="2"/>
  <c r="Y135" i="2"/>
  <c r="AU32" i="10" s="1"/>
  <c r="AT32" i="10"/>
  <c r="Y131" i="2"/>
  <c r="Y133" i="2" s="1"/>
  <c r="Y126" i="2" s="1"/>
  <c r="Y179" i="2" s="1"/>
  <c r="AP22" i="12"/>
  <c r="AP19" i="12" s="1"/>
  <c r="AP74" i="12"/>
  <c r="AP77" i="12" s="1"/>
  <c r="X41" i="2"/>
  <c r="AT53" i="10"/>
  <c r="AT34" i="12" s="1"/>
  <c r="AT33" i="12" s="1"/>
  <c r="X59" i="2"/>
  <c r="X60" i="2" s="1"/>
  <c r="Y59" i="2"/>
  <c r="Y41" i="2"/>
  <c r="AU53" i="10"/>
  <c r="AU27" i="12"/>
  <c r="AT27" i="12"/>
  <c r="AU50" i="10"/>
  <c r="Y92" i="2"/>
  <c r="U242" i="2"/>
  <c r="U244" i="2"/>
  <c r="AQ49" i="10" s="1"/>
  <c r="U258" i="2"/>
  <c r="AU100" i="11"/>
  <c r="AU93" i="11"/>
  <c r="AL93" i="10"/>
  <c r="AR66" i="10"/>
  <c r="W197" i="2"/>
  <c r="AL77" i="12"/>
  <c r="AL79" i="12" s="1"/>
  <c r="P233" i="2"/>
  <c r="Y128" i="2" l="1"/>
  <c r="AU31" i="10" s="1"/>
  <c r="AU42" i="10" s="1"/>
  <c r="AT31" i="10"/>
  <c r="AT42" i="10" s="1"/>
  <c r="AT26" i="12"/>
  <c r="Y60" i="2"/>
  <c r="V241" i="2"/>
  <c r="AQ62" i="10"/>
  <c r="AQ76" i="10" s="1"/>
  <c r="AQ101" i="10"/>
  <c r="AQ78" i="12"/>
  <c r="AP79" i="12"/>
  <c r="T235" i="2"/>
  <c r="U247" i="2"/>
  <c r="AQ31" i="11" s="1"/>
  <c r="AU34" i="12"/>
  <c r="AU33" i="12" s="1"/>
  <c r="AU26" i="12" s="1"/>
  <c r="AL95" i="10"/>
  <c r="AL102" i="10" s="1"/>
  <c r="AL103" i="10"/>
  <c r="AR72" i="12"/>
  <c r="AR68" i="12" s="1"/>
  <c r="AR73" i="10"/>
  <c r="W200" i="2"/>
  <c r="P235" i="2"/>
  <c r="P237" i="2" s="1"/>
  <c r="P239" i="2" s="1"/>
  <c r="AL83" i="12"/>
  <c r="AQ74" i="12" l="1"/>
  <c r="AQ77" i="12" s="1"/>
  <c r="AQ22" i="12"/>
  <c r="AQ19" i="12" s="1"/>
  <c r="V258" i="2"/>
  <c r="V242" i="2"/>
  <c r="V244" i="2"/>
  <c r="AR49" i="10" s="1"/>
  <c r="X197" i="2"/>
  <c r="AS66" i="10"/>
  <c r="AL87" i="12"/>
  <c r="W241" i="2" l="1"/>
  <c r="AR62" i="10"/>
  <c r="AR76" i="10" s="1"/>
  <c r="AR101" i="10"/>
  <c r="AR78" i="12"/>
  <c r="U235" i="2"/>
  <c r="AQ79" i="12"/>
  <c r="V247" i="2"/>
  <c r="AR31" i="11" s="1"/>
  <c r="AS72" i="12"/>
  <c r="AS68" i="12" s="1"/>
  <c r="AS73" i="10"/>
  <c r="X200" i="2"/>
  <c r="AL8" i="10"/>
  <c r="AR74" i="12" l="1"/>
  <c r="AR77" i="12" s="1"/>
  <c r="AR22" i="12"/>
  <c r="AR19" i="12" s="1"/>
  <c r="W258" i="2"/>
  <c r="W242" i="2"/>
  <c r="Y197" i="2"/>
  <c r="AT66" i="10"/>
  <c r="Q257" i="2"/>
  <c r="Q251" i="2" s="1"/>
  <c r="AM85" i="12"/>
  <c r="Q231" i="2"/>
  <c r="AL21" i="10"/>
  <c r="AS78" i="12" l="1"/>
  <c r="W244" i="2"/>
  <c r="V235" i="2"/>
  <c r="AR79" i="12"/>
  <c r="AT72" i="12"/>
  <c r="AT68" i="12" s="1"/>
  <c r="AT73" i="10"/>
  <c r="Y200" i="2"/>
  <c r="AU66" i="10" s="1"/>
  <c r="Q255" i="2"/>
  <c r="AM32" i="11"/>
  <c r="AL45" i="10"/>
  <c r="AL99" i="10"/>
  <c r="AS49" i="10" l="1"/>
  <c r="W247" i="2"/>
  <c r="AS31" i="11" s="1"/>
  <c r="AU72" i="12"/>
  <c r="AU68" i="12" s="1"/>
  <c r="AU73" i="10"/>
  <c r="AL97" i="10"/>
  <c r="AL100" i="10"/>
  <c r="AM8" i="11"/>
  <c r="AM63" i="11"/>
  <c r="AM30" i="11"/>
  <c r="AS74" i="12" l="1"/>
  <c r="AS77" i="12" s="1"/>
  <c r="AS22" i="12"/>
  <c r="AS19" i="12" s="1"/>
  <c r="X241" i="2"/>
  <c r="AS62" i="10"/>
  <c r="AS76" i="10" s="1"/>
  <c r="AS101" i="10"/>
  <c r="AM74" i="11"/>
  <c r="AM65" i="11"/>
  <c r="AM64" i="11"/>
  <c r="X242" i="2" l="1"/>
  <c r="X258" i="2"/>
  <c r="X244" i="2"/>
  <c r="AT49" i="10" s="1"/>
  <c r="AS79" i="12"/>
  <c r="W235" i="2"/>
  <c r="W42" i="1"/>
  <c r="AM76" i="11" s="1"/>
  <c r="AM78" i="11" s="1"/>
  <c r="AM75" i="11"/>
  <c r="AM62" i="11"/>
  <c r="AM53" i="11"/>
  <c r="AM47" i="11"/>
  <c r="AM50" i="11"/>
  <c r="AM56" i="11"/>
  <c r="AM43" i="11"/>
  <c r="W40" i="1"/>
  <c r="Y241" i="2" l="1"/>
  <c r="AT62" i="10"/>
  <c r="AT76" i="10" s="1"/>
  <c r="AT101" i="10"/>
  <c r="X247" i="2"/>
  <c r="AT31" i="11" s="1"/>
  <c r="AT78" i="12"/>
  <c r="AM80" i="11"/>
  <c r="W45" i="1"/>
  <c r="AM81" i="11" s="1"/>
  <c r="AM77" i="11"/>
  <c r="AT22" i="12" l="1"/>
  <c r="AT19" i="12" s="1"/>
  <c r="AT74" i="12"/>
  <c r="AT77" i="12" s="1"/>
  <c r="Y244" i="2"/>
  <c r="AU49" i="10" s="1"/>
  <c r="Y258" i="2"/>
  <c r="Y242" i="2"/>
  <c r="AM86" i="10"/>
  <c r="AM87" i="10"/>
  <c r="AM97" i="11"/>
  <c r="AM98" i="11" s="1"/>
  <c r="AM7" i="12"/>
  <c r="AM86" i="11"/>
  <c r="AM95" i="11"/>
  <c r="AM96" i="11" s="1"/>
  <c r="AM8" i="12"/>
  <c r="AM82" i="11"/>
  <c r="AM91" i="10"/>
  <c r="AM89" i="11"/>
  <c r="Y247" i="2" l="1"/>
  <c r="AU31" i="11" s="1"/>
  <c r="AU74" i="12" s="1"/>
  <c r="AU77" i="12" s="1"/>
  <c r="AU78" i="12"/>
  <c r="AU62" i="10"/>
  <c r="AU76" i="10" s="1"/>
  <c r="AU101" i="10"/>
  <c r="AT79" i="12"/>
  <c r="X235" i="2"/>
  <c r="AM89" i="10"/>
  <c r="AM41" i="12"/>
  <c r="AM74" i="12"/>
  <c r="AM102" i="11"/>
  <c r="AM100" i="11" s="1"/>
  <c r="Q218" i="2"/>
  <c r="AM101" i="11" s="1"/>
  <c r="AU22" i="12" l="1"/>
  <c r="AU19" i="12" s="1"/>
  <c r="Y235" i="2"/>
  <c r="AU79" i="12"/>
  <c r="AM93" i="10"/>
  <c r="AM103" i="10" s="1"/>
  <c r="AM77" i="12"/>
  <c r="Q233" i="2"/>
  <c r="AM89" i="12"/>
  <c r="AM95" i="10" l="1"/>
  <c r="AM102" i="10" s="1"/>
  <c r="Q235" i="2"/>
  <c r="Q237" i="2" s="1"/>
  <c r="Q239" i="2" s="1"/>
  <c r="AM79" i="12"/>
  <c r="AM83" i="12" l="1"/>
  <c r="AM87" i="12" l="1"/>
  <c r="AM8" i="10" l="1"/>
  <c r="R257" i="2" l="1"/>
  <c r="R251" i="2" s="1"/>
  <c r="AN85" i="12"/>
  <c r="R231" i="2"/>
  <c r="AM21" i="10"/>
  <c r="R255" i="2" l="1"/>
  <c r="AN32" i="11"/>
  <c r="AM99" i="10"/>
  <c r="AM45" i="10"/>
  <c r="AM100" i="10" l="1"/>
  <c r="AM97" i="10"/>
  <c r="AN63" i="11"/>
  <c r="AN8" i="11"/>
  <c r="AN30" i="11"/>
  <c r="AN74" i="11" l="1"/>
  <c r="AN64" i="11"/>
  <c r="AN65" i="11"/>
  <c r="AN43" i="11" l="1"/>
  <c r="AN53" i="11"/>
  <c r="AN62" i="11"/>
  <c r="X40" i="1"/>
  <c r="AN56" i="11"/>
  <c r="X42" i="1"/>
  <c r="AN76" i="11" s="1"/>
  <c r="AN78" i="11" s="1"/>
  <c r="AN75" i="11"/>
  <c r="AN50" i="11"/>
  <c r="AN47" i="11"/>
  <c r="X45" i="1" l="1"/>
  <c r="AN81" i="11" s="1"/>
  <c r="AN80" i="11"/>
  <c r="AN77" i="11"/>
  <c r="AN91" i="10" l="1"/>
  <c r="AN82" i="11"/>
  <c r="AN8" i="12"/>
  <c r="AN89" i="11"/>
  <c r="AN95" i="11" l="1"/>
  <c r="AN96" i="11" s="1"/>
  <c r="AN86" i="10"/>
  <c r="AN7" i="12"/>
  <c r="AN97" i="11"/>
  <c r="AN98" i="11" s="1"/>
  <c r="AN86" i="11"/>
  <c r="AN74" i="12" l="1"/>
  <c r="R218" i="2"/>
  <c r="AN101" i="11" s="1"/>
  <c r="AN102" i="11"/>
  <c r="AN100" i="11" s="1"/>
  <c r="AN87" i="10"/>
  <c r="AN89" i="10" s="1"/>
  <c r="AN41" i="12"/>
  <c r="AN89" i="12" l="1"/>
  <c r="R233" i="2"/>
  <c r="AN93" i="10"/>
  <c r="AN77" i="12"/>
  <c r="R235" i="2" l="1"/>
  <c r="R237" i="2" s="1"/>
  <c r="R239" i="2" s="1"/>
  <c r="AN79" i="12"/>
  <c r="AN103" i="10"/>
  <c r="AN95" i="10"/>
  <c r="AN83" i="12" l="1"/>
  <c r="AN102" i="10"/>
  <c r="AN87" i="12" l="1"/>
  <c r="AN8" i="10" l="1"/>
  <c r="AO85" i="12" l="1"/>
  <c r="AN21" i="10"/>
  <c r="S257" i="2"/>
  <c r="S251" i="2" s="1"/>
  <c r="S231" i="2"/>
  <c r="AN45" i="10" l="1"/>
  <c r="AN99" i="10"/>
  <c r="S255" i="2"/>
  <c r="AO29" i="11" s="1"/>
  <c r="AO32" i="11"/>
  <c r="AO8" i="11" l="1"/>
  <c r="AO30" i="11"/>
  <c r="AO63" i="11"/>
  <c r="AN97" i="10"/>
  <c r="AN100" i="10"/>
  <c r="AO65" i="11" l="1"/>
  <c r="AO64" i="11"/>
  <c r="AO74" i="11"/>
  <c r="AO59" i="11" l="1"/>
  <c r="AO72" i="11"/>
  <c r="Y40" i="1" s="1"/>
  <c r="AO56" i="11"/>
  <c r="AO62" i="11"/>
  <c r="AO50" i="11"/>
  <c r="AO47" i="11"/>
  <c r="AO53" i="11"/>
  <c r="AO43" i="11"/>
  <c r="AO75" i="11"/>
  <c r="Y42" i="1"/>
  <c r="AO76" i="11" s="1"/>
  <c r="AO77" i="11" s="1"/>
  <c r="AO78" i="11" l="1"/>
  <c r="AO79" i="11" l="1"/>
  <c r="AO80" i="11"/>
  <c r="Y45" i="1"/>
  <c r="AO81" i="11" s="1"/>
  <c r="AO8" i="12" l="1"/>
  <c r="AO91" i="10"/>
  <c r="AO89" i="11"/>
  <c r="AO82" i="11"/>
  <c r="AO84" i="11"/>
  <c r="AO95" i="11" l="1"/>
  <c r="AO96" i="11" s="1"/>
  <c r="AO85" i="11"/>
  <c r="AO87" i="10"/>
  <c r="S218" i="2"/>
  <c r="AO101" i="11" s="1"/>
  <c r="AO7" i="12"/>
  <c r="AO41" i="12" s="1"/>
  <c r="AO97" i="11"/>
  <c r="AO98" i="11" s="1"/>
  <c r="AO86" i="10"/>
  <c r="AO86" i="11"/>
  <c r="AO89" i="10" l="1"/>
  <c r="AO93" i="10" s="1"/>
  <c r="AO95" i="10" s="1"/>
  <c r="AO102" i="10" s="1"/>
  <c r="S233" i="2"/>
  <c r="S237" i="2" s="1"/>
  <c r="S239" i="2" s="1"/>
  <c r="AO89" i="12"/>
  <c r="AO83" i="12"/>
  <c r="AO87" i="12" s="1"/>
  <c r="AO8" i="10" s="1"/>
  <c r="AO103" i="10" l="1"/>
  <c r="AP85" i="12"/>
  <c r="T231" i="2"/>
  <c r="T257" i="2"/>
  <c r="T251" i="2" s="1"/>
  <c r="AO21" i="10"/>
  <c r="AO45" i="10" l="1"/>
  <c r="AO99" i="10"/>
  <c r="AP32" i="11"/>
  <c r="T255" i="2"/>
  <c r="AP29" i="11" s="1"/>
  <c r="AP8" i="11" l="1"/>
  <c r="AP63" i="11"/>
  <c r="AP30" i="11"/>
  <c r="AO97" i="10"/>
  <c r="AO100" i="10"/>
  <c r="AP74" i="11" l="1"/>
  <c r="AP64" i="11"/>
  <c r="AP65" i="11"/>
  <c r="AP50" i="11" l="1"/>
  <c r="AP43" i="11"/>
  <c r="Z42" i="1"/>
  <c r="AP76" i="11" s="1"/>
  <c r="AP77" i="11" s="1"/>
  <c r="AP59" i="11"/>
  <c r="AP47" i="11"/>
  <c r="AP62" i="11"/>
  <c r="AP56" i="11"/>
  <c r="AP75" i="11"/>
  <c r="AP53" i="11"/>
  <c r="AP72" i="11"/>
  <c r="Z40" i="1" s="1"/>
  <c r="AP78" i="11" l="1"/>
  <c r="Z45" i="1" s="1"/>
  <c r="AP81" i="11" s="1"/>
  <c r="AP79" i="11" l="1"/>
  <c r="AP80" i="11"/>
  <c r="AP84" i="11"/>
  <c r="AP82" i="11"/>
  <c r="AP89" i="11"/>
  <c r="AP91" i="10"/>
  <c r="AP8" i="12"/>
  <c r="AP95" i="11" l="1"/>
  <c r="AP96" i="11" s="1"/>
  <c r="T218" i="2"/>
  <c r="AP101" i="11" s="1"/>
  <c r="AP97" i="11"/>
  <c r="AP98" i="11" s="1"/>
  <c r="AP86" i="11"/>
  <c r="AP7" i="12"/>
  <c r="AP41" i="12" s="1"/>
  <c r="AP87" i="10"/>
  <c r="AP85" i="11"/>
  <c r="AP86" i="10"/>
  <c r="AP83" i="12" l="1"/>
  <c r="AP87" i="12" s="1"/>
  <c r="AP8" i="10" s="1"/>
  <c r="AP89" i="12"/>
  <c r="T233" i="2"/>
  <c r="T237" i="2" s="1"/>
  <c r="T239" i="2" s="1"/>
  <c r="AP89" i="10"/>
  <c r="AP93" i="10" s="1"/>
  <c r="AP103" i="10" l="1"/>
  <c r="AP95" i="10"/>
  <c r="AP102" i="10" s="1"/>
  <c r="AQ85" i="12"/>
  <c r="U257" i="2"/>
  <c r="U251" i="2" s="1"/>
  <c r="AP21" i="10"/>
  <c r="U231" i="2"/>
  <c r="AQ32" i="11" l="1"/>
  <c r="U255" i="2"/>
  <c r="AQ29" i="11" s="1"/>
  <c r="AP99" i="10"/>
  <c r="AP45" i="10"/>
  <c r="AP97" i="10" l="1"/>
  <c r="AP100" i="10"/>
  <c r="AQ63" i="11"/>
  <c r="AQ8" i="11"/>
  <c r="AQ30" i="11"/>
  <c r="AQ65" i="11" l="1"/>
  <c r="AQ64" i="11"/>
  <c r="AQ74" i="11"/>
  <c r="AA42" i="1" l="1"/>
  <c r="AQ76" i="11" s="1"/>
  <c r="AQ77" i="11" s="1"/>
  <c r="AQ62" i="11"/>
  <c r="AQ43" i="11"/>
  <c r="AQ56" i="11"/>
  <c r="AQ50" i="11"/>
  <c r="AQ47" i="11"/>
  <c r="AQ59" i="11"/>
  <c r="AQ75" i="11"/>
  <c r="AQ72" i="11"/>
  <c r="AA40" i="1" s="1"/>
  <c r="AQ53" i="11"/>
  <c r="AQ78" i="11" l="1"/>
  <c r="AA45" i="1" s="1"/>
  <c r="AQ81" i="11" s="1"/>
  <c r="AQ80" i="11" l="1"/>
  <c r="AQ79" i="11"/>
  <c r="AQ84" i="11"/>
  <c r="AQ91" i="10"/>
  <c r="AQ82" i="11"/>
  <c r="AQ89" i="11"/>
  <c r="AQ8" i="12"/>
  <c r="AQ95" i="11" l="1"/>
  <c r="AQ96" i="11" s="1"/>
  <c r="AQ87" i="10"/>
  <c r="AQ85" i="11"/>
  <c r="AQ97" i="11"/>
  <c r="AQ98" i="11" s="1"/>
  <c r="U218" i="2"/>
  <c r="AQ101" i="11" s="1"/>
  <c r="AQ86" i="11"/>
  <c r="AQ7" i="12"/>
  <c r="AQ41" i="12" s="1"/>
  <c r="AQ86" i="10"/>
  <c r="AQ89" i="10" l="1"/>
  <c r="AQ93" i="10" s="1"/>
  <c r="AQ95" i="10" s="1"/>
  <c r="AQ102" i="10" s="1"/>
  <c r="U233" i="2"/>
  <c r="U237" i="2" s="1"/>
  <c r="U239" i="2" s="1"/>
  <c r="AQ89" i="12"/>
  <c r="AQ83" i="12"/>
  <c r="AQ87" i="12" s="1"/>
  <c r="AQ8" i="10" s="1"/>
  <c r="AQ103" i="10" l="1"/>
  <c r="AQ21" i="10"/>
  <c r="AR85" i="12"/>
  <c r="V257" i="2"/>
  <c r="V251" i="2" s="1"/>
  <c r="V231" i="2"/>
  <c r="V255" i="2" l="1"/>
  <c r="AR29" i="11" s="1"/>
  <c r="AR32" i="11"/>
  <c r="AQ45" i="10"/>
  <c r="AQ99" i="10"/>
  <c r="AQ97" i="10" l="1"/>
  <c r="AQ100" i="10"/>
  <c r="AR30" i="11"/>
  <c r="AR8" i="11"/>
  <c r="AR63" i="11"/>
  <c r="AR65" i="11" l="1"/>
  <c r="AR64" i="11"/>
  <c r="AR74" i="11"/>
  <c r="AR59" i="11" l="1"/>
  <c r="AB42" i="1"/>
  <c r="AR76" i="11" s="1"/>
  <c r="AR43" i="11"/>
  <c r="AR75" i="11"/>
  <c r="AR50" i="11"/>
  <c r="AR53" i="11"/>
  <c r="AR56" i="11"/>
  <c r="AR62" i="11"/>
  <c r="AR72" i="11"/>
  <c r="AB40" i="1" s="1"/>
  <c r="AR47" i="11"/>
  <c r="AR77" i="11" l="1"/>
  <c r="AR78" i="11"/>
  <c r="AB45" i="1" l="1"/>
  <c r="AR81" i="11" s="1"/>
  <c r="AR80" i="11"/>
  <c r="AR79" i="11"/>
  <c r="AR84" i="11" l="1"/>
  <c r="AR91" i="10"/>
  <c r="AR82" i="11"/>
  <c r="AR8" i="12"/>
  <c r="AR89" i="11"/>
  <c r="V218" i="2" l="1"/>
  <c r="AR101" i="11" s="1"/>
  <c r="AR86" i="11"/>
  <c r="AR97" i="11"/>
  <c r="AR98" i="11" s="1"/>
  <c r="AR85" i="11"/>
  <c r="AR95" i="11"/>
  <c r="AR96" i="11" s="1"/>
  <c r="AR87" i="10"/>
  <c r="AR7" i="12"/>
  <c r="AR41" i="12" s="1"/>
  <c r="AR86" i="10"/>
  <c r="V233" i="2" l="1"/>
  <c r="V237" i="2" s="1"/>
  <c r="V239" i="2" s="1"/>
  <c r="AR89" i="12"/>
  <c r="AR83" i="12"/>
  <c r="AR87" i="12" s="1"/>
  <c r="AR8" i="10" s="1"/>
  <c r="AR89" i="10"/>
  <c r="AR93" i="10" s="1"/>
  <c r="AR95" i="10" l="1"/>
  <c r="AR102" i="10" s="1"/>
  <c r="AR103" i="10"/>
  <c r="W257" i="2"/>
  <c r="W251" i="2" s="1"/>
  <c r="W231" i="2"/>
  <c r="AS85" i="12"/>
  <c r="AR21" i="10"/>
  <c r="W255" i="2" l="1"/>
  <c r="AS29" i="11" s="1"/>
  <c r="AS32" i="11"/>
  <c r="AR99" i="10"/>
  <c r="AR45" i="10"/>
  <c r="AR100" i="10" l="1"/>
  <c r="AR97" i="10"/>
  <c r="AS63" i="11"/>
  <c r="AS8" i="11"/>
  <c r="AS30" i="11"/>
  <c r="AS65" i="11" l="1"/>
  <c r="AS64" i="11"/>
  <c r="AS74" i="11"/>
  <c r="AS59" i="11" l="1"/>
  <c r="AS50" i="11"/>
  <c r="AS56" i="11"/>
  <c r="AS47" i="11"/>
  <c r="AS62" i="11"/>
  <c r="AS72" i="11"/>
  <c r="AC40" i="1" s="1"/>
  <c r="AC42" i="1"/>
  <c r="AS76" i="11" s="1"/>
  <c r="AS77" i="11" s="1"/>
  <c r="AS75" i="11"/>
  <c r="AS53" i="11"/>
  <c r="AS43" i="11"/>
  <c r="AS78" i="11" l="1"/>
  <c r="AS79" i="11" l="1"/>
  <c r="AC45" i="1"/>
  <c r="AS81" i="11" s="1"/>
  <c r="AS80" i="11"/>
  <c r="AS84" i="11" l="1"/>
  <c r="AS91" i="10"/>
  <c r="AS82" i="11"/>
  <c r="AS8" i="12"/>
  <c r="AS89" i="11"/>
  <c r="AS86" i="10" l="1"/>
  <c r="W218" i="2"/>
  <c r="AS101" i="11" s="1"/>
  <c r="AS97" i="11"/>
  <c r="AS98" i="11" s="1"/>
  <c r="AS95" i="11"/>
  <c r="AS96" i="11" s="1"/>
  <c r="AS87" i="10"/>
  <c r="AS7" i="12"/>
  <c r="AS41" i="12" s="1"/>
  <c r="AS85" i="11"/>
  <c r="AS86" i="11"/>
  <c r="AS89" i="12" l="1"/>
  <c r="W233" i="2"/>
  <c r="W237" i="2" s="1"/>
  <c r="W239" i="2" s="1"/>
  <c r="AS83" i="12"/>
  <c r="AS87" i="12" s="1"/>
  <c r="AS8" i="10" s="1"/>
  <c r="AS89" i="10"/>
  <c r="AS93" i="10" s="1"/>
  <c r="AS103" i="10" l="1"/>
  <c r="AS95" i="10"/>
  <c r="AS102" i="10" s="1"/>
  <c r="X257" i="2"/>
  <c r="X251" i="2" s="1"/>
  <c r="X231" i="2"/>
  <c r="AS21" i="10"/>
  <c r="AT85" i="12"/>
  <c r="AS99" i="10" l="1"/>
  <c r="AS45" i="10"/>
  <c r="AT32" i="11"/>
  <c r="X255" i="2"/>
  <c r="AT29" i="11" s="1"/>
  <c r="AS97" i="10" l="1"/>
  <c r="AS100" i="10"/>
  <c r="AT63" i="11"/>
  <c r="AT8" i="11"/>
  <c r="AT30" i="11"/>
  <c r="AT65" i="11" l="1"/>
  <c r="AT64" i="11"/>
  <c r="AT74" i="11"/>
  <c r="AT50" i="11" l="1"/>
  <c r="AD42" i="1"/>
  <c r="AT76" i="11" s="1"/>
  <c r="AT78" i="11" s="1"/>
  <c r="AT75" i="11"/>
  <c r="AT47" i="11"/>
  <c r="AT59" i="11"/>
  <c r="AT72" i="11"/>
  <c r="AD40" i="1" s="1"/>
  <c r="AT56" i="11"/>
  <c r="AT53" i="11"/>
  <c r="AT43" i="11"/>
  <c r="AT62" i="11"/>
  <c r="AT80" i="11" l="1"/>
  <c r="AT79" i="11"/>
  <c r="AD45" i="1"/>
  <c r="AT81" i="11" s="1"/>
  <c r="AT77" i="11"/>
  <c r="AT91" i="10" l="1"/>
  <c r="AT8" i="12"/>
  <c r="AT82" i="11"/>
  <c r="AT89" i="11"/>
  <c r="AT84" i="11"/>
  <c r="AT86" i="11" l="1"/>
  <c r="AT86" i="10"/>
  <c r="AT95" i="11"/>
  <c r="AT96" i="11" s="1"/>
  <c r="AT85" i="11"/>
  <c r="AT97" i="11"/>
  <c r="AT98" i="11" s="1"/>
  <c r="AT7" i="12"/>
  <c r="AT41" i="12" s="1"/>
  <c r="X218" i="2"/>
  <c r="AT101" i="11" s="1"/>
  <c r="AT87" i="10"/>
  <c r="AT89" i="12" l="1"/>
  <c r="AT83" i="12"/>
  <c r="AT87" i="12" s="1"/>
  <c r="AT8" i="10" s="1"/>
  <c r="X233" i="2"/>
  <c r="X237" i="2" s="1"/>
  <c r="X239" i="2" s="1"/>
  <c r="AT89" i="10"/>
  <c r="AT93" i="10" s="1"/>
  <c r="AT95" i="10" l="1"/>
  <c r="AT102" i="10" s="1"/>
  <c r="AT103" i="10"/>
  <c r="Y231" i="2"/>
  <c r="Y257" i="2"/>
  <c r="Y251" i="2" s="1"/>
  <c r="AT21" i="10"/>
  <c r="AU85" i="12"/>
  <c r="AU32" i="11" l="1"/>
  <c r="Y255" i="2"/>
  <c r="AU29" i="11" s="1"/>
  <c r="AT99" i="10"/>
  <c r="AT45" i="10"/>
  <c r="AT100" i="10" l="1"/>
  <c r="AT97" i="10"/>
  <c r="AU63" i="11"/>
  <c r="AU8" i="11"/>
  <c r="AU30" i="11"/>
  <c r="AU74" i="11" l="1"/>
  <c r="AU65" i="11"/>
  <c r="AU64" i="11"/>
  <c r="AU62" i="11" l="1"/>
  <c r="AE42" i="1"/>
  <c r="AU76" i="11" s="1"/>
  <c r="AU50" i="11"/>
  <c r="AU75" i="11"/>
  <c r="AU56" i="11"/>
  <c r="AU59" i="11"/>
  <c r="AU47" i="11"/>
  <c r="AU72" i="11"/>
  <c r="AE40" i="1" s="1"/>
  <c r="AU43" i="11"/>
  <c r="AU53" i="11"/>
  <c r="AU78" i="11" l="1"/>
  <c r="AU77" i="11"/>
  <c r="AU80" i="11" l="1"/>
  <c r="AU79" i="11"/>
  <c r="AE45" i="1"/>
  <c r="AU81" i="11" s="1"/>
  <c r="AU84" i="11" s="1"/>
  <c r="AU86" i="10" l="1"/>
  <c r="AU86" i="11"/>
  <c r="Y218" i="2"/>
  <c r="AU101" i="11" s="1"/>
  <c r="AU95" i="11"/>
  <c r="AU96" i="11" s="1"/>
  <c r="AU85" i="11"/>
  <c r="AU87" i="10"/>
  <c r="AU7" i="12"/>
  <c r="AU97" i="11"/>
  <c r="AU98" i="11" s="1"/>
  <c r="AU89" i="11"/>
  <c r="AU8" i="12"/>
  <c r="AU82" i="11"/>
  <c r="AU91" i="10"/>
  <c r="AU41" i="12" l="1"/>
  <c r="Y233" i="2" s="1"/>
  <c r="Y237" i="2" s="1"/>
  <c r="Y239" i="2" s="1"/>
  <c r="AU89" i="10"/>
  <c r="AU93" i="10" s="1"/>
  <c r="AU89" i="12" l="1"/>
  <c r="AU83" i="12"/>
  <c r="AU87" i="12" s="1"/>
  <c r="AU8" i="10" s="1"/>
  <c r="AU21" i="10" s="1"/>
  <c r="AU45" i="10" s="1"/>
  <c r="AU103" i="10"/>
  <c r="AU95" i="10"/>
  <c r="AU102" i="10" s="1"/>
  <c r="AU99" i="10" l="1"/>
  <c r="AU97" i="10"/>
  <c r="AU10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GuoJing</author>
    <author>赵亮</author>
    <author>Li lifang</author>
  </authors>
  <commentList>
    <comment ref="B4" authorId="0" shapeId="0" xr:uid="{00000000-0006-0000-0700-000001000000}">
      <text>
        <r>
          <rPr>
            <b/>
            <sz val="9"/>
            <color indexed="81"/>
            <rFont val="宋体"/>
            <charset val="134"/>
          </rPr>
          <t>GuoJing:</t>
        </r>
        <r>
          <rPr>
            <sz val="9"/>
            <color indexed="81"/>
            <rFont val="宋体"/>
            <charset val="134"/>
          </rPr>
          <t xml:space="preserve">
此为当前最新总股本，请勿删除。</t>
        </r>
      </text>
    </comment>
    <comment ref="AM4" authorId="1" shapeId="0" xr:uid="{00000000-0006-0000-0700-000002000000}">
      <text>
        <r>
          <rPr>
            <sz val="9"/>
            <color indexed="81"/>
            <rFont val="宋体"/>
            <charset val="134"/>
          </rPr>
          <t xml:space="preserve">
此处为重要标志为，不得删除。
标志位具体含义如下：
0-AP6所示年份1季报未出
1-AP6所示年份1季报已出，半年报未出
2-AP6所示年份半年报已出，三季报未出
3-AP6所示年份三季报已出，年报未出</t>
        </r>
      </text>
    </comment>
    <comment ref="C17" authorId="1" shapeId="0" xr:uid="{00000000-0006-0000-0700-000003000000}">
      <text>
        <r>
          <rPr>
            <sz val="9"/>
            <color indexed="81"/>
            <rFont val="宋体"/>
            <charset val="134"/>
          </rPr>
          <t>原为营业费用</t>
        </r>
        <r>
          <rPr>
            <sz val="9"/>
            <color indexed="81"/>
            <rFont val="Tahoma"/>
            <family val="2"/>
          </rPr>
          <t xml:space="preserve">
</t>
        </r>
      </text>
    </comment>
    <comment ref="C21" authorId="1" shapeId="0" xr:uid="{00000000-0006-0000-0700-000004000000}">
      <text>
        <r>
          <rPr>
            <sz val="9"/>
            <color indexed="81"/>
            <rFont val="宋体"/>
            <charset val="134"/>
          </rPr>
          <t>新增，将所有资产项目的减值损失计提和转回数（如可以转回）均在本项目中集中反映。</t>
        </r>
        <r>
          <rPr>
            <sz val="9"/>
            <color indexed="81"/>
            <rFont val="Tahoma"/>
            <family val="2"/>
          </rPr>
          <t xml:space="preserve">
</t>
        </r>
      </text>
    </comment>
    <comment ref="C23" authorId="1" shapeId="0" xr:uid="{00000000-0006-0000-0700-000005000000}">
      <text>
        <r>
          <rPr>
            <sz val="9"/>
            <color indexed="81"/>
            <rFont val="Tahoma"/>
            <family val="2"/>
          </rPr>
          <t>2007</t>
        </r>
        <r>
          <rPr>
            <sz val="9"/>
            <color indexed="81"/>
            <rFont val="宋体"/>
            <charset val="134"/>
          </rPr>
          <t>年前置于营业利润之后</t>
        </r>
        <r>
          <rPr>
            <sz val="9"/>
            <color indexed="81"/>
            <rFont val="Tahoma"/>
            <family val="2"/>
          </rPr>
          <t xml:space="preserve">
</t>
        </r>
      </text>
    </comment>
    <comment ref="C39" authorId="1" shapeId="0" xr:uid="{00000000-0006-0000-0700-000006000000}">
      <text>
        <r>
          <rPr>
            <sz val="9"/>
            <color indexed="81"/>
            <rFont val="宋体"/>
            <charset val="134"/>
          </rPr>
          <t>归属于母公司所有者的损益和少数股东损益</t>
        </r>
        <r>
          <rPr>
            <sz val="9"/>
            <color indexed="81"/>
            <rFont val="Tahoma"/>
            <family val="2"/>
          </rPr>
          <t xml:space="preserve">
</t>
        </r>
      </text>
    </comment>
    <comment ref="A142" authorId="2" shapeId="0" xr:uid="{00000000-0006-0000-0700-000007000000}">
      <text>
        <r>
          <rPr>
            <sz val="9"/>
            <color indexed="81"/>
            <rFont val="宋体"/>
            <charset val="134"/>
          </rPr>
          <t>未找到是否有该科目，先填列</t>
        </r>
      </text>
    </comment>
    <comment ref="A145" authorId="2" shapeId="0" xr:uid="{00000000-0006-0000-0700-000008000000}">
      <text>
        <r>
          <rPr>
            <sz val="9"/>
            <color indexed="81"/>
            <rFont val="宋体"/>
            <charset val="134"/>
          </rPr>
          <t>未找到是否有该科目，先填列</t>
        </r>
      </text>
    </comment>
    <comment ref="C188" authorId="1" shapeId="0" xr:uid="{00000000-0006-0000-0700-000009000000}">
      <text>
        <r>
          <rPr>
            <sz val="9"/>
            <color indexed="81"/>
            <rFont val="宋体"/>
            <charset val="134"/>
          </rPr>
          <t>含应付短期债券</t>
        </r>
        <r>
          <rPr>
            <sz val="9"/>
            <color indexed="81"/>
            <rFont val="Tahoma"/>
            <family val="2"/>
          </rPr>
          <t xml:space="preserve">
</t>
        </r>
      </text>
    </comment>
    <comment ref="C209" authorId="1" shapeId="0" xr:uid="{00000000-0006-0000-0700-00000A000000}">
      <text>
        <r>
          <rPr>
            <sz val="9"/>
            <color indexed="81"/>
            <rFont val="宋体"/>
            <charset val="134"/>
          </rPr>
          <t>含拟分配现金股利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thinkpad</author>
  </authors>
  <commentList>
    <comment ref="C8" authorId="0" shapeId="0" xr:uid="{00000000-0006-0000-0C00-000001000000}">
      <text>
        <r>
          <rPr>
            <b/>
            <sz val="9"/>
            <color indexed="81"/>
            <rFont val="宋体"/>
            <charset val="134"/>
          </rPr>
          <t>admin:</t>
        </r>
        <r>
          <rPr>
            <sz val="9"/>
            <color indexed="81"/>
            <rFont val="宋体"/>
            <charset val="134"/>
          </rPr>
          <t xml:space="preserve">
为简化处理及统一计算口径，周转天数统一按照期末余额来计算</t>
        </r>
      </text>
    </comment>
    <comment ref="C92" authorId="0" shapeId="0" xr:uid="{00000000-0006-0000-0C00-000002000000}">
      <text>
        <r>
          <rPr>
            <b/>
            <sz val="9"/>
            <color indexed="81"/>
            <rFont val="宋体"/>
            <charset val="134"/>
          </rPr>
          <t>admin:</t>
        </r>
        <r>
          <rPr>
            <sz val="9"/>
            <color indexed="81"/>
            <rFont val="宋体"/>
            <charset val="134"/>
          </rPr>
          <t xml:space="preserve">
历史年度的合计数包含金融资产、金融负债，预测年度的合计数中还包含理财产品、短期融资券。</t>
        </r>
      </text>
    </comment>
    <comment ref="C125" authorId="0" shapeId="0" xr:uid="{00000000-0006-0000-0C00-000003000000}">
      <text>
        <r>
          <rPr>
            <b/>
            <sz val="9"/>
            <color indexed="81"/>
            <rFont val="宋体"/>
            <charset val="134"/>
          </rPr>
          <t>admin:</t>
        </r>
        <r>
          <rPr>
            <sz val="9"/>
            <color indexed="81"/>
            <rFont val="宋体"/>
            <charset val="134"/>
          </rPr>
          <t xml:space="preserve">
处置固定资产产生的损益，一般为损失（以“—”负数表示，固定资产的抵减项</t>
        </r>
      </text>
    </comment>
    <comment ref="C161" authorId="0" shapeId="0" xr:uid="{00000000-0006-0000-0C00-000004000000}">
      <text>
        <r>
          <rPr>
            <b/>
            <sz val="9"/>
            <color indexed="81"/>
            <rFont val="宋体"/>
            <charset val="134"/>
          </rPr>
          <t xml:space="preserve">admin:
</t>
        </r>
        <r>
          <rPr>
            <sz val="9"/>
            <color indexed="81"/>
            <rFont val="宋体"/>
            <charset val="134"/>
          </rPr>
          <t>历史年度的当期增减变动假设为成本模式计量的投资性房地产变化导致</t>
        </r>
      </text>
    </comment>
    <comment ref="A247" authorId="1" shapeId="0" xr:uid="{00000000-0006-0000-0C00-000005000000}">
      <text>
        <r>
          <rPr>
            <b/>
            <sz val="9"/>
            <color indexed="81"/>
            <rFont val="宋体"/>
            <charset val="134"/>
          </rPr>
          <t>thinkpad:</t>
        </r>
        <r>
          <rPr>
            <sz val="9"/>
            <color indexed="81"/>
            <rFont val="宋体"/>
            <charset val="134"/>
          </rPr>
          <t xml:space="preserve">
包含长期借款和应付债券，利息=（期初余额+期末余额）/2*利率</t>
        </r>
      </text>
    </comment>
    <comment ref="B276" authorId="1" shapeId="0" xr:uid="{00000000-0006-0000-0C00-000006000000}">
      <text>
        <r>
          <rPr>
            <b/>
            <sz val="9"/>
            <color indexed="81"/>
            <rFont val="宋体"/>
            <charset val="134"/>
          </rPr>
          <t>thinkpad:</t>
        </r>
        <r>
          <rPr>
            <sz val="9"/>
            <color indexed="81"/>
            <rFont val="宋体"/>
            <charset val="134"/>
          </rPr>
          <t xml:space="preserve">
简化处理直接减少未分配利润</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10" authorId="0" shapeId="0" xr:uid="{00000000-0006-0000-0D00-000001000000}">
      <text>
        <r>
          <rPr>
            <b/>
            <sz val="9"/>
            <color indexed="81"/>
            <rFont val="宋体"/>
            <charset val="134"/>
          </rPr>
          <t>admin:</t>
        </r>
        <r>
          <rPr>
            <sz val="9"/>
            <color indexed="81"/>
            <rFont val="宋体"/>
            <charset val="134"/>
          </rPr>
          <t xml:space="preserve">
此科目在2019年才开始在资产负债表中列示</t>
        </r>
      </text>
    </comment>
    <comment ref="A41" authorId="0" shapeId="0" xr:uid="{00000000-0006-0000-0D00-000002000000}">
      <text>
        <r>
          <rPr>
            <b/>
            <sz val="9"/>
            <color indexed="81"/>
            <rFont val="宋体"/>
            <charset val="134"/>
          </rPr>
          <t>admin:</t>
        </r>
        <r>
          <rPr>
            <sz val="9"/>
            <color indexed="81"/>
            <rFont val="宋体"/>
            <charset val="134"/>
          </rPr>
          <t xml:space="preserve">
旧准则中可供出售金融资产、持有至到期投资科目纳入其他非流动资产核算</t>
        </r>
      </text>
    </comment>
    <comment ref="A51" authorId="0" shapeId="0" xr:uid="{00000000-0006-0000-0D00-000003000000}">
      <text>
        <r>
          <rPr>
            <b/>
            <sz val="9"/>
            <color indexed="81"/>
            <rFont val="宋体"/>
            <charset val="134"/>
          </rPr>
          <t>admin:</t>
        </r>
        <r>
          <rPr>
            <sz val="9"/>
            <color indexed="81"/>
            <rFont val="宋体"/>
            <charset val="134"/>
          </rPr>
          <t xml:space="preserve">
此科目在2019年才开始在资产负债表中列示</t>
        </r>
      </text>
    </comment>
    <comment ref="A52" authorId="0" shapeId="0" xr:uid="{00000000-0006-0000-0D00-000004000000}">
      <text>
        <r>
          <rPr>
            <b/>
            <sz val="9"/>
            <color indexed="81"/>
            <rFont val="宋体"/>
            <charset val="134"/>
          </rPr>
          <t>admin:</t>
        </r>
        <r>
          <rPr>
            <sz val="9"/>
            <color indexed="81"/>
            <rFont val="宋体"/>
            <charset val="134"/>
          </rPr>
          <t xml:space="preserve">
2018年财政部要求将应收账款和应收票据合并列示，2019年政策又调整为分别列示</t>
        </r>
      </text>
    </comment>
    <comment ref="A68" authorId="0" shapeId="0" xr:uid="{00000000-0006-0000-0D00-000005000000}">
      <text>
        <r>
          <rPr>
            <b/>
            <sz val="9"/>
            <color indexed="81"/>
            <rFont val="宋体"/>
            <charset val="134"/>
          </rPr>
          <t>admin:</t>
        </r>
        <r>
          <rPr>
            <sz val="9"/>
            <color indexed="81"/>
            <rFont val="宋体"/>
            <charset val="134"/>
          </rPr>
          <t xml:space="preserve">
包含长期应付职工薪酬</t>
        </r>
      </text>
    </comment>
    <comment ref="A69" authorId="0" shapeId="0" xr:uid="{00000000-0006-0000-0D00-000006000000}">
      <text>
        <r>
          <rPr>
            <b/>
            <sz val="9"/>
            <color indexed="81"/>
            <rFont val="宋体"/>
            <charset val="134"/>
          </rPr>
          <t>admin:</t>
        </r>
        <r>
          <rPr>
            <sz val="9"/>
            <color indexed="81"/>
            <rFont val="宋体"/>
            <charset val="134"/>
          </rPr>
          <t xml:space="preserve">
包含预计长期负债</t>
        </r>
      </text>
    </comment>
    <comment ref="A86" authorId="0" shapeId="0" xr:uid="{00000000-0006-0000-0D00-000007000000}">
      <text>
        <r>
          <rPr>
            <b/>
            <sz val="9"/>
            <color indexed="81"/>
            <rFont val="宋体"/>
            <charset val="134"/>
          </rPr>
          <t>admin:</t>
        </r>
        <r>
          <rPr>
            <sz val="9"/>
            <color indexed="81"/>
            <rFont val="宋体"/>
            <charset val="134"/>
          </rPr>
          <t xml:space="preserve">
假设按照15%的比例计提盈余公积</t>
        </r>
      </text>
    </comment>
    <comment ref="A87" authorId="0" shapeId="0" xr:uid="{00000000-0006-0000-0D00-000008000000}">
      <text>
        <r>
          <rPr>
            <b/>
            <sz val="9"/>
            <color indexed="81"/>
            <rFont val="宋体"/>
            <charset val="134"/>
          </rPr>
          <t>admin:</t>
        </r>
        <r>
          <rPr>
            <sz val="9"/>
            <color indexed="81"/>
            <rFont val="宋体"/>
            <charset val="134"/>
          </rPr>
          <t xml:space="preserve">
包含股东权益特殊项目及报表平衡项目</t>
        </r>
      </text>
    </comment>
    <comment ref="A103" authorId="0" shapeId="0" xr:uid="{00000000-0006-0000-0D00-000009000000}">
      <text>
        <r>
          <rPr>
            <b/>
            <sz val="9"/>
            <color indexed="81"/>
            <rFont val="宋体"/>
            <charset val="134"/>
          </rPr>
          <t>admin:</t>
        </r>
        <r>
          <rPr>
            <sz val="9"/>
            <color indexed="81"/>
            <rFont val="宋体"/>
            <charset val="134"/>
          </rPr>
          <t xml:space="preserve">
原计算公式IC＝有息负债＋净资产－超额现金－非经营性资产，现在调整后列示</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赵亮</author>
    <author>thinkpad</author>
  </authors>
  <commentList>
    <comment ref="A8" authorId="0" shapeId="0" xr:uid="{00000000-0006-0000-0E00-000001000000}">
      <text>
        <r>
          <rPr>
            <b/>
            <sz val="9"/>
            <color indexed="81"/>
            <rFont val="宋体"/>
            <charset val="134"/>
          </rPr>
          <t>admin:</t>
        </r>
        <r>
          <rPr>
            <sz val="9"/>
            <color indexed="81"/>
            <rFont val="宋体"/>
            <charset val="134"/>
          </rPr>
          <t xml:space="preserve">
营业总成本=营业成本+税金及附加+销售费用+管理费用+研发费用+财务费用+资产减值损失</t>
        </r>
      </text>
    </comment>
    <comment ref="A13" authorId="1" shapeId="0" xr:uid="{00000000-0006-0000-0E00-000002000000}">
      <text>
        <r>
          <rPr>
            <sz val="9"/>
            <color indexed="81"/>
            <rFont val="宋体"/>
            <charset val="134"/>
          </rPr>
          <t>此处取用现金流量表值</t>
        </r>
      </text>
    </comment>
    <comment ref="A29" authorId="0" shapeId="0" xr:uid="{00000000-0006-0000-0E00-000003000000}">
      <text>
        <r>
          <rPr>
            <b/>
            <sz val="9"/>
            <color indexed="81"/>
            <rFont val="宋体"/>
            <charset val="134"/>
          </rPr>
          <t>admin:</t>
        </r>
        <r>
          <rPr>
            <sz val="9"/>
            <color indexed="81"/>
            <rFont val="宋体"/>
            <charset val="134"/>
          </rPr>
          <t xml:space="preserve">
财务费用包含以下内容：
1、利息支出、利息收入：主要通过利率来调节，包括短期借款利率、长期借款利率、存款利率，还有资本化的比例；
2、模型的财务费用是取平均余额计算的，故如果存在在期初借入大量借款导致财务费用差异很大的情况，请在“其他”项手工输入调整。</t>
        </r>
      </text>
    </comment>
    <comment ref="A55" authorId="2" shapeId="0" xr:uid="{00000000-0006-0000-0E00-000004000000}">
      <text>
        <r>
          <rPr>
            <b/>
            <sz val="9"/>
            <color indexed="81"/>
            <rFont val="宋体"/>
            <charset val="134"/>
          </rPr>
          <t>thinkpad:</t>
        </r>
        <r>
          <rPr>
            <sz val="9"/>
            <color indexed="81"/>
            <rFont val="宋体"/>
            <charset val="134"/>
          </rPr>
          <t xml:space="preserve">
2019年财政部会计司对此科目的列示要求以“-”形式，为了尊重研究人员使用习惯，此处数据不予调整，仅在报表输出中显示为负数“-”，不影响计算净利润的结果</t>
        </r>
      </text>
    </comment>
    <comment ref="A58" authorId="2" shapeId="0" xr:uid="{00000000-0006-0000-0E00-000005000000}">
      <text>
        <r>
          <rPr>
            <b/>
            <sz val="9"/>
            <color indexed="81"/>
            <rFont val="宋体"/>
            <charset val="134"/>
          </rPr>
          <t>thinkpad:</t>
        </r>
        <r>
          <rPr>
            <sz val="9"/>
            <color indexed="81"/>
            <rFont val="宋体"/>
            <charset val="134"/>
          </rPr>
          <t xml:space="preserve">
2019年财政部会计司对此科目的列示要求以“-”形式，为了尊重研究人员使用习惯，此处数据不予调整，仅在报表输出中显示为负数“-”，不影响计算净利润的结果</t>
        </r>
      </text>
    </comment>
    <comment ref="A100" authorId="0" shapeId="0" xr:uid="{00000000-0006-0000-0E00-000006000000}">
      <text>
        <r>
          <rPr>
            <b/>
            <sz val="9"/>
            <color indexed="81"/>
            <rFont val="宋体"/>
            <charset val="134"/>
          </rPr>
          <t>admin:</t>
        </r>
        <r>
          <rPr>
            <sz val="9"/>
            <color indexed="81"/>
            <rFont val="宋体"/>
            <charset val="134"/>
          </rPr>
          <t xml:space="preserve">
历史年度的每股分红需要手工填写，预测年度的数据为计算得出：
每股分红=分派总额/当期发行在外的普通股股数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赵亮</author>
    <author>admin</author>
  </authors>
  <commentList>
    <comment ref="A7" authorId="0" shapeId="0" xr:uid="{00000000-0006-0000-0F00-000001000000}">
      <text>
        <r>
          <rPr>
            <sz val="9"/>
            <color indexed="81"/>
            <rFont val="宋体"/>
            <charset val="134"/>
          </rPr>
          <t>历史年度由于直接引用的上市公司公布的现金流量表数据，此处为合并报表税后利润（即包含少数股东损益），预测年度为便于研究分别列示，第7行取值归属母公司的净利润，第8行取值少数股东损益</t>
        </r>
      </text>
    </comment>
    <comment ref="B60" authorId="1" shapeId="0" xr:uid="{00000000-0006-0000-0F00-000002000000}">
      <text>
        <r>
          <rPr>
            <b/>
            <sz val="9"/>
            <color indexed="81"/>
            <rFont val="宋体"/>
            <charset val="134"/>
          </rPr>
          <t>admin:</t>
        </r>
        <r>
          <rPr>
            <sz val="9"/>
            <color indexed="81"/>
            <rFont val="宋体"/>
            <charset val="134"/>
          </rPr>
          <t xml:space="preserve">
包括资产处置收益、营业外支出</t>
        </r>
      </text>
    </comment>
    <comment ref="B73" authorId="0" shapeId="0" xr:uid="{00000000-0006-0000-0F00-000003000000}">
      <text>
        <r>
          <rPr>
            <sz val="9"/>
            <color indexed="81"/>
            <rFont val="宋体"/>
            <charset val="134"/>
          </rPr>
          <t>主要包含长期应付款、租赁负债。</t>
        </r>
        <r>
          <rPr>
            <sz val="9"/>
            <color indexed="81"/>
            <rFont val="Tahoma"/>
            <family val="2"/>
          </rPr>
          <t xml:space="preserve">
</t>
        </r>
      </text>
    </comment>
  </commentList>
</comments>
</file>

<file path=xl/sharedStrings.xml><?xml version="1.0" encoding="utf-8"?>
<sst xmlns="http://schemas.openxmlformats.org/spreadsheetml/2006/main" count="1894" uniqueCount="1487">
  <si>
    <t>短期借款</t>
    <phoneticPr fontId="2" type="noConversion"/>
  </si>
  <si>
    <t>其他长期资产</t>
    <phoneticPr fontId="2" type="noConversion"/>
  </si>
  <si>
    <t>长期股权投资净额</t>
    <phoneticPr fontId="2" type="noConversion"/>
  </si>
  <si>
    <t>长期债权投资净额</t>
    <phoneticPr fontId="2" type="noConversion"/>
  </si>
  <si>
    <t>其他长期投资净额</t>
    <phoneticPr fontId="2" type="noConversion"/>
  </si>
  <si>
    <t>长期投资合计（原值）</t>
    <phoneticPr fontId="2" type="noConversion"/>
  </si>
  <si>
    <t>预计长期负债</t>
    <phoneticPr fontId="2" type="noConversion"/>
  </si>
  <si>
    <r>
      <t>V_ZCFZB_XSL</t>
    </r>
    <r>
      <rPr>
        <sz val="12"/>
        <rFont val="宋体"/>
        <charset val="134"/>
      </rPr>
      <t>.JYXJRZC</t>
    </r>
    <phoneticPr fontId="2" type="noConversion"/>
  </si>
  <si>
    <r>
      <t>V_ZCFZB_XSL</t>
    </r>
    <r>
      <rPr>
        <sz val="12"/>
        <rFont val="宋体"/>
        <charset val="134"/>
      </rPr>
      <t>.DQTZ</t>
    </r>
    <phoneticPr fontId="2" type="noConversion"/>
  </si>
  <si>
    <t>V_XJLLB_XSL.TZZFXJ</t>
    <phoneticPr fontId="2" type="noConversion"/>
  </si>
  <si>
    <t>V_XJLLB_XSL.QYXTZXJ</t>
    <phoneticPr fontId="2" type="noConversion"/>
  </si>
  <si>
    <t>V_XJLLB_XSL.ZQXTZXJ</t>
    <phoneticPr fontId="2" type="noConversion"/>
  </si>
  <si>
    <t>V_XJLLB_XSL.QTHDTZXJ</t>
    <phoneticPr fontId="2" type="noConversion"/>
  </si>
  <si>
    <t>V_XJLLB_XSL.ZGSJQTDWZF</t>
    <phoneticPr fontId="2" type="noConversion"/>
  </si>
  <si>
    <t>V_XJLLB_XSL.TZHDCXXJLXJ</t>
    <phoneticPr fontId="2" type="noConversion"/>
  </si>
  <si>
    <t>V_XJLLB_XSL.TZHDCSXJLJE</t>
    <phoneticPr fontId="2" type="noConversion"/>
  </si>
  <si>
    <t>净利润</t>
    <phoneticPr fontId="2" type="noConversion"/>
  </si>
  <si>
    <t>支付的各项税费</t>
    <phoneticPr fontId="2" type="noConversion"/>
  </si>
  <si>
    <t>取得投资收益收到的现金</t>
    <phoneticPr fontId="2" type="noConversion"/>
  </si>
  <si>
    <t>处置子公司及其他营业单位收到的现金净额</t>
    <phoneticPr fontId="2" type="noConversion"/>
  </si>
  <si>
    <t>收到的其他与投资活动有关的现金</t>
    <phoneticPr fontId="2" type="noConversion"/>
  </si>
  <si>
    <t>投资支付的现金</t>
    <phoneticPr fontId="2" type="noConversion"/>
  </si>
  <si>
    <t>取得子公司及其他营业单位支付的现金净额</t>
    <phoneticPr fontId="2" type="noConversion"/>
  </si>
  <si>
    <t>EBIT</t>
    <phoneticPr fontId="2" type="noConversion"/>
  </si>
  <si>
    <t>专项应付款</t>
    <phoneticPr fontId="2" type="noConversion"/>
  </si>
  <si>
    <t>应付融资租赁款</t>
    <phoneticPr fontId="2" type="noConversion"/>
  </si>
  <si>
    <t>其他非流动负债</t>
    <phoneticPr fontId="2" type="noConversion"/>
  </si>
  <si>
    <t>递延税款负债</t>
    <phoneticPr fontId="2" type="noConversion"/>
  </si>
  <si>
    <t>其中：无形资产摊销</t>
    <phoneticPr fontId="2" type="noConversion"/>
  </si>
  <si>
    <t>投资损失（收益以“－”号填列）</t>
    <phoneticPr fontId="2" type="noConversion"/>
  </si>
  <si>
    <t>加：资产减值准备</t>
    <phoneticPr fontId="2" type="noConversion"/>
  </si>
  <si>
    <t>固定资产折旧、油气资产折耗、生产性生物资产折旧</t>
    <phoneticPr fontId="2" type="noConversion"/>
  </si>
  <si>
    <t>待摊费用的减少(减:增加)</t>
    <phoneticPr fontId="2" type="noConversion"/>
  </si>
  <si>
    <t>处置固定资产、无形资产和其他长期资产的损失（收益以“－”号填列）</t>
    <phoneticPr fontId="2" type="noConversion"/>
  </si>
  <si>
    <t>描述</t>
    <phoneticPr fontId="2" type="noConversion"/>
  </si>
  <si>
    <t>行次</t>
    <phoneticPr fontId="2" type="noConversion"/>
  </si>
  <si>
    <t xml:space="preserve">           折旧和摊销额</t>
    <phoneticPr fontId="2" type="noConversion"/>
  </si>
  <si>
    <t xml:space="preserve">           职工薪酬</t>
    <phoneticPr fontId="2" type="noConversion"/>
  </si>
  <si>
    <t>主营业务利润</t>
    <phoneticPr fontId="2" type="noConversion"/>
  </si>
  <si>
    <t>减：存货跌价损失</t>
    <phoneticPr fontId="2" type="noConversion"/>
  </si>
  <si>
    <t>销售费用</t>
    <phoneticPr fontId="2" type="noConversion"/>
  </si>
  <si>
    <t>购买商品、接受劳务所支付的现金</t>
  </si>
  <si>
    <t>经营租赁所付的现金</t>
  </si>
  <si>
    <t>货币资金</t>
  </si>
  <si>
    <t>资产负债表</t>
    <phoneticPr fontId="2" type="noConversion"/>
  </si>
  <si>
    <t>会计年度截止日：12/31</t>
    <phoneticPr fontId="2" type="noConversion"/>
  </si>
  <si>
    <t>营业总成本</t>
    <phoneticPr fontId="2" type="noConversion"/>
  </si>
  <si>
    <t>资本公积</t>
    <phoneticPr fontId="2" type="noConversion"/>
  </si>
  <si>
    <t>减：库存股</t>
    <phoneticPr fontId="2" type="noConversion"/>
  </si>
  <si>
    <t>盈余公积</t>
    <phoneticPr fontId="2" type="noConversion"/>
  </si>
  <si>
    <t>未分配利润</t>
    <phoneticPr fontId="2" type="noConversion"/>
  </si>
  <si>
    <t>外币报表折算差额</t>
    <phoneticPr fontId="2" type="noConversion"/>
  </si>
  <si>
    <t>归属于母公司所有者权益合计</t>
    <phoneticPr fontId="2" type="noConversion"/>
  </si>
  <si>
    <t>少数股东权益</t>
    <phoneticPr fontId="2" type="noConversion"/>
  </si>
  <si>
    <t>股东权益合计</t>
    <phoneticPr fontId="2" type="noConversion"/>
  </si>
  <si>
    <t>负债和股东权益</t>
    <phoneticPr fontId="2" type="noConversion"/>
  </si>
  <si>
    <t>营运资本</t>
    <phoneticPr fontId="2" type="noConversion"/>
  </si>
  <si>
    <t>资产负债率</t>
    <phoneticPr fontId="2" type="noConversion"/>
  </si>
  <si>
    <t>有息负债率</t>
    <phoneticPr fontId="2" type="noConversion"/>
  </si>
  <si>
    <t>V_XJLLB_XSL.JYXMZJ</t>
    <phoneticPr fontId="2" type="noConversion"/>
  </si>
  <si>
    <t>V_XJLLB_XSL.ZZSZJE</t>
    <phoneticPr fontId="2" type="noConversion"/>
  </si>
  <si>
    <t>V_XJLLB_XSL.QT</t>
    <phoneticPr fontId="2" type="noConversion"/>
  </si>
  <si>
    <t>V_XJLLB_XSL.XJLZE</t>
    <phoneticPr fontId="2" type="noConversion"/>
  </si>
  <si>
    <t>V_XJLLB_XSL.HBZJQMYE</t>
    <phoneticPr fontId="2" type="noConversion"/>
  </si>
  <si>
    <t>V_XJLLB_XSL.HBZHQCTE</t>
    <phoneticPr fontId="2" type="noConversion"/>
  </si>
  <si>
    <t>V_XJLLB_XSL.XJDJWQMYE</t>
    <phoneticPr fontId="2" type="noConversion"/>
  </si>
  <si>
    <t>V_XJLLB_XSL.XJDJWQCYE</t>
    <phoneticPr fontId="2" type="noConversion"/>
  </si>
  <si>
    <t>V_XJLLB_XSL.XJXJDJWZE</t>
    <phoneticPr fontId="2" type="noConversion"/>
  </si>
  <si>
    <t>V_XJLLB_XSL.ZGSJQTDWSD</t>
    <phoneticPr fontId="2" type="noConversion"/>
  </si>
  <si>
    <t>V_XJLLB_XSL.ZWZWZB</t>
    <phoneticPr fontId="2" type="noConversion"/>
  </si>
  <si>
    <t>V_XJLLB_XSL.YNNDQKZHGSZQ</t>
    <phoneticPr fontId="2" type="noConversion"/>
  </si>
  <si>
    <t>V_XJLLB_XSL.RZZLGDZC2</t>
    <phoneticPr fontId="2" type="noConversion"/>
  </si>
  <si>
    <t>营业总收入</t>
    <phoneticPr fontId="2" type="noConversion"/>
  </si>
  <si>
    <t>利润表</t>
    <phoneticPr fontId="2" type="noConversion"/>
  </si>
  <si>
    <t>交易性金融负债</t>
    <phoneticPr fontId="2" type="noConversion"/>
  </si>
  <si>
    <t>应付职工薪酬</t>
    <phoneticPr fontId="2" type="noConversion"/>
  </si>
  <si>
    <t>票证结算</t>
    <phoneticPr fontId="2" type="noConversion"/>
  </si>
  <si>
    <t>已结算尚未完工款</t>
    <phoneticPr fontId="2" type="noConversion"/>
  </si>
  <si>
    <t>应交税费</t>
    <phoneticPr fontId="2" type="noConversion"/>
  </si>
  <si>
    <t>V_LRFPB_XSL.GYJZBDSY</t>
    <phoneticPr fontId="2" type="noConversion"/>
  </si>
  <si>
    <t>V_LRFPB_XSL.TZSY</t>
    <phoneticPr fontId="2" type="noConversion"/>
  </si>
  <si>
    <t>V_LRFPB_XSL.DLYQYTZSY</t>
    <phoneticPr fontId="2" type="noConversion"/>
  </si>
  <si>
    <t>V_LRFPB_XSL.YYLR</t>
    <phoneticPr fontId="2" type="noConversion"/>
  </si>
  <si>
    <t>V_LRFPB_XSL.QHSY</t>
    <phoneticPr fontId="2" type="noConversion"/>
  </si>
  <si>
    <t>V_LRFPB_XSL.BTSY</t>
    <phoneticPr fontId="2" type="noConversion"/>
  </si>
  <si>
    <t>V_LRFPB_XSL.YYWZC</t>
    <phoneticPr fontId="2" type="noConversion"/>
  </si>
  <si>
    <t>V_LRFPB_XSL.YYWSR</t>
    <phoneticPr fontId="2" type="noConversion"/>
  </si>
  <si>
    <t>未确认的投资损失</t>
    <phoneticPr fontId="2" type="noConversion"/>
  </si>
  <si>
    <t>V_ZCFZB_XSL.WXZCJZZB</t>
    <phoneticPr fontId="2" type="noConversion"/>
  </si>
  <si>
    <t>V_ZCFZB_XSL.WXZCJE</t>
    <phoneticPr fontId="2" type="noConversion"/>
  </si>
  <si>
    <t>V_ZCFZB_XSL.DYZC</t>
    <phoneticPr fontId="2" type="noConversion"/>
  </si>
  <si>
    <t>V_ZCFZB_XSL.KBF</t>
    <phoneticPr fontId="2" type="noConversion"/>
  </si>
  <si>
    <t>V_ZCFZB_XSL.CQDTFY</t>
    <phoneticPr fontId="2" type="noConversion"/>
  </si>
  <si>
    <t>V_ZCFZB_XSL.QTCQZC</t>
    <phoneticPr fontId="2" type="noConversion"/>
  </si>
  <si>
    <t>V_ZCFZB_XSL.LSSSJZ</t>
    <phoneticPr fontId="2" type="noConversion"/>
  </si>
  <si>
    <t>V_ZCFZB_XSL.DYSDSZC</t>
    <phoneticPr fontId="2" type="noConversion"/>
  </si>
  <si>
    <t>V_ZCFZB_XSL.DYSX</t>
    <phoneticPr fontId="2" type="noConversion"/>
  </si>
  <si>
    <t>V_ZCFZB_XSL.DYSKJX</t>
    <phoneticPr fontId="2" type="noConversion"/>
  </si>
  <si>
    <t>用户填写相关假设，自动生成数据</t>
    <phoneticPr fontId="2" type="noConversion"/>
  </si>
  <si>
    <t>黄色底纹需手工填写数据</t>
    <phoneticPr fontId="2" type="noConversion"/>
  </si>
  <si>
    <t>下拉框选项供参考，如果选择用户自定义，需手工填写数据</t>
    <phoneticPr fontId="2" type="noConversion"/>
  </si>
  <si>
    <t>金色边框可自由修改参数</t>
    <phoneticPr fontId="2" type="noConversion"/>
  </si>
  <si>
    <t>销售预测</t>
    <phoneticPr fontId="2" type="noConversion"/>
  </si>
  <si>
    <t>主要财务摘要</t>
    <phoneticPr fontId="2" type="noConversion"/>
  </si>
  <si>
    <t>公允价值变动损失（收益以“－”号填列）</t>
    <phoneticPr fontId="2" type="noConversion"/>
  </si>
  <si>
    <t>财务费用（收益以“－”号填列）</t>
    <phoneticPr fontId="2" type="noConversion"/>
  </si>
  <si>
    <t>递延所得税资产减少（增加以“－”号填列）</t>
    <phoneticPr fontId="2" type="noConversion"/>
  </si>
  <si>
    <t>递延所得税负债增加（减少以“－”号填列）</t>
    <phoneticPr fontId="2" type="noConversion"/>
  </si>
  <si>
    <t>营运资金的变动:</t>
    <phoneticPr fontId="2" type="noConversion"/>
  </si>
  <si>
    <t>经营性应收项目的减少（增加以“－”号填列）</t>
    <phoneticPr fontId="2" type="noConversion"/>
  </si>
  <si>
    <t>其中：公益金</t>
  </si>
  <si>
    <t>资本汇差调整</t>
  </si>
  <si>
    <t>股东权益合计</t>
  </si>
  <si>
    <t>负债和股东权益总计</t>
  </si>
  <si>
    <t>一、经营活动产生的现金流量</t>
  </si>
  <si>
    <t>销售商品、提供劳务收到的现金</t>
  </si>
  <si>
    <t>收到的租金</t>
  </si>
  <si>
    <t>收到的除增值税以外的其他税费返还</t>
  </si>
  <si>
    <t>收到的税费返还</t>
  </si>
  <si>
    <t>收到其他与经营活动有关的现金</t>
  </si>
  <si>
    <t>经营活动现金流入小计</t>
  </si>
  <si>
    <t>V_ZCFZB_XSL.GDZCYZ</t>
    <phoneticPr fontId="2" type="noConversion"/>
  </si>
  <si>
    <t>V_ZCFZB_XSL.LJZJ</t>
    <phoneticPr fontId="2" type="noConversion"/>
  </si>
  <si>
    <t>V_ZCFZB_XSL.GDZCJZ</t>
    <phoneticPr fontId="2" type="noConversion"/>
  </si>
  <si>
    <t>V_ZCFZB_XSL.GDZCJE</t>
    <phoneticPr fontId="2" type="noConversion"/>
  </si>
  <si>
    <t>V_ZCFZB_XSL.GCWZ</t>
    <phoneticPr fontId="2" type="noConversion"/>
  </si>
  <si>
    <t>V_ZCFZB_XSL.ZJGC</t>
    <phoneticPr fontId="2" type="noConversion"/>
  </si>
  <si>
    <r>
      <t>V_ZCFZB_XSL</t>
    </r>
    <r>
      <rPr>
        <sz val="12"/>
        <rFont val="宋体"/>
        <charset val="134"/>
      </rPr>
      <t>.SSGDQY</t>
    </r>
    <phoneticPr fontId="2" type="noConversion"/>
  </si>
  <si>
    <t>V_ZCFZB_XSL.HBZJ</t>
    <phoneticPr fontId="2" type="noConversion"/>
  </si>
  <si>
    <t>V_ZCFZB_XSL.YSLX</t>
    <phoneticPr fontId="2" type="noConversion"/>
  </si>
  <si>
    <t>V_ZCFZB_XSL.QTYSK</t>
    <phoneticPr fontId="2" type="noConversion"/>
  </si>
  <si>
    <t>V_ZCFZB_XSL.YSCKTS</t>
    <phoneticPr fontId="2" type="noConversion"/>
  </si>
  <si>
    <t>V_ZCFZB_XSL.YWGSWJSK</t>
    <phoneticPr fontId="2" type="noConversion"/>
  </si>
  <si>
    <t>V_ZCFZB_XSL.CH</t>
    <phoneticPr fontId="2" type="noConversion"/>
  </si>
  <si>
    <t>V_ZCFZB_XSL.GCSG</t>
    <phoneticPr fontId="2" type="noConversion"/>
  </si>
  <si>
    <t>投资性房地产</t>
    <phoneticPr fontId="2" type="noConversion"/>
  </si>
  <si>
    <t>其他流动资产</t>
  </si>
  <si>
    <t>无形资产</t>
  </si>
  <si>
    <t>管理费用</t>
  </si>
  <si>
    <t>资产总计</t>
  </si>
  <si>
    <t>短期借款</t>
  </si>
  <si>
    <t>财务费用</t>
  </si>
  <si>
    <t>其他流动负债</t>
  </si>
  <si>
    <t>营业利润</t>
  </si>
  <si>
    <t>少数股东权益</t>
  </si>
  <si>
    <r>
      <t>V_LRFPB_XSL.</t>
    </r>
    <r>
      <rPr>
        <sz val="12"/>
        <rFont val="宋体"/>
        <charset val="134"/>
      </rPr>
      <t>YYZCB</t>
    </r>
    <phoneticPr fontId="2" type="noConversion"/>
  </si>
  <si>
    <t>净利润</t>
  </si>
  <si>
    <t>其他</t>
  </si>
  <si>
    <t>毛利</t>
    <phoneticPr fontId="2" type="noConversion"/>
  </si>
  <si>
    <t>固定资产</t>
    <phoneticPr fontId="2" type="noConversion"/>
  </si>
  <si>
    <t>无形资产</t>
    <phoneticPr fontId="2" type="noConversion"/>
  </si>
  <si>
    <t>V_ZCFZB_XSL.FZGDQYZJ</t>
    <phoneticPr fontId="2" type="noConversion"/>
  </si>
  <si>
    <r>
      <t>V_ZCFZB_XSL</t>
    </r>
    <r>
      <rPr>
        <sz val="12"/>
        <rFont val="宋体"/>
        <charset val="134"/>
      </rPr>
      <t>.</t>
    </r>
    <r>
      <rPr>
        <sz val="12"/>
        <rFont val="宋体"/>
        <charset val="134"/>
      </rPr>
      <t>ZJGCJE</t>
    </r>
    <phoneticPr fontId="2" type="noConversion"/>
  </si>
  <si>
    <t>V_XJLLB_XSL.DYSDSZCJS</t>
    <phoneticPr fontId="2" type="noConversion"/>
  </si>
  <si>
    <t>V_XJLLB_XSL.DYSDSFZZJ</t>
    <phoneticPr fontId="2" type="noConversion"/>
  </si>
  <si>
    <t>V_XJLLB_XSL.SKDX</t>
    <phoneticPr fontId="2" type="noConversion"/>
  </si>
  <si>
    <t>V_XJLLB_XSL.CHJS</t>
    <phoneticPr fontId="2" type="noConversion"/>
  </si>
  <si>
    <t>V_XJLLB_XSL.JYXMJS</t>
    <phoneticPr fontId="2" type="noConversion"/>
  </si>
  <si>
    <t>投资活动产生的现金流量净额</t>
    <phoneticPr fontId="2" type="noConversion"/>
  </si>
  <si>
    <t>3、融资活动产生的现金流量</t>
    <phoneticPr fontId="2" type="noConversion"/>
  </si>
  <si>
    <t>股本融资</t>
    <phoneticPr fontId="2" type="noConversion"/>
  </si>
  <si>
    <t>债权融资</t>
    <phoneticPr fontId="2" type="noConversion"/>
  </si>
  <si>
    <t xml:space="preserve">          一年内到期的非流动负债的增加（减少以“－”号填列）</t>
    <phoneticPr fontId="2" type="noConversion"/>
  </si>
  <si>
    <t xml:space="preserve">           应付债券的增加（减少以“－”号填列）</t>
    <phoneticPr fontId="2" type="noConversion"/>
  </si>
  <si>
    <t>减少注册资本所支付的现金</t>
  </si>
  <si>
    <t>其中：子公司依法减资支付给少数股东的现金</t>
  </si>
  <si>
    <t>支付的其他与筹资活动有关的现金</t>
  </si>
  <si>
    <t>筹资活动现金流出小计</t>
  </si>
  <si>
    <t>筹资活动产生的现金流量净额</t>
  </si>
  <si>
    <t>汇率变动对现金的影响额</t>
  </si>
  <si>
    <t>现金及现金等价物净增加额</t>
  </si>
  <si>
    <t>以固定资产偿还债务</t>
  </si>
  <si>
    <t>以投资偿还债务</t>
  </si>
  <si>
    <t>以固定资产进行长期投资</t>
  </si>
  <si>
    <t>以存货偿还债务</t>
  </si>
  <si>
    <t>融资租赁固定资产</t>
  </si>
  <si>
    <t>加：少数股东损益</t>
  </si>
  <si>
    <t>购并利润</t>
  </si>
  <si>
    <t>减：未确认的投资损失</t>
  </si>
  <si>
    <t>计提的坏帐准备或转销的坏帐</t>
  </si>
  <si>
    <t>固定资产折旧</t>
  </si>
  <si>
    <t>无形资产摊销</t>
  </si>
  <si>
    <t>开办费摊销</t>
  </si>
  <si>
    <t>长期待摊费用摊销</t>
  </si>
  <si>
    <t>预提费用的增加(减:减少)</t>
  </si>
  <si>
    <t>固定资产报废损失</t>
  </si>
  <si>
    <t>递延税款贷项(减:借项)</t>
  </si>
  <si>
    <t>存货跌价损失</t>
  </si>
  <si>
    <t>经营性应付项目的增加（减少以“－”号填列）</t>
  </si>
  <si>
    <t>增值税增加净额(减:减少)</t>
  </si>
  <si>
    <t>债务转为资本</t>
  </si>
  <si>
    <t>现金流</t>
    <phoneticPr fontId="2" type="noConversion"/>
  </si>
  <si>
    <t>V_ZCFZB_XSL.SCXSWZCJZ</t>
    <phoneticPr fontId="2" type="noConversion"/>
  </si>
  <si>
    <t>V_ZCFZB_XSL.YQZC</t>
    <phoneticPr fontId="2" type="noConversion"/>
  </si>
  <si>
    <t>V_ZCFZB_XSL.YQZCLJZJ</t>
    <phoneticPr fontId="2" type="noConversion"/>
  </si>
  <si>
    <t>V_ZCFZB_XSL.YQZCJZ</t>
    <phoneticPr fontId="2" type="noConversion"/>
  </si>
  <si>
    <t>V_ZCFZB_XSL.WXZC</t>
    <phoneticPr fontId="2" type="noConversion"/>
  </si>
  <si>
    <t>存货的减少（增加以“－”号填列）</t>
    <phoneticPr fontId="2" type="noConversion"/>
  </si>
  <si>
    <t>V_LRFPB_XSL.XSMGSY</t>
    <phoneticPr fontId="2" type="noConversion"/>
  </si>
  <si>
    <t>加：年初未分配利润</t>
    <phoneticPr fontId="2" type="noConversion"/>
  </si>
  <si>
    <t>V_LRFPB_XSL.JSZCZIWFPLR</t>
    <phoneticPr fontId="2" type="noConversion"/>
  </si>
  <si>
    <t>一年内到期的可转换公司债券</t>
  </si>
  <si>
    <t>融资租入固定资产</t>
  </si>
  <si>
    <t>减：现金等价物的期初余额</t>
  </si>
  <si>
    <t>(附注)现金及现金等价物净增加额</t>
  </si>
  <si>
    <t>V_ZCFZB_XSL.CHDJZB</t>
    <phoneticPr fontId="2" type="noConversion"/>
  </si>
  <si>
    <t>V_ZCFZB_XSL.CHJE</t>
    <phoneticPr fontId="2" type="noConversion"/>
  </si>
  <si>
    <t>V_ZCFZB_XSL.NBWL</t>
    <phoneticPr fontId="2" type="noConversion"/>
  </si>
  <si>
    <t>V_ZCFZB_XSL.DTFY</t>
    <phoneticPr fontId="2" type="noConversion"/>
  </si>
  <si>
    <t>V_ZCFZB_XSL.DCLLDZCJSS</t>
    <phoneticPr fontId="2" type="noConversion"/>
  </si>
  <si>
    <t>V_ZCFZB_XSL.YNNDQFLDZC</t>
    <phoneticPr fontId="2" type="noConversion"/>
  </si>
  <si>
    <t>V_ZCFZB_XSL.YNNDQCQZQTZ</t>
    <phoneticPr fontId="2" type="noConversion"/>
  </si>
  <si>
    <t>V_ZCFZB_XSL.QTLDZC</t>
    <phoneticPr fontId="2" type="noConversion"/>
  </si>
  <si>
    <t>V_ZCFZB_XSL.LDZCHJ</t>
    <phoneticPr fontId="2" type="noConversion"/>
  </si>
  <si>
    <t>V_ZCFZB_XSL.KGCSJRZC</t>
    <phoneticPr fontId="2" type="noConversion"/>
  </si>
  <si>
    <t>V_ZCFZB_XSL.KGCSJRZCJZZB</t>
    <phoneticPr fontId="2" type="noConversion"/>
  </si>
  <si>
    <t>V_ZCFZB_XSL.KGCSJRZCTZJE</t>
    <phoneticPr fontId="2" type="noConversion"/>
  </si>
  <si>
    <t>V_ZCFZB_XSL.CYZDQTZJZZB</t>
    <phoneticPr fontId="2" type="noConversion"/>
  </si>
  <si>
    <t>V_ZCFZB_XSL.CYZDQTZJE</t>
    <phoneticPr fontId="2" type="noConversion"/>
  </si>
  <si>
    <t>V_ZCFZB_XSL.CQYSK</t>
    <phoneticPr fontId="2" type="noConversion"/>
  </si>
  <si>
    <t>V_ZCFZB_XSL.CQGQTZ</t>
    <phoneticPr fontId="2" type="noConversion"/>
  </si>
  <si>
    <t>V_ZCFZB_XSL.CQGQTZJZZB</t>
    <phoneticPr fontId="2" type="noConversion"/>
  </si>
  <si>
    <t>V_ZCFZB_XSL.CQGQTZJE</t>
    <phoneticPr fontId="2" type="noConversion"/>
  </si>
  <si>
    <t>V_ZCFZB_XSL.CQTZHJ</t>
    <phoneticPr fontId="2" type="noConversion"/>
  </si>
  <si>
    <t>V_ZCFZB_XSL.CQTZJZZB</t>
    <phoneticPr fontId="2" type="noConversion"/>
  </si>
  <si>
    <t>V_ZCFZB_XSL.CQTZJE</t>
    <phoneticPr fontId="2" type="noConversion"/>
  </si>
  <si>
    <t>V_ZCFZB_XSL.HBJC</t>
    <phoneticPr fontId="2" type="noConversion"/>
  </si>
  <si>
    <t>V_ZCFZB_XSL.GQTZCE</t>
    <phoneticPr fontId="2" type="noConversion"/>
  </si>
  <si>
    <t>V_ZCFZB_XSL.TZXFDC</t>
    <phoneticPr fontId="2" type="noConversion"/>
  </si>
  <si>
    <t>付息债务</t>
    <phoneticPr fontId="2" type="noConversion"/>
  </si>
  <si>
    <t>经营活动产生的现金流量</t>
    <phoneticPr fontId="2" type="noConversion"/>
  </si>
  <si>
    <t>资产</t>
    <phoneticPr fontId="2" type="noConversion"/>
  </si>
  <si>
    <t>货币资金</t>
    <phoneticPr fontId="2" type="noConversion"/>
  </si>
  <si>
    <t>预付款项</t>
    <phoneticPr fontId="2" type="noConversion"/>
  </si>
  <si>
    <t>项  目</t>
  </si>
  <si>
    <t>减：长期股权投资减值准备</t>
    <phoneticPr fontId="2" type="noConversion"/>
  </si>
  <si>
    <t>其他流动负债</t>
    <phoneticPr fontId="2" type="noConversion"/>
  </si>
  <si>
    <t>减：固定资产减值准备</t>
    <phoneticPr fontId="2" type="noConversion"/>
  </si>
  <si>
    <t>待处理固定资产净损失</t>
    <phoneticPr fontId="2" type="noConversion"/>
  </si>
  <si>
    <t>固定资产改良</t>
    <phoneticPr fontId="2" type="noConversion"/>
  </si>
  <si>
    <t>生产性生物资产</t>
    <phoneticPr fontId="2" type="noConversion"/>
  </si>
  <si>
    <t>减：生产性生物资产累计折旧</t>
    <phoneticPr fontId="2" type="noConversion"/>
  </si>
  <si>
    <t>生产性生物资产净值</t>
    <phoneticPr fontId="2" type="noConversion"/>
  </si>
  <si>
    <t>油气资产</t>
    <phoneticPr fontId="2" type="noConversion"/>
  </si>
  <si>
    <t>减：油气资产累计折旧</t>
    <phoneticPr fontId="2" type="noConversion"/>
  </si>
  <si>
    <t>油气资产净值</t>
    <phoneticPr fontId="2" type="noConversion"/>
  </si>
  <si>
    <t>减：无形资产减值准备</t>
    <phoneticPr fontId="2" type="noConversion"/>
  </si>
  <si>
    <t>无形资产净额</t>
    <phoneticPr fontId="2" type="noConversion"/>
  </si>
  <si>
    <t>开发支出</t>
    <phoneticPr fontId="2" type="noConversion"/>
  </si>
  <si>
    <t>商誉</t>
    <phoneticPr fontId="2" type="noConversion"/>
  </si>
  <si>
    <t>开办费</t>
    <phoneticPr fontId="2" type="noConversion"/>
  </si>
  <si>
    <t>长期待摊费用</t>
    <phoneticPr fontId="2" type="noConversion"/>
  </si>
  <si>
    <t>其他非流动资产</t>
    <phoneticPr fontId="2" type="noConversion"/>
  </si>
  <si>
    <t>递延所得税资产</t>
    <phoneticPr fontId="2" type="noConversion"/>
  </si>
  <si>
    <t>股本</t>
    <phoneticPr fontId="2" type="noConversion"/>
  </si>
  <si>
    <t>V_LRFPB_XSL.YYLRCE</t>
    <phoneticPr fontId="2" type="noConversion"/>
  </si>
  <si>
    <t>影响营业利润的特殊科目和平衡项目</t>
    <phoneticPr fontId="2" type="noConversion"/>
  </si>
  <si>
    <t>V_ZCFZB_XSL.ZCTSPH</t>
    <phoneticPr fontId="2" type="noConversion"/>
  </si>
  <si>
    <t>资产差额特殊报表科目及平衡</t>
    <phoneticPr fontId="2" type="noConversion"/>
  </si>
  <si>
    <t>V_XJLLB_XSL.XSTZSDXJ</t>
    <phoneticPr fontId="2" type="noConversion"/>
  </si>
  <si>
    <t>V_XJLLB_XSL.QYXTZ</t>
    <phoneticPr fontId="2" type="noConversion"/>
  </si>
  <si>
    <t>V_XJLLB_XSL.ZGSSDZJ</t>
    <phoneticPr fontId="2" type="noConversion"/>
  </si>
  <si>
    <t>V_XJLLB_XSL.FXZQSDXJ</t>
    <phoneticPr fontId="2" type="noConversion"/>
  </si>
  <si>
    <t>V_XJLLB_XSL.JKSDXJ</t>
    <phoneticPr fontId="2" type="noConversion"/>
  </si>
  <si>
    <t>V_XJLLB_XSL.SDQTYCZHDYGXJ</t>
    <phoneticPr fontId="2" type="noConversion"/>
  </si>
  <si>
    <t>V_XJLLB_XSL.CZHDXJ</t>
    <phoneticPr fontId="2" type="noConversion"/>
  </si>
  <si>
    <t>V_XJLLB_XSL.CHZWSFXJ</t>
    <phoneticPr fontId="2" type="noConversion"/>
  </si>
  <si>
    <t>V_XJLLB_XSL.CZFYSFXJ</t>
    <phoneticPr fontId="2" type="noConversion"/>
  </si>
  <si>
    <t>V_XJLLB_XSL.FPGLSFXJ</t>
    <phoneticPr fontId="2" type="noConversion"/>
  </si>
  <si>
    <t>V_XJLLB_XSL.ZGSZFGL</t>
    <phoneticPr fontId="2" type="noConversion"/>
  </si>
  <si>
    <t>V_XJLLB_XSL.ZFGLSFXJ</t>
    <phoneticPr fontId="2" type="noConversion"/>
  </si>
  <si>
    <t>V_XJLLB_XSL.RZZLSFXJ</t>
    <phoneticPr fontId="2" type="noConversion"/>
  </si>
  <si>
    <t>V_XJLLB_XSL.JSZCZBSFXJ</t>
    <phoneticPr fontId="2" type="noConversion"/>
  </si>
  <si>
    <t>V_XJLLB_XSL.ZGSZFGD</t>
    <phoneticPr fontId="2" type="noConversion"/>
  </si>
  <si>
    <t>V_LRFPB_XSL.KFPLR</t>
    <phoneticPr fontId="2" type="noConversion"/>
  </si>
  <si>
    <t>减：提取法定盈余公积</t>
    <phoneticPr fontId="2" type="noConversion"/>
  </si>
  <si>
    <t>V_LRFPB_XSL.TQFDYYGJ</t>
    <phoneticPr fontId="2" type="noConversion"/>
  </si>
  <si>
    <t>V_LRFPB_XSL.TQFDGJJ</t>
    <phoneticPr fontId="2" type="noConversion"/>
  </si>
  <si>
    <t>提取法定公益金</t>
    <phoneticPr fontId="2" type="noConversion"/>
  </si>
  <si>
    <t>V_LRFPB_XSL.TQZGJLFLJJ</t>
    <phoneticPr fontId="2" type="noConversion"/>
  </si>
  <si>
    <t>V_LRFPB_XSL.TQCBJJ</t>
    <phoneticPr fontId="2" type="noConversion"/>
  </si>
  <si>
    <t>V_LRFPB_XSL.TQQYFZZJ</t>
    <phoneticPr fontId="2" type="noConversion"/>
  </si>
  <si>
    <t>V_LRFPB_XSL.KGGDFPLR</t>
    <phoneticPr fontId="2" type="noConversion"/>
  </si>
  <si>
    <t>V_LRFPB_XSL.YFYXGGL</t>
    <phoneticPr fontId="2" type="noConversion"/>
  </si>
  <si>
    <t>V_LRFPB_XSL.TQRYYYGJ</t>
    <phoneticPr fontId="2" type="noConversion"/>
  </si>
  <si>
    <t>V_LRFPB_XSL.YFPTGGL</t>
    <phoneticPr fontId="2" type="noConversion"/>
  </si>
  <si>
    <t>V_LRFPB_XSL.ZZGBPTGGL</t>
    <phoneticPr fontId="2" type="noConversion"/>
  </si>
  <si>
    <t>V_LRFPB_XSL.WFPLR</t>
    <phoneticPr fontId="2" type="noConversion"/>
  </si>
  <si>
    <t>V_LRFPB_XSL.CSCZDWBTZDW</t>
    <phoneticPr fontId="2" type="noConversion"/>
  </si>
  <si>
    <t>V_LRFPB_XSL.ZRZHSS</t>
    <phoneticPr fontId="2" type="noConversion"/>
  </si>
  <si>
    <t>V_LRFPB_XSL.KJZCBG</t>
    <phoneticPr fontId="2" type="noConversion"/>
  </si>
  <si>
    <t>V_XJLLB_XSL.</t>
    <phoneticPr fontId="2" type="noConversion"/>
  </si>
  <si>
    <t>V_XJLLB_XSL.XSSPTGLRDDXJ</t>
    <phoneticPr fontId="2" type="noConversion"/>
  </si>
  <si>
    <r>
      <t>V_ZCFZB_XSL</t>
    </r>
    <r>
      <rPr>
        <sz val="12"/>
        <rFont val="宋体"/>
        <charset val="134"/>
      </rPr>
      <t>.YSXWF</t>
    </r>
    <phoneticPr fontId="2" type="noConversion"/>
  </si>
  <si>
    <r>
      <t>V_ZCFZB_XSL</t>
    </r>
    <r>
      <rPr>
        <sz val="12"/>
        <rFont val="宋体"/>
        <charset val="134"/>
      </rPr>
      <t>.CYZDQTZ</t>
    </r>
    <phoneticPr fontId="2" type="noConversion"/>
  </si>
  <si>
    <r>
      <t>V_ZCFZB_XSL</t>
    </r>
    <r>
      <rPr>
        <sz val="12"/>
        <rFont val="宋体"/>
        <charset val="134"/>
      </rPr>
      <t>.CQZQTZJE</t>
    </r>
    <phoneticPr fontId="2" type="noConversion"/>
  </si>
  <si>
    <r>
      <t>V_ZCFZB_XSL</t>
    </r>
    <r>
      <rPr>
        <sz val="12"/>
        <rFont val="宋体"/>
        <charset val="134"/>
      </rPr>
      <t>.QTCQTZJE</t>
    </r>
    <phoneticPr fontId="2" type="noConversion"/>
  </si>
  <si>
    <r>
      <t>V_ZCFZB_XSL</t>
    </r>
    <r>
      <rPr>
        <sz val="12"/>
        <rFont val="宋体"/>
        <charset val="134"/>
      </rPr>
      <t>.GDZCJZZB</t>
    </r>
    <phoneticPr fontId="2" type="noConversion"/>
  </si>
  <si>
    <t>V_ZCFZB_XSL.FLDZCHJ</t>
    <phoneticPr fontId="2" type="noConversion"/>
  </si>
  <si>
    <t>V_ZCFZB_XSL.ZCZJ</t>
    <phoneticPr fontId="2" type="noConversion"/>
  </si>
  <si>
    <t>V_ZCFZB_XSL.JYXJRFZ</t>
    <phoneticPr fontId="2" type="noConversion"/>
  </si>
  <si>
    <t>V_ZCFZB_XSL.YFPJ</t>
    <phoneticPr fontId="2" type="noConversion"/>
  </si>
  <si>
    <t>V_ZCFZB_XSL.YFZK</t>
    <phoneticPr fontId="2" type="noConversion"/>
  </si>
  <si>
    <t>V_ZCFZB_XSL.YUSZK</t>
    <phoneticPr fontId="2" type="noConversion"/>
  </si>
  <si>
    <t>V_ZCFZB_XSL.YFZGXC</t>
    <phoneticPr fontId="2" type="noConversion"/>
  </si>
  <si>
    <t>V_ZCFZB_XSL.YFGZ</t>
    <phoneticPr fontId="2" type="noConversion"/>
  </si>
  <si>
    <t>V_ZCFZB_XSL.YFFL</t>
    <phoneticPr fontId="2" type="noConversion"/>
  </si>
  <si>
    <t>V_ZCFZB_XSL.YFGL</t>
    <phoneticPr fontId="2" type="noConversion"/>
  </si>
  <si>
    <t>V_ZCFZB_XSL.YJSJ</t>
    <phoneticPr fontId="2" type="noConversion"/>
  </si>
  <si>
    <t>V_ZCFZB_XSL.QTYJK</t>
    <phoneticPr fontId="2" type="noConversion"/>
  </si>
  <si>
    <t>V_ZCFZB_XSL.QTYFK</t>
    <phoneticPr fontId="2" type="noConversion"/>
  </si>
  <si>
    <t>V_ZCFZB_XSL.YTFY</t>
    <phoneticPr fontId="2" type="noConversion"/>
  </si>
  <si>
    <t>V_ZCFZB_XSL.YNNDQCQFZ</t>
    <phoneticPr fontId="2" type="noConversion"/>
  </si>
  <si>
    <t>V_ZCFZB_XSL.CQJK</t>
    <phoneticPr fontId="2" type="noConversion"/>
  </si>
  <si>
    <t>V_ZCFZB_XSL.YFZQ</t>
    <phoneticPr fontId="2" type="noConversion"/>
  </si>
  <si>
    <t>V_ZCFZB_XSL.CQYFK</t>
    <phoneticPr fontId="2" type="noConversion"/>
  </si>
  <si>
    <t>V_ZCFZB_XSL.YJCQFZ</t>
    <phoneticPr fontId="2" type="noConversion"/>
  </si>
  <si>
    <t>V_ZCFZB_XSL.YFRZZLK</t>
    <phoneticPr fontId="2" type="noConversion"/>
  </si>
  <si>
    <t>V_ZCFZB_XSL.DYSKFZ</t>
    <phoneticPr fontId="2" type="noConversion"/>
  </si>
  <si>
    <t>V_ZCFZB_XSL.FLDFZHJ</t>
    <phoneticPr fontId="2" type="noConversion"/>
  </si>
  <si>
    <t>V_ZCFZB_XSL.DYSKDX</t>
    <phoneticPr fontId="2" type="noConversion"/>
  </si>
  <si>
    <t>V_ZCFZB_XSL.FZHJ</t>
    <phoneticPr fontId="2" type="noConversion"/>
  </si>
  <si>
    <t>V_ZCFZB_XSL.GB</t>
    <phoneticPr fontId="2" type="noConversion"/>
  </si>
  <si>
    <t>V_ZCFZB_XSL.YGHTZ</t>
    <phoneticPr fontId="2" type="noConversion"/>
  </si>
  <si>
    <t>V_ZCFZB_XSL.GBJE</t>
    <phoneticPr fontId="2" type="noConversion"/>
  </si>
  <si>
    <t>V_ZCFZB_XSL.ZBGJJ</t>
    <phoneticPr fontId="2" type="noConversion"/>
  </si>
  <si>
    <t>V_LRFPB_XSL.CHDJSS</t>
    <phoneticPr fontId="2" type="noConversion"/>
  </si>
  <si>
    <t>V_LRFPB_XSL.YYFY</t>
    <phoneticPr fontId="2" type="noConversion"/>
  </si>
  <si>
    <t>V_LRFPB_XSL.GLFY</t>
    <phoneticPr fontId="2" type="noConversion"/>
  </si>
  <si>
    <t>V_LRFPB_XSL.CWFY</t>
    <phoneticPr fontId="2" type="noConversion"/>
  </si>
  <si>
    <t>V_LRFPB_XSL.QTFY</t>
    <phoneticPr fontId="2" type="noConversion"/>
  </si>
  <si>
    <t>V_LRFPB_XSL.ZCJZSS</t>
    <phoneticPr fontId="2" type="noConversion"/>
  </si>
  <si>
    <t>已完工尚未结算款</t>
  </si>
  <si>
    <t>应收补贴款</t>
  </si>
  <si>
    <t>期货保证金</t>
  </si>
  <si>
    <t xml:space="preserve"> 使用步骤：</t>
    <phoneticPr fontId="2" type="noConversion"/>
  </si>
  <si>
    <t>支付给职工以及为职工支付现金</t>
  </si>
  <si>
    <t>支付的增值税款</t>
  </si>
  <si>
    <t>支付的所得税款</t>
  </si>
  <si>
    <t>支付的除增值税、所得税以外的其他税费</t>
  </si>
  <si>
    <t>支付的其他与经营活动有关的现金</t>
  </si>
  <si>
    <t>V_LRFPB_XSL.FLDZCCZJSS</t>
    <phoneticPr fontId="2" type="noConversion"/>
  </si>
  <si>
    <t>V_LRFPB_XSL.YQNDSYTZ</t>
    <phoneticPr fontId="2" type="noConversion"/>
  </si>
  <si>
    <t>V_LRFPB_XSL.LRZE</t>
    <phoneticPr fontId="2" type="noConversion"/>
  </si>
  <si>
    <t>V_LRFPB_XSL.SDS</t>
    <phoneticPr fontId="2" type="noConversion"/>
  </si>
  <si>
    <t>V_LRFPB_XSL.CZFH</t>
    <phoneticPr fontId="2" type="noConversion"/>
  </si>
  <si>
    <t>V_LRFPB_XSL.SSGDSY</t>
    <phoneticPr fontId="2" type="noConversion"/>
  </si>
  <si>
    <t>V_LRFPB_XSL.WQRTZSS</t>
    <phoneticPr fontId="2" type="noConversion"/>
  </si>
  <si>
    <t>V_LRFPB_XSL.BGSS</t>
    <phoneticPr fontId="2" type="noConversion"/>
  </si>
  <si>
    <t>经营活动现金流出小计</t>
  </si>
  <si>
    <t>经营活动产生的现金流量净额</t>
  </si>
  <si>
    <t>收回投资所收到的现金</t>
  </si>
  <si>
    <t>取得债券利息收入所收到的现金</t>
  </si>
  <si>
    <t>处置固定资产、无形资产和其他长期资产收回的现金</t>
  </si>
  <si>
    <t>投资活动现金流入小计</t>
  </si>
  <si>
    <t>购建固定资产、无形资产和其他长期资产支付的现金</t>
  </si>
  <si>
    <t>权益性投资所付的现金</t>
  </si>
  <si>
    <t>债权性投资所付的现金</t>
  </si>
  <si>
    <t>支付的其他与投资活动有关的现金</t>
  </si>
  <si>
    <t>投资活动现金流出小计</t>
  </si>
  <si>
    <t xml:space="preserve">投资活动产生的现金流量净额 </t>
  </si>
  <si>
    <t>吸收权益性投资所收到的现金</t>
  </si>
  <si>
    <t>其中：子公司吸收少数股东权益性投资收到的现金</t>
  </si>
  <si>
    <t>发行债券所收到的现金</t>
  </si>
  <si>
    <t>筹资活动现金流入小计</t>
  </si>
  <si>
    <t>偿还债务所付的现金</t>
  </si>
  <si>
    <t xml:space="preserve">发生筹资费用所付的现金 </t>
  </si>
  <si>
    <t>分配股利或利润所付的现金</t>
  </si>
  <si>
    <t>其中：子公司支付少数股东的股利</t>
  </si>
  <si>
    <t>偿付利息所支付的现金</t>
  </si>
  <si>
    <t>融资租赁所支付的现金</t>
  </si>
  <si>
    <t>减：存货跌价准备（含工程亏损准备）</t>
    <phoneticPr fontId="2" type="noConversion"/>
  </si>
  <si>
    <t>减：折扣与折让</t>
  </si>
  <si>
    <t>加：其他业务利润</t>
  </si>
  <si>
    <t>加：期货收益</t>
  </si>
  <si>
    <t>营业外收入</t>
  </si>
  <si>
    <t>（一）基本每股收益(元)</t>
    <phoneticPr fontId="2" type="noConversion"/>
  </si>
  <si>
    <t>（二）稀释每股收益(元)</t>
    <phoneticPr fontId="2" type="noConversion"/>
  </si>
  <si>
    <t>V_LRFPB_XSL.NCWFPLR</t>
    <phoneticPr fontId="2" type="noConversion"/>
  </si>
  <si>
    <t>V_LRFPB_XSL.YYGJZR</t>
    <phoneticPr fontId="2" type="noConversion"/>
  </si>
  <si>
    <t>减：分配给公司发起人利润</t>
    <phoneticPr fontId="2" type="noConversion"/>
  </si>
  <si>
    <t>V_LRFPB_XSL.GSFQRLR</t>
    <phoneticPr fontId="2" type="noConversion"/>
  </si>
  <si>
    <t>外币未分配利润折算差</t>
    <phoneticPr fontId="2" type="noConversion"/>
  </si>
  <si>
    <t>V_LRFPB_XSL.WBWFPLRZSC</t>
    <phoneticPr fontId="2" type="noConversion"/>
  </si>
  <si>
    <t>一年内到期的非流动负债</t>
    <phoneticPr fontId="2" type="noConversion"/>
  </si>
  <si>
    <t>现金净变动</t>
  </si>
  <si>
    <t>期初现金余额</t>
  </si>
  <si>
    <t>期末现金余额</t>
  </si>
  <si>
    <t>会计年度截止日：12/31</t>
    <phoneticPr fontId="2" type="noConversion"/>
  </si>
  <si>
    <t>1、将净利润调节为经营活动现金流量：</t>
    <phoneticPr fontId="2" type="noConversion"/>
  </si>
  <si>
    <t>非现金支出：</t>
    <phoneticPr fontId="2" type="noConversion"/>
  </si>
  <si>
    <t>固定资产折旧、油气资产折耗、生产性生物资产折旧</t>
    <phoneticPr fontId="2" type="noConversion"/>
  </si>
  <si>
    <t>无形资产摊销</t>
    <phoneticPr fontId="2" type="noConversion"/>
  </si>
  <si>
    <t>非经营性收益：</t>
    <phoneticPr fontId="2" type="noConversion"/>
  </si>
  <si>
    <t>V_XJLLB_XSL.ZFQTCZHDXJ</t>
    <phoneticPr fontId="2" type="noConversion"/>
  </si>
  <si>
    <t>V_XJLLB_XSL.CZHDXJLXJ</t>
    <phoneticPr fontId="2" type="noConversion"/>
  </si>
  <si>
    <t>V_XJLLB_XSL.CZJDXJLLJE</t>
    <phoneticPr fontId="2" type="noConversion"/>
  </si>
  <si>
    <t>V_XJLLB_XSL.HLBDXJYX</t>
    <phoneticPr fontId="2" type="noConversion"/>
  </si>
  <si>
    <t>V_XJLLB_XSL.XJDJWJZJE</t>
    <phoneticPr fontId="2" type="noConversion"/>
  </si>
  <si>
    <t>V_XJLLB_XSL.QCXJJXJDJWYE</t>
    <phoneticPr fontId="2" type="noConversion"/>
  </si>
  <si>
    <t>V_XJLLB_XSL.QMXJJXJDJWYE</t>
    <phoneticPr fontId="2" type="noConversion"/>
  </si>
  <si>
    <t>V_XJLLB_XSL.GDZCDCZW</t>
    <phoneticPr fontId="2" type="noConversion"/>
  </si>
  <si>
    <t>V_XJLLB_XSL.TZCHZW</t>
    <phoneticPr fontId="2" type="noConversion"/>
  </si>
  <si>
    <t>V_XJLLB_XSL.GDZCCQTZ</t>
    <phoneticPr fontId="2" type="noConversion"/>
  </si>
  <si>
    <t>V_XJLLB_XSL.CHDZ</t>
    <phoneticPr fontId="2" type="noConversion"/>
  </si>
  <si>
    <t>V_XJLLB_XSL.RZZLGDZC</t>
    <phoneticPr fontId="2" type="noConversion"/>
  </si>
  <si>
    <t>V_XJLLB_XSL.JLR</t>
    <phoneticPr fontId="2" type="noConversion"/>
  </si>
  <si>
    <t>V_XJLLB_XSL.WQRTZSS</t>
    <phoneticPr fontId="2" type="noConversion"/>
  </si>
  <si>
    <t>V_XJLLB_XSL.SSGDSY</t>
    <phoneticPr fontId="2" type="noConversion"/>
  </si>
  <si>
    <t>V_XJLLB_XSL.GBLR</t>
    <phoneticPr fontId="2" type="noConversion"/>
  </si>
  <si>
    <t>V_ZCFZB_XSL.QTFLDFZ</t>
    <phoneticPr fontId="2" type="noConversion"/>
  </si>
  <si>
    <t>V_LRFPB_XSL.ZYYWSR</t>
    <phoneticPr fontId="2" type="noConversion"/>
  </si>
  <si>
    <t>V_LRFPB_XSL.</t>
  </si>
  <si>
    <t>V_LRFPB_XSL.ZKYZR</t>
    <phoneticPr fontId="2" type="noConversion"/>
  </si>
  <si>
    <t>V_LRFPB_XSL.ZYYWSRJE</t>
    <phoneticPr fontId="2" type="noConversion"/>
  </si>
  <si>
    <t>V_LRFPB_XSL.ZYYWCB</t>
    <phoneticPr fontId="2" type="noConversion"/>
  </si>
  <si>
    <t>长期借款</t>
    <phoneticPr fontId="2" type="noConversion"/>
  </si>
  <si>
    <t>归属于母公司所有者权益合计</t>
    <phoneticPr fontId="2" type="noConversion"/>
  </si>
  <si>
    <t>可供股东分配的利润</t>
    <phoneticPr fontId="2" type="noConversion"/>
  </si>
  <si>
    <t>行次</t>
    <phoneticPr fontId="2" type="noConversion"/>
  </si>
  <si>
    <t>交易性金融资产</t>
    <phoneticPr fontId="2" type="noConversion"/>
  </si>
  <si>
    <t>减：坏帐准备</t>
    <phoneticPr fontId="2" type="noConversion"/>
  </si>
  <si>
    <t>存货</t>
    <phoneticPr fontId="2" type="noConversion"/>
  </si>
  <si>
    <t>一年内到期的非流动资产</t>
    <phoneticPr fontId="2" type="noConversion"/>
  </si>
  <si>
    <t>可供出售金融资产</t>
    <phoneticPr fontId="2" type="noConversion"/>
  </si>
  <si>
    <t>减：可供出售金融资产减值准备</t>
    <phoneticPr fontId="2" type="noConversion"/>
  </si>
  <si>
    <t>可供出售金融资产投资净额</t>
    <phoneticPr fontId="2" type="noConversion"/>
  </si>
  <si>
    <t>持有至到期投资</t>
    <phoneticPr fontId="2" type="noConversion"/>
  </si>
  <si>
    <t>减：持有至到期投资减值准备</t>
    <phoneticPr fontId="2" type="noConversion"/>
  </si>
  <si>
    <t>持有至到期投资净额</t>
    <phoneticPr fontId="2" type="noConversion"/>
  </si>
  <si>
    <t>长期应收款</t>
    <phoneticPr fontId="2" type="noConversion"/>
  </si>
  <si>
    <t>在建工程净额</t>
    <phoneticPr fontId="2" type="noConversion"/>
  </si>
  <si>
    <t>其他</t>
    <phoneticPr fontId="2" type="noConversion"/>
  </si>
  <si>
    <t>经营活动产生的现金流量净额</t>
    <phoneticPr fontId="2" type="noConversion"/>
  </si>
  <si>
    <t>2、投资活动产生的现金流量</t>
    <phoneticPr fontId="2" type="noConversion"/>
  </si>
  <si>
    <t>投资</t>
    <phoneticPr fontId="2" type="noConversion"/>
  </si>
  <si>
    <t xml:space="preserve">           长期应收款的减少（增加以“－”号填列）</t>
    <phoneticPr fontId="2" type="noConversion"/>
  </si>
  <si>
    <t>固定资产与无形资产</t>
    <phoneticPr fontId="2" type="noConversion"/>
  </si>
  <si>
    <t>其中：固定资产投资</t>
    <phoneticPr fontId="2" type="noConversion"/>
  </si>
  <si>
    <t xml:space="preserve">           在建工程</t>
    <phoneticPr fontId="2" type="noConversion"/>
  </si>
  <si>
    <t xml:space="preserve">           开发支出</t>
    <phoneticPr fontId="2" type="noConversion"/>
  </si>
  <si>
    <t xml:space="preserve">           商誉</t>
    <phoneticPr fontId="2" type="noConversion"/>
  </si>
  <si>
    <t xml:space="preserve">           处置长期资产</t>
    <phoneticPr fontId="2" type="noConversion"/>
  </si>
  <si>
    <t xml:space="preserve">           其中：投资收益</t>
    <phoneticPr fontId="2" type="noConversion"/>
  </si>
  <si>
    <t>每股经营现金净流(元)</t>
    <phoneticPr fontId="2" type="noConversion"/>
  </si>
  <si>
    <t>V_XJLLB_XSL.SDZJ</t>
    <phoneticPr fontId="2" type="noConversion"/>
  </si>
  <si>
    <t>收到的增值税销项税和退回的增值税款</t>
    <phoneticPr fontId="2" type="noConversion"/>
  </si>
  <si>
    <t>V_XJLLB_XSL.ZZSK</t>
    <phoneticPr fontId="2" type="noConversion"/>
  </si>
  <si>
    <t>V_XJLLB_XSL.ZZSYW</t>
    <phoneticPr fontId="2" type="noConversion"/>
  </si>
  <si>
    <t>V_XJLLB_XSL.SFH</t>
    <phoneticPr fontId="2" type="noConversion"/>
  </si>
  <si>
    <t>V_XJLLB_XSL.HDYGXJ</t>
    <phoneticPr fontId="2" type="noConversion"/>
  </si>
  <si>
    <t>V_XJLLB_XSL.JYHDXJLRXJ</t>
    <phoneticPr fontId="2" type="noConversion"/>
  </si>
  <si>
    <t>V_XJLLB_XSL.GMSPJSFWZC</t>
    <phoneticPr fontId="2" type="noConversion"/>
  </si>
  <si>
    <t>V_XJLLB_XSL.ZLXJ</t>
    <phoneticPr fontId="2" type="noConversion"/>
  </si>
  <si>
    <t>V_XJLLB_XSL.ZGGZ</t>
    <phoneticPr fontId="2" type="noConversion"/>
  </si>
  <si>
    <t>V_XJLLB_XSL.ZFZZS</t>
    <phoneticPr fontId="2" type="noConversion"/>
  </si>
  <si>
    <t>V_XJLLB_XSL.SDS</t>
    <phoneticPr fontId="2" type="noConversion"/>
  </si>
  <si>
    <t>V_XJLLB_XSL.QTS</t>
    <phoneticPr fontId="2" type="noConversion"/>
  </si>
  <si>
    <t>V_XJLLB_XSL.GXS</t>
    <phoneticPr fontId="2" type="noConversion"/>
  </si>
  <si>
    <t>V_XJLLB_XSL.JYHDXJ</t>
    <phoneticPr fontId="2" type="noConversion"/>
  </si>
  <si>
    <t>V_XJLLB_XSL.HDCSXJL</t>
    <phoneticPr fontId="2" type="noConversion"/>
  </si>
  <si>
    <t>V_XJLLB_XSL.HDCSXJLLJE</t>
    <phoneticPr fontId="2" type="noConversion"/>
  </si>
  <si>
    <t>V_XJLLB_XSL.SHTZSD</t>
    <phoneticPr fontId="2" type="noConversion"/>
  </si>
  <si>
    <t>分得股利或利润所收到的现金</t>
    <phoneticPr fontId="2" type="noConversion"/>
  </si>
  <si>
    <t>V_XJLLB_XSL.FDGLLXXJ</t>
    <phoneticPr fontId="2" type="noConversion"/>
  </si>
  <si>
    <t>V_XJLLB_XSL.ZQLX</t>
    <phoneticPr fontId="2" type="noConversion"/>
  </si>
  <si>
    <t>投资活动产生的现金流量</t>
    <phoneticPr fontId="2" type="noConversion"/>
  </si>
  <si>
    <t>V_XJLLB_XSL.TZSYXJ</t>
    <phoneticPr fontId="2" type="noConversion"/>
  </si>
  <si>
    <t>V_XJLLB_XSL.GDZCHB</t>
    <phoneticPr fontId="2" type="noConversion"/>
  </si>
  <si>
    <t>V_XJLLB_XSL.QTTZYGXJ</t>
    <phoneticPr fontId="2" type="noConversion"/>
  </si>
  <si>
    <t>V_XJLLB_XSL.TZHDHDXJLXJ</t>
    <phoneticPr fontId="2" type="noConversion"/>
  </si>
  <si>
    <t>V_XJLLB_XSL.GDZCZFXJ</t>
    <phoneticPr fontId="2" type="noConversion"/>
  </si>
  <si>
    <t>筹资活动产生的现金流量</t>
    <phoneticPr fontId="2" type="noConversion"/>
  </si>
  <si>
    <t>吸收投资收到的现金</t>
    <phoneticPr fontId="2" type="noConversion"/>
  </si>
  <si>
    <t>其中：子公司吸收少数股东投资收到的现金</t>
    <phoneticPr fontId="2" type="noConversion"/>
  </si>
  <si>
    <t>取得借款收到的现金</t>
    <phoneticPr fontId="2" type="noConversion"/>
  </si>
  <si>
    <t>收到的其他与筹资活动有关的现金</t>
    <phoneticPr fontId="2" type="noConversion"/>
  </si>
  <si>
    <t>分配股利、利润或偿付利息支付的现金</t>
    <phoneticPr fontId="2" type="noConversion"/>
  </si>
  <si>
    <t xml:space="preserve"> 其中：支付的中长期债券利息</t>
    <phoneticPr fontId="2" type="noConversion"/>
  </si>
  <si>
    <t>加：期初现金及现金等价物余额</t>
    <phoneticPr fontId="2" type="noConversion"/>
  </si>
  <si>
    <t>期末现金及现金等价物余额</t>
    <phoneticPr fontId="2" type="noConversion"/>
  </si>
  <si>
    <t>附注</t>
    <phoneticPr fontId="2" type="noConversion"/>
  </si>
  <si>
    <t>1、将净利润调节为经营活动的现金流量</t>
    <phoneticPr fontId="2" type="noConversion"/>
  </si>
  <si>
    <t>公允价值变动损失（收益以“－”号填列）</t>
    <phoneticPr fontId="2" type="noConversion"/>
  </si>
  <si>
    <t>财务费用（收益以“－”号填列）</t>
    <phoneticPr fontId="2" type="noConversion"/>
  </si>
  <si>
    <t>投资损失（收益以“－”号填列）</t>
    <phoneticPr fontId="2" type="noConversion"/>
  </si>
  <si>
    <t>V_XJLLB_XSL.CHDJSS</t>
    <phoneticPr fontId="2" type="noConversion"/>
  </si>
  <si>
    <t>V_XJLLB_XSL.KBFTX</t>
    <phoneticPr fontId="2" type="noConversion"/>
  </si>
  <si>
    <t>递延所得税资产减少（增加以“－”号填列）</t>
    <phoneticPr fontId="2" type="noConversion"/>
  </si>
  <si>
    <t>递延所得税负债增加（减少以“－”号填列）</t>
    <phoneticPr fontId="2" type="noConversion"/>
  </si>
  <si>
    <t>存货的减少（增加以“－”号填列）</t>
    <phoneticPr fontId="2" type="noConversion"/>
  </si>
  <si>
    <t>其他固定资产</t>
    <phoneticPr fontId="2" type="noConversion"/>
  </si>
  <si>
    <r>
      <t>V_ZCFZB_XSL</t>
    </r>
    <r>
      <rPr>
        <sz val="12"/>
        <rFont val="宋体"/>
        <charset val="134"/>
      </rPr>
      <t>.QTGDZC</t>
    </r>
    <phoneticPr fontId="2" type="noConversion"/>
  </si>
  <si>
    <t>经营性应收项目的减少（增加以“－”号填列）</t>
    <phoneticPr fontId="2" type="noConversion"/>
  </si>
  <si>
    <t>经营性应付项目的增加（减少以“－”号填列）</t>
    <phoneticPr fontId="2" type="noConversion"/>
  </si>
  <si>
    <t>其他</t>
    <phoneticPr fontId="2" type="noConversion"/>
  </si>
  <si>
    <t>经营活动产生的现金流量净额</t>
    <phoneticPr fontId="2" type="noConversion"/>
  </si>
  <si>
    <t>2、不涉及现金收支的重大投资和筹资活动：</t>
    <phoneticPr fontId="2" type="noConversion"/>
  </si>
  <si>
    <t>3、现金及现金等价物净增加情况</t>
    <phoneticPr fontId="2" type="noConversion"/>
  </si>
  <si>
    <t>自然灾害发生的损失</t>
  </si>
  <si>
    <t>会计政策变更</t>
  </si>
  <si>
    <t>短期投资</t>
  </si>
  <si>
    <t>减：短期投资跌价准备</t>
  </si>
  <si>
    <t>短期投资净额</t>
  </si>
  <si>
    <t>应收票据</t>
  </si>
  <si>
    <t>应收股利</t>
  </si>
  <si>
    <t>应收利息</t>
  </si>
  <si>
    <t>应收帐款</t>
  </si>
  <si>
    <t>其他应收款</t>
  </si>
  <si>
    <t>应收帐款净额</t>
  </si>
  <si>
    <t>预付帐款</t>
  </si>
  <si>
    <t>应收出口退税款</t>
  </si>
  <si>
    <t xml:space="preserve"> 5.如有需要，可以自由增加Sheet，但不能删除原有Sheet；</t>
    <phoneticPr fontId="2" type="noConversion"/>
  </si>
  <si>
    <t>现金流量表</t>
    <phoneticPr fontId="2" type="noConversion"/>
  </si>
  <si>
    <t>减：库存股</t>
    <phoneticPr fontId="2" type="noConversion"/>
  </si>
  <si>
    <t>外币报表折算差额</t>
    <phoneticPr fontId="2" type="noConversion"/>
  </si>
  <si>
    <t>V_ZCFZB_XSL.FZTSPH</t>
    <phoneticPr fontId="2" type="noConversion"/>
  </si>
  <si>
    <t>负债差额特殊报表科目及平衡</t>
    <phoneticPr fontId="2" type="noConversion"/>
  </si>
  <si>
    <t>V_ZCFZB_XSL.GDQYTSPH</t>
    <phoneticPr fontId="2" type="noConversion"/>
  </si>
  <si>
    <t>股东权益特殊项目及报表平衡项目</t>
    <phoneticPr fontId="2" type="noConversion"/>
  </si>
  <si>
    <t>负债及股东权益合计特殊项目及报表平衡项目</t>
    <phoneticPr fontId="2" type="noConversion"/>
  </si>
  <si>
    <t>V_ZCFZB_XSL.FZHGDQYTSPH</t>
    <phoneticPr fontId="2" type="noConversion"/>
  </si>
  <si>
    <t>现金的期末余额</t>
    <phoneticPr fontId="2" type="noConversion"/>
  </si>
  <si>
    <t>减：现金的期初余额</t>
    <phoneticPr fontId="2" type="noConversion"/>
  </si>
  <si>
    <t>加：现金等价物的期末余额</t>
    <phoneticPr fontId="2" type="noConversion"/>
  </si>
  <si>
    <t>应收席位费</t>
  </si>
  <si>
    <t>其中:工程施工</t>
  </si>
  <si>
    <t>存货净额</t>
  </si>
  <si>
    <t>内部往来</t>
  </si>
  <si>
    <t>待摊费用</t>
  </si>
  <si>
    <t>待处理流动资产净损失</t>
  </si>
  <si>
    <t>一年内到期的长期债券投资</t>
  </si>
  <si>
    <t>流动资产合计</t>
  </si>
  <si>
    <t>长期应收款</t>
  </si>
  <si>
    <t>长期股权投资</t>
  </si>
  <si>
    <t>减：长期投资减值准备</t>
  </si>
  <si>
    <t>长期投资净额</t>
  </si>
  <si>
    <t>其中：合并价差</t>
  </si>
  <si>
    <t>投资性房地产</t>
  </si>
  <si>
    <t>固定资产原值</t>
  </si>
  <si>
    <t>减：累计折旧</t>
  </si>
  <si>
    <t>固定资产净值</t>
  </si>
  <si>
    <t>固定资产净额</t>
  </si>
  <si>
    <t>工程物资</t>
  </si>
  <si>
    <t>在建工程</t>
  </si>
  <si>
    <t>减：在建工程减值准备</t>
  </si>
  <si>
    <t>固定资产清理</t>
  </si>
  <si>
    <t>固定资产合计</t>
  </si>
  <si>
    <t>递延资产</t>
  </si>
  <si>
    <t>其中：临时设施净值</t>
  </si>
  <si>
    <t>无形资产及其他资产合计</t>
  </si>
  <si>
    <t>递延税项</t>
  </si>
  <si>
    <t>递延税款借项</t>
  </si>
  <si>
    <t>非流动资产合计</t>
  </si>
  <si>
    <t>应付票据</t>
  </si>
  <si>
    <t>应付帐款</t>
  </si>
  <si>
    <t>预收帐款(负债)</t>
  </si>
  <si>
    <t>代销商品款</t>
  </si>
  <si>
    <t>应付工资</t>
  </si>
  <si>
    <t>应付福利</t>
  </si>
  <si>
    <t>应付股利</t>
  </si>
  <si>
    <t>应付利息</t>
  </si>
  <si>
    <t>其他应交款</t>
  </si>
  <si>
    <t>其他应付款</t>
  </si>
  <si>
    <t>预提费用</t>
  </si>
  <si>
    <t>预计负债</t>
  </si>
  <si>
    <t>一年内到期的长期负债</t>
  </si>
  <si>
    <t>流动负债合计</t>
  </si>
  <si>
    <t>长期借款</t>
  </si>
  <si>
    <t>应付债券</t>
  </si>
  <si>
    <t>长期应付款</t>
  </si>
  <si>
    <t>住房周转金</t>
  </si>
  <si>
    <t>非流动负债合计</t>
  </si>
  <si>
    <t>递延税款贷项</t>
  </si>
  <si>
    <t>负债合计</t>
  </si>
  <si>
    <t>减：已归还投资</t>
  </si>
  <si>
    <t>股本净额</t>
  </si>
  <si>
    <t>资本公积金</t>
  </si>
  <si>
    <t xml:space="preserve">  其中：补充流动资本</t>
  </si>
  <si>
    <t>盈余公积金</t>
  </si>
  <si>
    <t>存货</t>
  </si>
  <si>
    <t>投资收益</t>
    <phoneticPr fontId="2" type="noConversion"/>
  </si>
  <si>
    <t>分红(元／股)</t>
    <phoneticPr fontId="2" type="noConversion"/>
  </si>
  <si>
    <t>送股（股/股）</t>
    <phoneticPr fontId="2" type="noConversion"/>
  </si>
  <si>
    <r>
      <t>转增（股/股</t>
    </r>
    <r>
      <rPr>
        <sz val="10.5"/>
        <rFont val="宋体"/>
        <charset val="134"/>
      </rPr>
      <t>)</t>
    </r>
    <phoneticPr fontId="2" type="noConversion"/>
  </si>
  <si>
    <t>分红送股情况</t>
    <phoneticPr fontId="2" type="noConversion"/>
  </si>
  <si>
    <t>股利分配与偿付利息</t>
    <phoneticPr fontId="2" type="noConversion"/>
  </si>
  <si>
    <t>其他项目</t>
    <phoneticPr fontId="2" type="noConversion"/>
  </si>
  <si>
    <t>计算短期外部融资前融资活动产生的现金流量</t>
    <phoneticPr fontId="2" type="noConversion"/>
  </si>
  <si>
    <t>融资活动产生的现金流量净额</t>
    <phoneticPr fontId="2" type="noConversion"/>
  </si>
  <si>
    <t>V_LRFPB_XSL.JLR</t>
    <phoneticPr fontId="2" type="noConversion"/>
  </si>
  <si>
    <t>V_LRFPB_XSL.GSMGSSYZJLR</t>
    <phoneticPr fontId="2" type="noConversion"/>
  </si>
  <si>
    <t>V_LRFPB_XSL.JBMGSY</t>
    <phoneticPr fontId="2" type="noConversion"/>
  </si>
  <si>
    <r>
      <t>V_ZCFZB_XSL</t>
    </r>
    <r>
      <rPr>
        <sz val="12"/>
        <rFont val="宋体"/>
        <charset val="134"/>
      </rPr>
      <t>.DQTZDJZB</t>
    </r>
    <phoneticPr fontId="2" type="noConversion"/>
  </si>
  <si>
    <r>
      <t>V_ZCFZB_XSL</t>
    </r>
    <r>
      <rPr>
        <sz val="12"/>
        <rFont val="宋体"/>
        <charset val="134"/>
      </rPr>
      <t>.DQTZJE</t>
    </r>
    <phoneticPr fontId="2" type="noConversion"/>
  </si>
  <si>
    <r>
      <t>V_ZCFZB_XSL</t>
    </r>
    <r>
      <rPr>
        <sz val="12"/>
        <rFont val="宋体"/>
        <charset val="134"/>
      </rPr>
      <t>.YSPJ</t>
    </r>
    <phoneticPr fontId="2" type="noConversion"/>
  </si>
  <si>
    <r>
      <t>V_ZCFZB_XSL</t>
    </r>
    <r>
      <rPr>
        <sz val="12"/>
        <rFont val="宋体"/>
        <charset val="134"/>
      </rPr>
      <t>.YSGL</t>
    </r>
    <phoneticPr fontId="2" type="noConversion"/>
  </si>
  <si>
    <r>
      <t>V_ZCFZB_XSL</t>
    </r>
    <r>
      <rPr>
        <sz val="12"/>
        <rFont val="宋体"/>
        <charset val="134"/>
      </rPr>
      <t>.YSZK</t>
    </r>
    <phoneticPr fontId="2" type="noConversion"/>
  </si>
  <si>
    <r>
      <t>V_ZCFZB_XSL</t>
    </r>
    <r>
      <rPr>
        <sz val="12"/>
        <rFont val="宋体"/>
        <charset val="134"/>
      </rPr>
      <t>.HZZB</t>
    </r>
    <phoneticPr fontId="2" type="noConversion"/>
  </si>
  <si>
    <r>
      <t>V_ZCFZB_XSL</t>
    </r>
    <r>
      <rPr>
        <sz val="12"/>
        <rFont val="宋体"/>
        <charset val="134"/>
      </rPr>
      <t>.YSZKJE</t>
    </r>
    <phoneticPr fontId="2" type="noConversion"/>
  </si>
  <si>
    <r>
      <t>V_ZCFZB_XSL</t>
    </r>
    <r>
      <rPr>
        <sz val="12"/>
        <rFont val="宋体"/>
        <charset val="134"/>
      </rPr>
      <t>.YUFZK</t>
    </r>
    <phoneticPr fontId="2" type="noConversion"/>
  </si>
  <si>
    <r>
      <t>V_ZCFZB_XSL</t>
    </r>
    <r>
      <rPr>
        <sz val="12"/>
        <rFont val="宋体"/>
        <charset val="134"/>
      </rPr>
      <t>.YSBTK</t>
    </r>
    <phoneticPr fontId="2" type="noConversion"/>
  </si>
  <si>
    <r>
      <t>V_ZCFZB_XSL</t>
    </r>
    <r>
      <rPr>
        <sz val="12"/>
        <rFont val="宋体"/>
        <charset val="134"/>
      </rPr>
      <t>.QHBZJ</t>
    </r>
    <phoneticPr fontId="2" type="noConversion"/>
  </si>
  <si>
    <r>
      <t>V_ZCFZB_XSL</t>
    </r>
    <r>
      <rPr>
        <sz val="12"/>
        <rFont val="宋体"/>
        <charset val="134"/>
      </rPr>
      <t>.GDZCHJ</t>
    </r>
    <phoneticPr fontId="2" type="noConversion"/>
  </si>
  <si>
    <r>
      <t>V_ZCFZB_XSL</t>
    </r>
    <r>
      <rPr>
        <sz val="12"/>
        <rFont val="宋体"/>
        <charset val="134"/>
      </rPr>
      <t>.SCXSWZC</t>
    </r>
    <phoneticPr fontId="2" type="noConversion"/>
  </si>
  <si>
    <r>
      <t>V_ZCFZB_XSL</t>
    </r>
    <r>
      <rPr>
        <sz val="12"/>
        <rFont val="宋体"/>
        <charset val="134"/>
      </rPr>
      <t>.KFZC</t>
    </r>
    <phoneticPr fontId="2" type="noConversion"/>
  </si>
  <si>
    <r>
      <t>V_ZCFZB_XSL</t>
    </r>
    <r>
      <rPr>
        <sz val="12"/>
        <rFont val="宋体"/>
        <charset val="134"/>
      </rPr>
      <t>.SY</t>
    </r>
    <phoneticPr fontId="2" type="noConversion"/>
  </si>
  <si>
    <r>
      <t>V_ZCFZB_XSL</t>
    </r>
    <r>
      <rPr>
        <sz val="12"/>
        <rFont val="宋体"/>
        <charset val="134"/>
      </rPr>
      <t>.YFLX</t>
    </r>
    <phoneticPr fontId="2" type="noConversion"/>
  </si>
  <si>
    <r>
      <t>V_ZCFZB_XSL</t>
    </r>
    <r>
      <rPr>
        <sz val="12"/>
        <rFont val="宋体"/>
        <charset val="134"/>
      </rPr>
      <t>.PZJS</t>
    </r>
    <phoneticPr fontId="2" type="noConversion"/>
  </si>
  <si>
    <r>
      <t>V_ZCFZB_XSL</t>
    </r>
    <r>
      <rPr>
        <sz val="12"/>
        <rFont val="宋体"/>
        <charset val="134"/>
      </rPr>
      <t>.GCJS</t>
    </r>
    <phoneticPr fontId="2" type="noConversion"/>
  </si>
  <si>
    <r>
      <t>V_ZCFZB_XSL</t>
    </r>
    <r>
      <rPr>
        <sz val="12"/>
        <rFont val="宋体"/>
        <charset val="134"/>
      </rPr>
      <t>.QTLDFZ</t>
    </r>
    <phoneticPr fontId="2" type="noConversion"/>
  </si>
  <si>
    <r>
      <t>V_ZCFZB_XSL</t>
    </r>
    <r>
      <rPr>
        <sz val="12"/>
        <rFont val="宋体"/>
        <charset val="134"/>
      </rPr>
      <t>.LDFZHJ</t>
    </r>
    <phoneticPr fontId="2" type="noConversion"/>
  </si>
  <si>
    <r>
      <t>V_ZCFZB_XSL</t>
    </r>
    <r>
      <rPr>
        <sz val="12"/>
        <rFont val="宋体"/>
        <charset val="134"/>
      </rPr>
      <t>.ZXYFK</t>
    </r>
    <phoneticPr fontId="2" type="noConversion"/>
  </si>
  <si>
    <r>
      <t>V_ZCFZB_XSL</t>
    </r>
    <r>
      <rPr>
        <sz val="12"/>
        <rFont val="宋体"/>
        <charset val="134"/>
      </rPr>
      <t>.ZFZZJ</t>
    </r>
    <phoneticPr fontId="2" type="noConversion"/>
  </si>
  <si>
    <r>
      <t>V_ZCFZB_XSL</t>
    </r>
    <r>
      <rPr>
        <sz val="12"/>
        <rFont val="宋体"/>
        <charset val="134"/>
      </rPr>
      <t>.KCG</t>
    </r>
    <phoneticPr fontId="2" type="noConversion"/>
  </si>
  <si>
    <r>
      <t>V_ZCFZB_XSL</t>
    </r>
    <r>
      <rPr>
        <sz val="12"/>
        <rFont val="宋体"/>
        <charset val="134"/>
      </rPr>
      <t>.SYMGSSYZQYHJ</t>
    </r>
    <phoneticPr fontId="2" type="noConversion"/>
  </si>
  <si>
    <t>V_XJLLB_XSL.HZZB</t>
    <phoneticPr fontId="2" type="noConversion"/>
  </si>
  <si>
    <t>V_XJLLB_XSL.JTZCJZZB</t>
    <phoneticPr fontId="2" type="noConversion"/>
  </si>
  <si>
    <t>V_XJLLB_XSL.GYSZJ</t>
    <phoneticPr fontId="2" type="noConversion"/>
  </si>
  <si>
    <t>V_XJLLB_XSL.GDZCZJ</t>
    <phoneticPr fontId="2" type="noConversion"/>
  </si>
  <si>
    <t>V_XJLLB_XSL.WXJCTX</t>
    <phoneticPr fontId="2" type="noConversion"/>
  </si>
  <si>
    <t>V_XJLLB_XSL.DTFTX</t>
    <phoneticPr fontId="2" type="noConversion"/>
  </si>
  <si>
    <t>V_XJLLB_XSL.DTFJS</t>
    <phoneticPr fontId="2" type="noConversion"/>
  </si>
  <si>
    <t>V_XJLLB_XSL.YTFZJ</t>
    <phoneticPr fontId="2" type="noConversion"/>
  </si>
  <si>
    <t>V_XJLLB_XSL.CQZCSS</t>
    <phoneticPr fontId="2" type="noConversion"/>
  </si>
  <si>
    <t>V_XJLLB_XSL.ZCBSSS</t>
    <phoneticPr fontId="2" type="noConversion"/>
  </si>
  <si>
    <t>V_XJLLB_XSL.GYJZBDSS</t>
    <phoneticPr fontId="2" type="noConversion"/>
  </si>
  <si>
    <t>V_XJLLB_XSL.CWFY</t>
    <phoneticPr fontId="2" type="noConversion"/>
  </si>
  <si>
    <t>V_XJLLB_XSL.TZSS</t>
    <phoneticPr fontId="2" type="noConversion"/>
  </si>
  <si>
    <t>V_ZCFZB_XSL.BCLDZB</t>
    <phoneticPr fontId="2" type="noConversion"/>
  </si>
  <si>
    <t>V_ZCFZB_XSL.YYGJJ</t>
    <phoneticPr fontId="2" type="noConversion"/>
  </si>
  <si>
    <t>V_ZCFZB_XSL.GYJ</t>
    <phoneticPr fontId="2" type="noConversion"/>
  </si>
  <si>
    <t>V_ZCFZB_XSL.WQRTZSS</t>
    <phoneticPr fontId="2" type="noConversion"/>
  </si>
  <si>
    <t>V_ZCFZB_XSL.WFPLR</t>
    <phoneticPr fontId="2" type="noConversion"/>
  </si>
  <si>
    <t>V_ZCFZB_XSL.WBBBZSCE</t>
    <phoneticPr fontId="2" type="noConversion"/>
  </si>
  <si>
    <t>V_ZCFZB_XSL.ZBHCTZ</t>
    <phoneticPr fontId="2" type="noConversion"/>
  </si>
  <si>
    <t>V_ZCFZB_XSL.GDQYHJ</t>
    <phoneticPr fontId="2" type="noConversion"/>
  </si>
  <si>
    <t>V_ZCFZB_XSL.QTFLDZC</t>
    <phoneticPr fontId="2" type="noConversion"/>
  </si>
  <si>
    <t>V_ZCFZB_XSL.WXZCQTZCHJ</t>
    <phoneticPr fontId="2" type="noConversion"/>
  </si>
  <si>
    <t>V_ZCFZB_XSL.DQJK</t>
    <phoneticPr fontId="2" type="noConversion"/>
  </si>
  <si>
    <t>V_ZCFZB_XSL.DXSPK</t>
    <phoneticPr fontId="2" type="noConversion"/>
  </si>
  <si>
    <t>V_ZCFZB_XSL.YJFZ</t>
    <phoneticPr fontId="2" type="noConversion"/>
  </si>
  <si>
    <r>
      <t>V_ZCFZB_XSL</t>
    </r>
    <r>
      <rPr>
        <sz val="12"/>
        <rFont val="宋体"/>
        <charset val="134"/>
      </rPr>
      <t>.YNNDQFLDFZ</t>
    </r>
    <phoneticPr fontId="2" type="noConversion"/>
  </si>
  <si>
    <t>V_LRFPB_XSL.ZYYWSJJFJ</t>
    <phoneticPr fontId="2" type="noConversion"/>
  </si>
  <si>
    <t>V_LRFPB_XSL.ZYYWLR</t>
    <phoneticPr fontId="2" type="noConversion"/>
  </si>
  <si>
    <t>V_LRFPB_XSL.QTYWLR</t>
    <phoneticPr fontId="2" type="noConversion"/>
  </si>
  <si>
    <t>职工奖福基金</t>
  </si>
  <si>
    <t>提取储备基金</t>
  </si>
  <si>
    <t>提取企业发展基金</t>
  </si>
  <si>
    <t>减：应付优先股股利</t>
  </si>
  <si>
    <t>提取任意盈余公积</t>
  </si>
  <si>
    <t>应付普通股股利</t>
  </si>
  <si>
    <t>转作股本的普通股股利</t>
  </si>
  <si>
    <t>未分配利润</t>
  </si>
  <si>
    <t>出售、处置部门或被投资单位</t>
  </si>
  <si>
    <t>其它费用//费用特殊项目</t>
    <phoneticPr fontId="2" type="noConversion"/>
  </si>
  <si>
    <t>资产减值损失</t>
    <phoneticPr fontId="2" type="noConversion"/>
  </si>
  <si>
    <t>公允价值变动收益（损失以“-”号填列）</t>
    <phoneticPr fontId="2" type="noConversion"/>
  </si>
  <si>
    <t xml:space="preserve"> 投资收益（损失以“-”号填列）</t>
    <phoneticPr fontId="2" type="noConversion"/>
  </si>
  <si>
    <t xml:space="preserve"> 其中：对联营企业和合营企业的投资收益</t>
    <phoneticPr fontId="2" type="noConversion"/>
  </si>
  <si>
    <t>补贴收入</t>
    <phoneticPr fontId="2" type="noConversion"/>
  </si>
  <si>
    <t xml:space="preserve"> 其中：非流动资产处置损失</t>
    <phoneticPr fontId="2" type="noConversion"/>
  </si>
  <si>
    <t>减：购并利润</t>
    <phoneticPr fontId="2" type="noConversion"/>
  </si>
  <si>
    <t>归属于母公司所有者的净利润</t>
    <phoneticPr fontId="2" type="noConversion"/>
  </si>
  <si>
    <t>每股收益：</t>
    <phoneticPr fontId="2" type="noConversion"/>
  </si>
  <si>
    <t>V_ZCFZB_XSL.ZJGCJZZB</t>
    <phoneticPr fontId="2" type="noConversion"/>
  </si>
  <si>
    <t>V_ZCFZB_XSL.GDZCQL</t>
    <phoneticPr fontId="2" type="noConversion"/>
  </si>
  <si>
    <t>V_ZCFZB_XSL.DCLGDZCJSS</t>
    <phoneticPr fontId="2" type="noConversion"/>
  </si>
  <si>
    <t>V_ZCFZB_XSL.GDZCGL</t>
    <phoneticPr fontId="2" type="noConversion"/>
  </si>
  <si>
    <t>V_ZCFZB_XSL.SCXSWZCLJZJ</t>
    <phoneticPr fontId="2" type="noConversion"/>
  </si>
  <si>
    <t>资产预测</t>
    <phoneticPr fontId="2" type="noConversion"/>
  </si>
  <si>
    <t>图表输出</t>
    <phoneticPr fontId="2" type="noConversion"/>
  </si>
  <si>
    <t>报表摘要</t>
    <phoneticPr fontId="2" type="noConversion"/>
  </si>
  <si>
    <t>加：以前年度损益调整</t>
  </si>
  <si>
    <t>利润总额</t>
  </si>
  <si>
    <t>减：所得税</t>
  </si>
  <si>
    <t>加：财政返还</t>
  </si>
  <si>
    <t>减：少数股东损益</t>
  </si>
  <si>
    <t>加：未确认的投资损失</t>
  </si>
  <si>
    <t>减：减少注册资本减少的未分配利润</t>
  </si>
  <si>
    <t>加：盈余公积转入</t>
  </si>
  <si>
    <t>可供分配的利润</t>
  </si>
  <si>
    <t>负债和股东权益</t>
    <phoneticPr fontId="2" type="noConversion"/>
  </si>
  <si>
    <t>投入资本IC</t>
    <phoneticPr fontId="2" type="noConversion"/>
  </si>
  <si>
    <t>负债合计</t>
    <phoneticPr fontId="2" type="noConversion"/>
  </si>
  <si>
    <t>流动负债总额</t>
    <phoneticPr fontId="2" type="noConversion"/>
  </si>
  <si>
    <t>一年内到期的非流动负债</t>
    <phoneticPr fontId="2" type="noConversion"/>
  </si>
  <si>
    <t>其他流动资产</t>
    <phoneticPr fontId="2" type="noConversion"/>
  </si>
  <si>
    <t>流动资产总额</t>
    <phoneticPr fontId="2" type="noConversion"/>
  </si>
  <si>
    <t>非流动资产总额</t>
    <phoneticPr fontId="2" type="noConversion"/>
  </si>
  <si>
    <t>资产总额</t>
    <phoneticPr fontId="2" type="noConversion"/>
  </si>
  <si>
    <t>预收款项</t>
    <phoneticPr fontId="2" type="noConversion"/>
  </si>
  <si>
    <t>其他非流动负债</t>
    <phoneticPr fontId="2" type="noConversion"/>
  </si>
  <si>
    <r>
      <t xml:space="preserve">           </t>
    </r>
    <r>
      <rPr>
        <sz val="10.5"/>
        <rFont val="宋体"/>
        <charset val="134"/>
      </rPr>
      <t>无形资产投资</t>
    </r>
    <phoneticPr fontId="2" type="noConversion"/>
  </si>
  <si>
    <t>短期外部融资</t>
    <phoneticPr fontId="2" type="noConversion"/>
  </si>
  <si>
    <t>减：营业外支出</t>
    <phoneticPr fontId="2" type="noConversion"/>
  </si>
  <si>
    <t>营业外收入</t>
    <phoneticPr fontId="2" type="noConversion"/>
  </si>
  <si>
    <t>营业外支出</t>
    <phoneticPr fontId="2" type="noConversion"/>
  </si>
  <si>
    <t>管理费用</t>
    <phoneticPr fontId="2" type="noConversion"/>
  </si>
  <si>
    <t>1#1</t>
    <phoneticPr fontId="2" type="noConversion"/>
  </si>
  <si>
    <t>项   目</t>
    <phoneticPr fontId="2" type="noConversion"/>
  </si>
  <si>
    <t>销售收入</t>
    <phoneticPr fontId="2" type="noConversion"/>
  </si>
  <si>
    <t>毛利率</t>
    <phoneticPr fontId="2" type="noConversion"/>
  </si>
  <si>
    <t>毛利</t>
    <phoneticPr fontId="2" type="noConversion"/>
  </si>
  <si>
    <t>销售收入小计</t>
    <phoneticPr fontId="2" type="noConversion"/>
  </si>
  <si>
    <t>销售成本小计</t>
    <phoneticPr fontId="2" type="noConversion"/>
  </si>
  <si>
    <t>平均毛利率</t>
    <phoneticPr fontId="2" type="noConversion"/>
  </si>
  <si>
    <t>Predict_Input_1</t>
    <phoneticPr fontId="2" type="noConversion"/>
  </si>
  <si>
    <t>Predict_Input_2</t>
    <phoneticPr fontId="2" type="noConversion"/>
  </si>
  <si>
    <t>管理费用</t>
    <phoneticPr fontId="2" type="noConversion"/>
  </si>
  <si>
    <t>Predict_Input_5</t>
    <phoneticPr fontId="2" type="noConversion"/>
  </si>
  <si>
    <t>所得税费用</t>
    <phoneticPr fontId="2" type="noConversion"/>
  </si>
  <si>
    <t>少数股东损益</t>
    <phoneticPr fontId="2" type="noConversion"/>
  </si>
  <si>
    <t>Predict_Input_7</t>
    <phoneticPr fontId="2" type="noConversion"/>
  </si>
  <si>
    <t>经营收益的其他假设</t>
    <phoneticPr fontId="2" type="noConversion"/>
  </si>
  <si>
    <t>营业外收入</t>
    <phoneticPr fontId="2" type="noConversion"/>
  </si>
  <si>
    <t>营业外支出</t>
    <phoneticPr fontId="2" type="noConversion"/>
  </si>
  <si>
    <t>营业外收支</t>
    <phoneticPr fontId="2" type="noConversion"/>
  </si>
  <si>
    <t>营运资金</t>
    <phoneticPr fontId="2" type="noConversion"/>
  </si>
  <si>
    <t>会计年度截止日：12/31</t>
    <phoneticPr fontId="2" type="noConversion"/>
  </si>
  <si>
    <t>销货成本</t>
    <phoneticPr fontId="2" type="noConversion"/>
  </si>
  <si>
    <t>存货</t>
    <phoneticPr fontId="2" type="noConversion"/>
  </si>
  <si>
    <t>存货/销货成本（%）</t>
    <phoneticPr fontId="2" type="noConversion"/>
  </si>
  <si>
    <t>预付帐款</t>
    <phoneticPr fontId="2" type="noConversion"/>
  </si>
  <si>
    <t>比销售成本（%）</t>
    <phoneticPr fontId="2" type="noConversion"/>
  </si>
  <si>
    <t>比销售收入（%）</t>
    <phoneticPr fontId="2" type="noConversion"/>
  </si>
  <si>
    <t>其他应收款</t>
    <phoneticPr fontId="2" type="noConversion"/>
  </si>
  <si>
    <t>其他应收款/销售收入（%）</t>
    <phoneticPr fontId="2" type="noConversion"/>
  </si>
  <si>
    <t>流动负债</t>
    <phoneticPr fontId="2" type="noConversion"/>
  </si>
  <si>
    <t>预收账款</t>
    <phoneticPr fontId="2" type="noConversion"/>
  </si>
  <si>
    <t>Predict_Input_9</t>
    <phoneticPr fontId="2" type="noConversion"/>
  </si>
  <si>
    <t>应付职工薪酬</t>
    <phoneticPr fontId="2" type="noConversion"/>
  </si>
  <si>
    <t>比销货成本（%）</t>
    <phoneticPr fontId="2" type="noConversion"/>
  </si>
  <si>
    <t>应交税费</t>
    <phoneticPr fontId="2" type="noConversion"/>
  </si>
  <si>
    <t>比销货收入（%）</t>
    <phoneticPr fontId="2" type="noConversion"/>
  </si>
  <si>
    <t>其他应付款</t>
    <phoneticPr fontId="2" type="noConversion"/>
  </si>
  <si>
    <t>营运资金的净变动</t>
    <phoneticPr fontId="2" type="noConversion"/>
  </si>
  <si>
    <t>投资预测（金融资产投资、长期投资、固定资产与无形资产）</t>
    <phoneticPr fontId="2" type="noConversion"/>
  </si>
  <si>
    <t>(一)金融资产</t>
    <phoneticPr fontId="2" type="noConversion"/>
  </si>
  <si>
    <t>金融资产投资合计</t>
    <phoneticPr fontId="2" type="noConversion"/>
  </si>
  <si>
    <t>当期公允价值变动</t>
    <phoneticPr fontId="2" type="noConversion"/>
  </si>
  <si>
    <t>（二）长期投资</t>
    <phoneticPr fontId="2" type="noConversion"/>
  </si>
  <si>
    <t>长期股权投资</t>
    <phoneticPr fontId="2" type="noConversion"/>
  </si>
  <si>
    <t>当期增加</t>
    <phoneticPr fontId="2" type="noConversion"/>
  </si>
  <si>
    <t>长期应收款</t>
    <phoneticPr fontId="2" type="noConversion"/>
  </si>
  <si>
    <t>固定资产</t>
    <phoneticPr fontId="2" type="noConversion"/>
  </si>
  <si>
    <t>当期增减</t>
    <phoneticPr fontId="2" type="noConversion"/>
  </si>
  <si>
    <t>期末固定资产净额</t>
    <phoneticPr fontId="2" type="noConversion"/>
  </si>
  <si>
    <t>本期增减</t>
    <phoneticPr fontId="2" type="noConversion"/>
  </si>
  <si>
    <t>在建工程净额</t>
    <phoneticPr fontId="2" type="noConversion"/>
  </si>
  <si>
    <t>期初无形资产</t>
    <phoneticPr fontId="2" type="noConversion"/>
  </si>
  <si>
    <t>期末无形资产净额</t>
    <phoneticPr fontId="2" type="noConversion"/>
  </si>
  <si>
    <t>开发支出期末值</t>
    <phoneticPr fontId="2" type="noConversion"/>
  </si>
  <si>
    <t>资本性投资小计</t>
    <phoneticPr fontId="2" type="noConversion"/>
  </si>
  <si>
    <t>融资预测(股权融资、债权融资、循环贷款)</t>
    <phoneticPr fontId="2" type="noConversion"/>
  </si>
  <si>
    <t>一、长期资本融资</t>
    <phoneticPr fontId="2" type="noConversion"/>
  </si>
  <si>
    <t>（一）股本融资</t>
    <phoneticPr fontId="2" type="noConversion"/>
  </si>
  <si>
    <t>发行股数</t>
    <phoneticPr fontId="2" type="noConversion"/>
  </si>
  <si>
    <t>发行价格</t>
    <phoneticPr fontId="2" type="noConversion"/>
  </si>
  <si>
    <t>当期股本增加</t>
    <phoneticPr fontId="2" type="noConversion"/>
  </si>
  <si>
    <t>当期资本公积增加</t>
    <phoneticPr fontId="2" type="noConversion"/>
  </si>
  <si>
    <t>期初余额</t>
    <phoneticPr fontId="2" type="noConversion"/>
  </si>
  <si>
    <t>期末余额</t>
    <phoneticPr fontId="2" type="noConversion"/>
  </si>
  <si>
    <t>二、企业生产周转短期外部融资</t>
    <phoneticPr fontId="2" type="noConversion"/>
  </si>
  <si>
    <t>期初现金余额</t>
    <phoneticPr fontId="2" type="noConversion"/>
  </si>
  <si>
    <t>当期现金流量</t>
    <phoneticPr fontId="2" type="noConversion"/>
  </si>
  <si>
    <t>经营活动产生的现金流量</t>
    <phoneticPr fontId="2" type="noConversion"/>
  </si>
  <si>
    <t>投资活动产生的现金流量</t>
    <phoneticPr fontId="2" type="noConversion"/>
  </si>
  <si>
    <t>计入短期借款前融资活动产生的现金流量</t>
    <phoneticPr fontId="2" type="noConversion"/>
  </si>
  <si>
    <t>-</t>
    <phoneticPr fontId="2" type="noConversion"/>
  </si>
  <si>
    <t>最低现金余额</t>
    <phoneticPr fontId="2" type="noConversion"/>
  </si>
  <si>
    <t>现金剩余/(缺口）</t>
    <phoneticPr fontId="2" type="noConversion"/>
  </si>
  <si>
    <t>归零</t>
    <phoneticPr fontId="2" type="noConversion"/>
  </si>
  <si>
    <t>短期借款期初余额</t>
    <phoneticPr fontId="2" type="noConversion"/>
  </si>
  <si>
    <t>短期借款的增加/(减少)</t>
    <phoneticPr fontId="2" type="noConversion"/>
  </si>
  <si>
    <t>短期借款期末余额</t>
    <phoneticPr fontId="2" type="noConversion"/>
  </si>
  <si>
    <t>货币资金期初余额</t>
    <phoneticPr fontId="2" type="noConversion"/>
  </si>
  <si>
    <t>货币资金期末余额</t>
    <phoneticPr fontId="2" type="noConversion"/>
  </si>
  <si>
    <t>资产减值与公允价值变动</t>
    <phoneticPr fontId="2" type="noConversion"/>
  </si>
  <si>
    <t>其他计入损益的公允价值变动</t>
    <phoneticPr fontId="2" type="noConversion"/>
  </si>
  <si>
    <t>利润表(中式)</t>
    <phoneticPr fontId="2" type="noConversion"/>
  </si>
  <si>
    <t>增长率（YOY)</t>
    <phoneticPr fontId="2" type="noConversion"/>
  </si>
  <si>
    <t>营业总成本</t>
    <phoneticPr fontId="2" type="noConversion"/>
  </si>
  <si>
    <t>营业成本</t>
    <phoneticPr fontId="2" type="noConversion"/>
  </si>
  <si>
    <t>占营业收入比重</t>
    <phoneticPr fontId="2" type="noConversion"/>
  </si>
  <si>
    <t>其中：原材料</t>
    <phoneticPr fontId="2" type="noConversion"/>
  </si>
  <si>
    <t>占营业收入比重</t>
    <phoneticPr fontId="2" type="noConversion"/>
  </si>
  <si>
    <t>销售费用</t>
    <phoneticPr fontId="2" type="noConversion"/>
  </si>
  <si>
    <t>EBITDA</t>
    <phoneticPr fontId="2" type="noConversion"/>
  </si>
  <si>
    <t>EBIT</t>
    <phoneticPr fontId="2" type="noConversion"/>
  </si>
  <si>
    <t>财务费用</t>
    <phoneticPr fontId="2" type="noConversion"/>
  </si>
  <si>
    <t>占利润总额比重</t>
    <phoneticPr fontId="2" type="noConversion"/>
  </si>
  <si>
    <t>营业利润（亏损以“-”号填列）</t>
    <phoneticPr fontId="2" type="noConversion"/>
  </si>
  <si>
    <t>利润总额（亏损总额以“-”号填列）</t>
    <phoneticPr fontId="2" type="noConversion"/>
  </si>
  <si>
    <t>减：所得税费用</t>
    <phoneticPr fontId="2" type="noConversion"/>
  </si>
  <si>
    <t>减：少数股东损益</t>
    <phoneticPr fontId="2" type="noConversion"/>
  </si>
  <si>
    <t>占合并报表净利润比重</t>
    <phoneticPr fontId="2" type="noConversion"/>
  </si>
  <si>
    <t>净利润（归属于母公司所有者的）</t>
    <phoneticPr fontId="2" type="noConversion"/>
  </si>
  <si>
    <t>经营净利润（NOPAT）（含投资收益）</t>
    <phoneticPr fontId="2" type="noConversion"/>
  </si>
  <si>
    <t>当期发行在外普通股</t>
    <phoneticPr fontId="2" type="noConversion"/>
  </si>
  <si>
    <t>潜在发行在外普通股总数</t>
    <phoneticPr fontId="2" type="noConversion"/>
  </si>
  <si>
    <t>基本每股收益（元）</t>
    <phoneticPr fontId="2" type="noConversion"/>
  </si>
  <si>
    <t>稀释每股收益（元）</t>
    <phoneticPr fontId="2" type="noConversion"/>
  </si>
  <si>
    <r>
      <t>C</t>
    </r>
    <r>
      <rPr>
        <sz val="12"/>
        <rFont val="宋体"/>
        <charset val="134"/>
      </rPr>
      <t>ASH</t>
    </r>
    <phoneticPr fontId="2" type="noConversion"/>
  </si>
  <si>
    <t>BONUS</t>
  </si>
  <si>
    <t>TRANS</t>
  </si>
  <si>
    <t>专项储备</t>
    <phoneticPr fontId="2" type="noConversion"/>
  </si>
  <si>
    <t>其他综合收益</t>
    <phoneticPr fontId="2" type="noConversion"/>
  </si>
  <si>
    <r>
      <t>V_ZCFZB_XSL</t>
    </r>
    <r>
      <rPr>
        <sz val="12"/>
        <rFont val="宋体"/>
        <charset val="134"/>
      </rPr>
      <t>.</t>
    </r>
    <r>
      <rPr>
        <sz val="12"/>
        <rFont val="宋体"/>
        <charset val="134"/>
      </rPr>
      <t>ZXCB</t>
    </r>
    <phoneticPr fontId="2" type="noConversion"/>
  </si>
  <si>
    <t>划分为持有待售的资产</t>
    <phoneticPr fontId="2" type="noConversion"/>
  </si>
  <si>
    <t>长期应付职工薪酬</t>
    <phoneticPr fontId="2" type="noConversion"/>
  </si>
  <si>
    <r>
      <t>V_ZCFZB_XSL</t>
    </r>
    <r>
      <rPr>
        <sz val="12"/>
        <rFont val="宋体"/>
        <charset val="134"/>
      </rPr>
      <t>.</t>
    </r>
    <r>
      <rPr>
        <sz val="12"/>
        <rFont val="宋体"/>
        <charset val="134"/>
      </rPr>
      <t>CQYFZGXC</t>
    </r>
    <phoneticPr fontId="2" type="noConversion"/>
  </si>
  <si>
    <r>
      <t>V_ZCFZB_XSL</t>
    </r>
    <r>
      <rPr>
        <sz val="12"/>
        <rFont val="宋体"/>
        <charset val="134"/>
      </rPr>
      <t>.</t>
    </r>
    <r>
      <rPr>
        <sz val="12"/>
        <rFont val="宋体"/>
        <charset val="134"/>
      </rPr>
      <t>QTZHSY</t>
    </r>
    <phoneticPr fontId="2" type="noConversion"/>
  </si>
  <si>
    <t>汇率变动对现金的影响额</t>
    <phoneticPr fontId="2" type="noConversion"/>
  </si>
  <si>
    <r>
      <t>V_ZCFZB_XSL</t>
    </r>
    <r>
      <rPr>
        <sz val="12"/>
        <rFont val="宋体"/>
        <charset val="134"/>
      </rPr>
      <t>.</t>
    </r>
    <r>
      <rPr>
        <sz val="12"/>
        <rFont val="宋体"/>
        <charset val="134"/>
      </rPr>
      <t>QTQYGJ</t>
    </r>
    <phoneticPr fontId="2" type="noConversion"/>
  </si>
  <si>
    <t>营业收入</t>
    <phoneticPr fontId="2" type="noConversion"/>
  </si>
  <si>
    <t>营业成本</t>
    <phoneticPr fontId="2" type="noConversion"/>
  </si>
  <si>
    <t>营业务税金及附加</t>
    <phoneticPr fontId="2" type="noConversion"/>
  </si>
  <si>
    <t>营业收入</t>
    <phoneticPr fontId="2" type="noConversion"/>
  </si>
  <si>
    <t>其他收益</t>
  </si>
  <si>
    <t>资产处置收益</t>
  </si>
  <si>
    <t>其他权益工具</t>
    <phoneticPr fontId="2" type="noConversion"/>
  </si>
  <si>
    <t>持续经营净利润</t>
  </si>
  <si>
    <t>终止经营净利润</t>
  </si>
  <si>
    <t>V_LRFPB_XSL.CXJYJLR</t>
    <phoneticPr fontId="2" type="noConversion"/>
  </si>
  <si>
    <t>V_LRFPB_XSL.ZZJYJLR</t>
    <phoneticPr fontId="2" type="noConversion"/>
  </si>
  <si>
    <t>V_LRFPB_XSL.QTSY</t>
    <phoneticPr fontId="2" type="noConversion"/>
  </si>
  <si>
    <t>V_LRFPB_XSL.ZCCZSY</t>
    <phoneticPr fontId="2" type="noConversion"/>
  </si>
  <si>
    <t>持有待售资产</t>
  </si>
  <si>
    <t>持有待售负债</t>
  </si>
  <si>
    <r>
      <t>V_ZCFZB_XSL</t>
    </r>
    <r>
      <rPr>
        <sz val="12"/>
        <rFont val="宋体"/>
        <charset val="134"/>
      </rPr>
      <t>.</t>
    </r>
    <r>
      <rPr>
        <sz val="12"/>
        <rFont val="宋体"/>
        <charset val="134"/>
      </rPr>
      <t>CYDSZC</t>
    </r>
    <phoneticPr fontId="2" type="noConversion"/>
  </si>
  <si>
    <r>
      <t>V_ZCFZB_XSL</t>
    </r>
    <r>
      <rPr>
        <sz val="12"/>
        <rFont val="宋体"/>
        <charset val="134"/>
      </rPr>
      <t>.</t>
    </r>
    <r>
      <rPr>
        <sz val="12"/>
        <rFont val="宋体"/>
        <charset val="134"/>
      </rPr>
      <t>CYDSFZ</t>
    </r>
    <phoneticPr fontId="2" type="noConversion"/>
  </si>
  <si>
    <t xml:space="preserve"> 3.选择历史数据年数、货币单位等选项；</t>
    <phoneticPr fontId="2" type="noConversion"/>
  </si>
  <si>
    <t xml:space="preserve"> 5.手工填写预测数据；</t>
    <phoneticPr fontId="2" type="noConversion"/>
  </si>
  <si>
    <t xml:space="preserve"> 4.不能增加、删除或修改已有Sheet中的行和列，不能修改已有Sheet的名称，如有需要可自行添加新sheet；</t>
    <phoneticPr fontId="2" type="noConversion"/>
  </si>
  <si>
    <t>产品销售收入</t>
    <phoneticPr fontId="2" type="noConversion"/>
  </si>
  <si>
    <t>项   目</t>
    <phoneticPr fontId="2" type="noConversion"/>
  </si>
  <si>
    <r>
      <rPr>
        <sz val="10.5"/>
        <rFont val="宋体"/>
        <charset val="134"/>
      </rPr>
      <t>管理费用</t>
    </r>
    <r>
      <rPr>
        <sz val="10.5"/>
        <rFont val="Times New Roman"/>
        <family val="1"/>
      </rPr>
      <t>/</t>
    </r>
    <r>
      <rPr>
        <sz val="10.5"/>
        <rFont val="宋体"/>
        <charset val="134"/>
      </rPr>
      <t>营业收入</t>
    </r>
    <phoneticPr fontId="2" type="noConversion"/>
  </si>
  <si>
    <r>
      <rPr>
        <sz val="10.5"/>
        <rFont val="宋体"/>
        <charset val="134"/>
      </rPr>
      <t>销售费用</t>
    </r>
    <r>
      <rPr>
        <sz val="10.5"/>
        <rFont val="Times New Roman"/>
        <family val="1"/>
      </rPr>
      <t>/</t>
    </r>
    <r>
      <rPr>
        <sz val="10.5"/>
        <rFont val="宋体"/>
        <charset val="134"/>
      </rPr>
      <t>营业收入</t>
    </r>
    <phoneticPr fontId="2" type="noConversion"/>
  </si>
  <si>
    <t>销售费用</t>
    <phoneticPr fontId="2" type="noConversion"/>
  </si>
  <si>
    <t>V_LRFPB_XSL.XSQLR</t>
    <phoneticPr fontId="2" type="noConversion"/>
  </si>
  <si>
    <r>
      <t>V_ZCFZB_XSL</t>
    </r>
    <r>
      <rPr>
        <sz val="12"/>
        <rFont val="宋体"/>
        <charset val="134"/>
      </rPr>
      <t>.</t>
    </r>
    <phoneticPr fontId="2" type="noConversion"/>
  </si>
  <si>
    <t xml:space="preserve"> 重要提示：</t>
    <phoneticPr fontId="2" type="noConversion"/>
  </si>
  <si>
    <t>商誉</t>
    <phoneticPr fontId="2" type="noConversion"/>
  </si>
  <si>
    <t>商誉期末净额</t>
    <phoneticPr fontId="2" type="noConversion"/>
  </si>
  <si>
    <t>税金及附加</t>
    <phoneticPr fontId="2" type="noConversion"/>
  </si>
  <si>
    <r>
      <rPr>
        <sz val="10.5"/>
        <rFont val="宋体"/>
        <charset val="134"/>
      </rPr>
      <t>税金及附加</t>
    </r>
    <r>
      <rPr>
        <sz val="10.5"/>
        <rFont val="Times New Roman"/>
        <family val="1"/>
      </rPr>
      <t>/</t>
    </r>
    <r>
      <rPr>
        <sz val="10.5"/>
        <rFont val="宋体"/>
        <charset val="134"/>
      </rPr>
      <t>营业收入</t>
    </r>
    <phoneticPr fontId="2" type="noConversion"/>
  </si>
  <si>
    <t>税金及附加</t>
    <phoneticPr fontId="2" type="noConversion"/>
  </si>
  <si>
    <r>
      <rPr>
        <sz val="10.5"/>
        <rFont val="宋体"/>
        <charset val="134"/>
      </rPr>
      <t>少数股东损益</t>
    </r>
    <r>
      <rPr>
        <sz val="10.5"/>
        <rFont val="Times New Roman"/>
        <family val="1"/>
      </rPr>
      <t>/</t>
    </r>
    <r>
      <rPr>
        <sz val="10.5"/>
        <rFont val="宋体"/>
        <charset val="134"/>
      </rPr>
      <t>净利润</t>
    </r>
    <phoneticPr fontId="2" type="noConversion"/>
  </si>
  <si>
    <t>蓝色底纹可以手工填写数据</t>
    <phoneticPr fontId="2" type="noConversion"/>
  </si>
  <si>
    <t>蓝色底纹可以手工填写数据</t>
    <phoneticPr fontId="2" type="noConversion"/>
  </si>
  <si>
    <t>利润总额差额</t>
    <phoneticPr fontId="2" type="noConversion"/>
  </si>
  <si>
    <t>信用减值损失</t>
  </si>
  <si>
    <r>
      <t>V_LRFPB_XSL.</t>
    </r>
    <r>
      <rPr>
        <sz val="12"/>
        <rFont val="宋体"/>
        <charset val="134"/>
      </rPr>
      <t>LRZECE</t>
    </r>
    <phoneticPr fontId="2" type="noConversion"/>
  </si>
  <si>
    <t>净敞口套期收益</t>
  </si>
  <si>
    <t>研发费用</t>
  </si>
  <si>
    <t>财务费用:利息费用</t>
  </si>
  <si>
    <t>财务费用:利息收入</t>
    <phoneticPr fontId="2" type="noConversion"/>
  </si>
  <si>
    <t>以摊余成本计算的金融资产</t>
    <phoneticPr fontId="2" type="noConversion"/>
  </si>
  <si>
    <t>以公允价值计算且其变动计入其他综合的金融资产</t>
    <phoneticPr fontId="2" type="noConversion"/>
  </si>
  <si>
    <t>合同资产</t>
    <phoneticPr fontId="2" type="noConversion"/>
  </si>
  <si>
    <t>合同负债</t>
    <phoneticPr fontId="2" type="noConversion"/>
  </si>
  <si>
    <t>应收票据及应收账款</t>
    <phoneticPr fontId="2" type="noConversion"/>
  </si>
  <si>
    <t>应付票据及应付账款</t>
    <phoneticPr fontId="2" type="noConversion"/>
  </si>
  <si>
    <r>
      <t>V_ZCFZB_XSL</t>
    </r>
    <r>
      <rPr>
        <sz val="12"/>
        <rFont val="宋体"/>
        <charset val="134"/>
      </rPr>
      <t>.</t>
    </r>
    <r>
      <rPr>
        <sz val="12"/>
        <rFont val="宋体"/>
        <charset val="134"/>
      </rPr>
      <t>FIN_ASSETS_COST_SHARING</t>
    </r>
    <phoneticPr fontId="2" type="noConversion"/>
  </si>
  <si>
    <r>
      <t>V_ZCFZB_XSL</t>
    </r>
    <r>
      <rPr>
        <sz val="12"/>
        <rFont val="宋体"/>
        <charset val="134"/>
      </rPr>
      <t>.</t>
    </r>
    <r>
      <rPr>
        <sz val="12"/>
        <rFont val="宋体"/>
        <charset val="134"/>
      </rPr>
      <t>FIN_ASSETS_FAIR_VALUE</t>
    </r>
    <phoneticPr fontId="2" type="noConversion"/>
  </si>
  <si>
    <r>
      <t>V_ZCFZB_XSL</t>
    </r>
    <r>
      <rPr>
        <sz val="12"/>
        <rFont val="宋体"/>
        <charset val="134"/>
      </rPr>
      <t>.</t>
    </r>
    <r>
      <rPr>
        <sz val="12"/>
        <rFont val="宋体"/>
        <charset val="134"/>
      </rPr>
      <t>CONTRACTUAL_ASSETS</t>
    </r>
    <phoneticPr fontId="2" type="noConversion"/>
  </si>
  <si>
    <r>
      <t>V_ZCFZB_XSL</t>
    </r>
    <r>
      <rPr>
        <sz val="12"/>
        <rFont val="宋体"/>
        <charset val="134"/>
      </rPr>
      <t>.</t>
    </r>
    <r>
      <rPr>
        <sz val="12"/>
        <rFont val="宋体"/>
        <charset val="134"/>
      </rPr>
      <t>CONTRACT_LIABILITIES</t>
    </r>
    <phoneticPr fontId="2" type="noConversion"/>
  </si>
  <si>
    <r>
      <t>V_ZCFZB_XSL</t>
    </r>
    <r>
      <rPr>
        <sz val="12"/>
        <rFont val="宋体"/>
        <charset val="134"/>
      </rPr>
      <t>.</t>
    </r>
    <r>
      <rPr>
        <sz val="12"/>
        <rFont val="宋体"/>
        <charset val="134"/>
      </rPr>
      <t>ACCOUNTS_RECEIVABLE_BILL</t>
    </r>
    <phoneticPr fontId="2" type="noConversion"/>
  </si>
  <si>
    <r>
      <t>V_ZCFZB_XSL</t>
    </r>
    <r>
      <rPr>
        <sz val="12"/>
        <rFont val="宋体"/>
        <charset val="134"/>
      </rPr>
      <t>.</t>
    </r>
    <r>
      <rPr>
        <sz val="12"/>
        <rFont val="宋体"/>
        <charset val="134"/>
      </rPr>
      <t>ACCOUNTS_PAYABLE</t>
    </r>
    <phoneticPr fontId="2" type="noConversion"/>
  </si>
  <si>
    <t>衍生金融资产</t>
    <phoneticPr fontId="2" type="noConversion"/>
  </si>
  <si>
    <t>长期股权投资</t>
    <phoneticPr fontId="2" type="noConversion"/>
  </si>
  <si>
    <t>债权投资</t>
    <phoneticPr fontId="2" type="noConversion"/>
  </si>
  <si>
    <t>其他债权投资</t>
    <phoneticPr fontId="2" type="noConversion"/>
  </si>
  <si>
    <t>固定资产</t>
    <phoneticPr fontId="2" type="noConversion"/>
  </si>
  <si>
    <t>其他非流动金融资产</t>
    <phoneticPr fontId="87" type="noConversion"/>
  </si>
  <si>
    <t>生产性生物资产</t>
    <phoneticPr fontId="87" type="noConversion"/>
  </si>
  <si>
    <t>油气资产</t>
    <phoneticPr fontId="87" type="noConversion"/>
  </si>
  <si>
    <t>无形资产</t>
    <phoneticPr fontId="87" type="noConversion"/>
  </si>
  <si>
    <t>开发支出</t>
    <phoneticPr fontId="87" type="noConversion"/>
  </si>
  <si>
    <t>商誉</t>
    <phoneticPr fontId="87" type="noConversion"/>
  </si>
  <si>
    <t>长期待摊费用</t>
    <phoneticPr fontId="87" type="noConversion"/>
  </si>
  <si>
    <t>递延所得税资产</t>
    <phoneticPr fontId="87" type="noConversion"/>
  </si>
  <si>
    <t>其他非流动资产</t>
    <phoneticPr fontId="87" type="noConversion"/>
  </si>
  <si>
    <t>衍生金融负债</t>
    <phoneticPr fontId="2" type="noConversion"/>
  </si>
  <si>
    <t>合同负债</t>
    <phoneticPr fontId="2" type="noConversion"/>
  </si>
  <si>
    <t>应付职工薪酬</t>
    <phoneticPr fontId="2" type="noConversion"/>
  </si>
  <si>
    <t>应交税费</t>
    <phoneticPr fontId="2" type="noConversion"/>
  </si>
  <si>
    <t>应付债券</t>
    <phoneticPr fontId="2" type="noConversion"/>
  </si>
  <si>
    <t>长期应付款</t>
    <phoneticPr fontId="2" type="noConversion"/>
  </si>
  <si>
    <t>预计负债</t>
    <phoneticPr fontId="2" type="noConversion"/>
  </si>
  <si>
    <t>递延收益</t>
    <phoneticPr fontId="2" type="noConversion"/>
  </si>
  <si>
    <t>递延所得税负债</t>
    <phoneticPr fontId="2" type="noConversion"/>
  </si>
  <si>
    <t>研发费用</t>
    <phoneticPr fontId="2" type="noConversion"/>
  </si>
  <si>
    <r>
      <t xml:space="preserve">          </t>
    </r>
    <r>
      <rPr>
        <sz val="10.5"/>
        <rFont val="宋体"/>
        <charset val="134"/>
      </rPr>
      <t>折旧和摊销额</t>
    </r>
    <phoneticPr fontId="2" type="noConversion"/>
  </si>
  <si>
    <r>
      <t xml:space="preserve">          </t>
    </r>
    <r>
      <rPr>
        <sz val="10.5"/>
        <rFont val="宋体"/>
        <charset val="134"/>
      </rPr>
      <t>职工薪酬</t>
    </r>
    <phoneticPr fontId="2" type="noConversion"/>
  </si>
  <si>
    <t>占营业收入比重</t>
    <phoneticPr fontId="2" type="noConversion"/>
  </si>
  <si>
    <t xml:space="preserve">         利息收入</t>
    <phoneticPr fontId="2" type="noConversion"/>
  </si>
  <si>
    <t xml:space="preserve">         其他</t>
    <phoneticPr fontId="2" type="noConversion"/>
  </si>
  <si>
    <t xml:space="preserve">    其中：对联营企业和合营企业的投资收益</t>
    <phoneticPr fontId="2" type="noConversion"/>
  </si>
  <si>
    <t>资产减值准备、信用减值损失</t>
    <phoneticPr fontId="2" type="noConversion"/>
  </si>
  <si>
    <r>
      <t xml:space="preserve">           </t>
    </r>
    <r>
      <rPr>
        <sz val="10.5"/>
        <rFont val="宋体"/>
        <charset val="134"/>
      </rPr>
      <t>预付账款的减少（增加以</t>
    </r>
    <r>
      <rPr>
        <sz val="10.5"/>
        <rFont val="Arial"/>
        <family val="2"/>
      </rPr>
      <t>“</t>
    </r>
    <r>
      <rPr>
        <sz val="10.5"/>
        <rFont val="宋体"/>
        <charset val="134"/>
      </rPr>
      <t>－</t>
    </r>
    <r>
      <rPr>
        <sz val="10.5"/>
        <rFont val="Arial"/>
        <family val="2"/>
      </rPr>
      <t>”</t>
    </r>
    <r>
      <rPr>
        <sz val="10.5"/>
        <rFont val="宋体"/>
        <charset val="134"/>
      </rPr>
      <t>号填列）</t>
    </r>
    <phoneticPr fontId="2" type="noConversion"/>
  </si>
  <si>
    <t xml:space="preserve">      合同资产的减少（增加以“－”号填列）</t>
    <phoneticPr fontId="2" type="noConversion"/>
  </si>
  <si>
    <r>
      <t xml:space="preserve">          </t>
    </r>
    <r>
      <rPr>
        <sz val="10.5"/>
        <rFont val="宋体"/>
        <charset val="134"/>
      </rPr>
      <t>合同负债的增加（减少以</t>
    </r>
    <r>
      <rPr>
        <sz val="10.5"/>
        <rFont val="Arial"/>
        <family val="2"/>
      </rPr>
      <t>“</t>
    </r>
    <r>
      <rPr>
        <sz val="10.5"/>
        <rFont val="宋体"/>
        <charset val="134"/>
      </rPr>
      <t>－</t>
    </r>
    <r>
      <rPr>
        <sz val="10.5"/>
        <rFont val="Arial"/>
        <family val="2"/>
      </rPr>
      <t>”</t>
    </r>
    <r>
      <rPr>
        <sz val="10.5"/>
        <rFont val="宋体"/>
        <charset val="134"/>
      </rPr>
      <t>号填列）</t>
    </r>
    <phoneticPr fontId="2" type="noConversion"/>
  </si>
  <si>
    <r>
      <t xml:space="preserve">           </t>
    </r>
    <r>
      <rPr>
        <sz val="10.5"/>
        <rFont val="宋体"/>
        <charset val="134"/>
      </rPr>
      <t>长期股权投资的减少（增加以</t>
    </r>
    <r>
      <rPr>
        <sz val="10.5"/>
        <rFont val="Times New Roman"/>
        <family val="1"/>
      </rPr>
      <t>“</t>
    </r>
    <r>
      <rPr>
        <sz val="10.5"/>
        <rFont val="宋体"/>
        <charset val="134"/>
      </rPr>
      <t>－</t>
    </r>
    <r>
      <rPr>
        <sz val="10.5"/>
        <rFont val="Times New Roman"/>
        <family val="1"/>
      </rPr>
      <t>”</t>
    </r>
    <r>
      <rPr>
        <sz val="10.5"/>
        <rFont val="宋体"/>
        <charset val="134"/>
      </rPr>
      <t>号填列）</t>
    </r>
    <phoneticPr fontId="2" type="noConversion"/>
  </si>
  <si>
    <r>
      <t xml:space="preserve">           </t>
    </r>
    <r>
      <rPr>
        <sz val="10.5"/>
        <rFont val="宋体"/>
        <charset val="134"/>
      </rPr>
      <t>投资性房地产的减少（增加以“－”号填列）</t>
    </r>
    <phoneticPr fontId="2" type="noConversion"/>
  </si>
  <si>
    <r>
      <t xml:space="preserve">           </t>
    </r>
    <r>
      <rPr>
        <sz val="10.5"/>
        <rFont val="宋体"/>
        <charset val="134"/>
      </rPr>
      <t>债权投资的减少（增加以“－”号填列）</t>
    </r>
    <phoneticPr fontId="2" type="noConversion"/>
  </si>
  <si>
    <r>
      <t xml:space="preserve">           </t>
    </r>
    <r>
      <rPr>
        <sz val="10.5"/>
        <rFont val="宋体"/>
        <charset val="134"/>
      </rPr>
      <t>其他权益工具投资的减少（增加以“－”号填列）</t>
    </r>
    <phoneticPr fontId="2" type="noConversion"/>
  </si>
  <si>
    <r>
      <t xml:space="preserve">           </t>
    </r>
    <r>
      <rPr>
        <sz val="10.5"/>
        <rFont val="宋体"/>
        <charset val="134"/>
      </rPr>
      <t>长期借款的增加（减少以</t>
    </r>
    <r>
      <rPr>
        <sz val="10.5"/>
        <rFont val="Times New Roman"/>
        <family val="1"/>
      </rPr>
      <t>“</t>
    </r>
    <r>
      <rPr>
        <sz val="10.5"/>
        <rFont val="宋体"/>
        <charset val="134"/>
      </rPr>
      <t>－</t>
    </r>
    <r>
      <rPr>
        <sz val="10.5"/>
        <rFont val="Times New Roman"/>
        <family val="1"/>
      </rPr>
      <t>”</t>
    </r>
    <r>
      <rPr>
        <sz val="10.5"/>
        <rFont val="宋体"/>
        <charset val="134"/>
      </rPr>
      <t>号填列）</t>
    </r>
    <phoneticPr fontId="2" type="noConversion"/>
  </si>
  <si>
    <r>
      <t xml:space="preserve">           </t>
    </r>
    <r>
      <rPr>
        <sz val="10.5"/>
        <rFont val="宋体"/>
        <charset val="134"/>
      </rPr>
      <t>长期应付款的增加（减少以</t>
    </r>
    <r>
      <rPr>
        <sz val="10.5"/>
        <rFont val="Times New Roman"/>
        <family val="1"/>
      </rPr>
      <t>“</t>
    </r>
    <r>
      <rPr>
        <sz val="10.5"/>
        <rFont val="宋体"/>
        <charset val="134"/>
      </rPr>
      <t>－</t>
    </r>
    <r>
      <rPr>
        <sz val="10.5"/>
        <rFont val="Times New Roman"/>
        <family val="1"/>
      </rPr>
      <t>”</t>
    </r>
    <r>
      <rPr>
        <sz val="10.5"/>
        <rFont val="宋体"/>
        <charset val="134"/>
      </rPr>
      <t>号填列）</t>
    </r>
    <phoneticPr fontId="2" type="noConversion"/>
  </si>
  <si>
    <t>研发费用</t>
    <phoneticPr fontId="2" type="noConversion"/>
  </si>
  <si>
    <t>资产处置收益</t>
    <phoneticPr fontId="2" type="noConversion"/>
  </si>
  <si>
    <t>其他综合收益</t>
    <phoneticPr fontId="2" type="noConversion"/>
  </si>
  <si>
    <t>其他收益</t>
    <phoneticPr fontId="2" type="noConversion"/>
  </si>
  <si>
    <t>流动资产</t>
    <phoneticPr fontId="2" type="noConversion"/>
  </si>
  <si>
    <t>合同负债</t>
    <phoneticPr fontId="2" type="noConversion"/>
  </si>
  <si>
    <t>其他应付款/销售成本（%）</t>
    <phoneticPr fontId="2" type="noConversion"/>
  </si>
  <si>
    <t>1、送股、转股股本增加:</t>
    <phoneticPr fontId="2" type="noConversion"/>
  </si>
  <si>
    <t>回购股份</t>
    <phoneticPr fontId="2" type="noConversion"/>
  </si>
  <si>
    <t xml:space="preserve">   回购价格</t>
    <phoneticPr fontId="2" type="noConversion"/>
  </si>
  <si>
    <t>本期股本减少</t>
    <phoneticPr fontId="2" type="noConversion"/>
  </si>
  <si>
    <t>本期资本公积减少</t>
    <phoneticPr fontId="2" type="noConversion"/>
  </si>
  <si>
    <t>股权投资差额</t>
    <phoneticPr fontId="2" type="noConversion"/>
  </si>
  <si>
    <t>V_ZCFZB_XSL.DEFERRED_INC</t>
    <phoneticPr fontId="2" type="noConversion"/>
  </si>
  <si>
    <r>
      <t>V_ZCFZB_XSL.</t>
    </r>
    <r>
      <rPr>
        <sz val="12"/>
        <rFont val="宋体"/>
        <charset val="134"/>
      </rPr>
      <t>DERIVATIVE_FIN_ASSETS</t>
    </r>
    <phoneticPr fontId="2" type="noConversion"/>
  </si>
  <si>
    <r>
      <t>V_ZCFZB_XSL.</t>
    </r>
    <r>
      <rPr>
        <sz val="12"/>
        <rFont val="宋体"/>
        <charset val="134"/>
      </rPr>
      <t>DEFERRED_INC_NON_CUR_LIAB</t>
    </r>
    <phoneticPr fontId="2" type="noConversion"/>
  </si>
  <si>
    <r>
      <t>V_ZCFZB_XSL.</t>
    </r>
    <r>
      <rPr>
        <sz val="12"/>
        <rFont val="宋体"/>
        <charset val="134"/>
      </rPr>
      <t>DERIVATIVE_FIN_LIAB</t>
    </r>
    <phoneticPr fontId="2" type="noConversion"/>
  </si>
  <si>
    <t>递延收益</t>
  </si>
  <si>
    <t>衍生金融资产</t>
  </si>
  <si>
    <t>递延收益非流动负债</t>
  </si>
  <si>
    <t>衍生金融负债</t>
  </si>
  <si>
    <t>Predict_Input_3</t>
    <phoneticPr fontId="2" type="noConversion"/>
  </si>
  <si>
    <r>
      <rPr>
        <sz val="10.5"/>
        <rFont val="宋体"/>
        <charset val="134"/>
      </rPr>
      <t>研发费用</t>
    </r>
    <r>
      <rPr>
        <sz val="10.5"/>
        <rFont val="Times New Roman"/>
        <family val="1"/>
      </rPr>
      <t>/</t>
    </r>
    <r>
      <rPr>
        <sz val="10.5"/>
        <rFont val="宋体"/>
        <charset val="134"/>
      </rPr>
      <t>营业收入</t>
    </r>
    <phoneticPr fontId="2" type="noConversion"/>
  </si>
  <si>
    <r>
      <t>营业外收支</t>
    </r>
    <r>
      <rPr>
        <sz val="10.5"/>
        <rFont val="Arial"/>
        <family val="2"/>
      </rPr>
      <t>/</t>
    </r>
    <r>
      <rPr>
        <sz val="10.5"/>
        <rFont val="宋体"/>
        <charset val="134"/>
      </rPr>
      <t>利润总额</t>
    </r>
    <phoneticPr fontId="2" type="noConversion"/>
  </si>
  <si>
    <t>—</t>
    <phoneticPr fontId="2" type="noConversion"/>
  </si>
  <si>
    <t>其他应收款(合计)（元）</t>
  </si>
  <si>
    <t>固定资产(合计)(元)</t>
  </si>
  <si>
    <t>在建工程(合计)(元)</t>
  </si>
  <si>
    <t>其他应付款(合计)(元)</t>
  </si>
  <si>
    <t>长期应付款(合计)(元)</t>
  </si>
  <si>
    <t>债权投资(元)</t>
  </si>
  <si>
    <t>其他债权投资(元)</t>
  </si>
  <si>
    <t>其他权益工具投资(元)</t>
  </si>
  <si>
    <t>其他非流动金融资产(元)</t>
  </si>
  <si>
    <t>其他权益工具:永续债(元)</t>
  </si>
  <si>
    <t>V_ZCFZB_XSL.OTH_RCV_TOT</t>
    <phoneticPr fontId="2" type="noConversion"/>
  </si>
  <si>
    <t>V_ZCFZB_XSL.STM_BS_TOT</t>
    <phoneticPr fontId="2" type="noConversion"/>
  </si>
  <si>
    <t>V_ZCFZB_XSL.CONST_IN_PROG_TOT</t>
    <phoneticPr fontId="2" type="noConversion"/>
  </si>
  <si>
    <t>V_ZCFZB_XSL.OTH_PAYABLE_TOT</t>
    <phoneticPr fontId="2" type="noConversion"/>
  </si>
  <si>
    <t>V_ZCFZB_XSL.LT_PAYABLE_TOT</t>
    <phoneticPr fontId="2" type="noConversion"/>
  </si>
  <si>
    <t>V_ZCFZB_XSL.DEBT_INVESTMENT</t>
    <phoneticPr fontId="2" type="noConversion"/>
  </si>
  <si>
    <t>V_ZCFZB_XSL.OTHER_DEBT_INVESTMENT</t>
    <phoneticPr fontId="2" type="noConversion"/>
  </si>
  <si>
    <t>V_ZCFZB_XSL.OTHER_EQUITY_INVESTMENT</t>
    <phoneticPr fontId="2" type="noConversion"/>
  </si>
  <si>
    <t>V_ZCFZB_XSL.OTHER_ILLIQUIDFINANCIAL_ASSETS</t>
    <phoneticPr fontId="2" type="noConversion"/>
  </si>
  <si>
    <t>V_ZCFZB_XSL.OTHER_SUSTAINABLE_BOND</t>
    <phoneticPr fontId="2" type="noConversion"/>
  </si>
  <si>
    <t>其他调整（加杠杆）</t>
    <phoneticPr fontId="2" type="noConversion"/>
  </si>
  <si>
    <t>其中：应收票据和应收账款的减少（增加以“－”号填列）</t>
    <phoneticPr fontId="2" type="noConversion"/>
  </si>
  <si>
    <t>其中：应付票据和应付账款的增加（减少以“－”号填列）</t>
    <phoneticPr fontId="2" type="noConversion"/>
  </si>
  <si>
    <t>在建工程</t>
    <phoneticPr fontId="2" type="noConversion"/>
  </si>
  <si>
    <t xml:space="preserve">   期初在建工程</t>
    <phoneticPr fontId="2" type="noConversion"/>
  </si>
  <si>
    <t>权益分派</t>
    <phoneticPr fontId="2" type="noConversion"/>
  </si>
  <si>
    <t>2、</t>
    <phoneticPr fontId="2" type="noConversion"/>
  </si>
  <si>
    <t xml:space="preserve">   本期分派、转增股数</t>
    <phoneticPr fontId="2" type="noConversion"/>
  </si>
  <si>
    <t>V_LRFPB_XSL.XYJZSS</t>
    <phoneticPr fontId="2" type="noConversion"/>
  </si>
  <si>
    <t>V_LRFPB_XSL.JCKTQSY</t>
    <phoneticPr fontId="2" type="noConversion"/>
  </si>
  <si>
    <t>V_LRFPB_XSL.LXFY</t>
    <phoneticPr fontId="2" type="noConversion"/>
  </si>
  <si>
    <t>V_LRFPB_XSL.YFFY</t>
    <phoneticPr fontId="2" type="noConversion"/>
  </si>
  <si>
    <t>V_LRFPB_XSL.LXSR</t>
    <phoneticPr fontId="2" type="noConversion"/>
  </si>
  <si>
    <t>其他权益工具投资</t>
    <phoneticPr fontId="87" type="noConversion"/>
  </si>
  <si>
    <t>其他收益</t>
    <phoneticPr fontId="2" type="noConversion"/>
  </si>
  <si>
    <t>其他应收款</t>
    <phoneticPr fontId="2" type="noConversion"/>
  </si>
  <si>
    <t>财务分析</t>
    <phoneticPr fontId="2" type="noConversion"/>
  </si>
  <si>
    <t>自动生成的基本财务指标</t>
    <phoneticPr fontId="2" type="noConversion"/>
  </si>
  <si>
    <t>相关指标趋势图</t>
    <phoneticPr fontId="2" type="noConversion"/>
  </si>
  <si>
    <t>自动生成的基本财务指标</t>
    <phoneticPr fontId="2" type="noConversion"/>
  </si>
  <si>
    <t>一年内到期的非流动资产</t>
    <phoneticPr fontId="2" type="noConversion"/>
  </si>
  <si>
    <t>股利分配率</t>
    <phoneticPr fontId="2" type="noConversion"/>
  </si>
  <si>
    <t>周转天数（相对于销售收入）</t>
    <phoneticPr fontId="2" type="noConversion"/>
  </si>
  <si>
    <t>周转天数（相对于销货成本）</t>
    <phoneticPr fontId="2" type="noConversion"/>
  </si>
  <si>
    <t>周转天数（相对于销售收入）</t>
    <phoneticPr fontId="2" type="noConversion"/>
  </si>
  <si>
    <t>衍生金融资产</t>
    <phoneticPr fontId="2" type="noConversion"/>
  </si>
  <si>
    <t>公允价值变动</t>
    <phoneticPr fontId="2" type="noConversion"/>
  </si>
  <si>
    <t>新增、处置</t>
    <phoneticPr fontId="2" type="noConversion"/>
  </si>
  <si>
    <t>无形资产</t>
    <phoneticPr fontId="2" type="noConversion"/>
  </si>
  <si>
    <t>本期增减</t>
    <phoneticPr fontId="2" type="noConversion"/>
  </si>
  <si>
    <t>衍生金融负债</t>
    <phoneticPr fontId="2" type="noConversion"/>
  </si>
  <si>
    <t>股本净额</t>
    <phoneticPr fontId="2" type="noConversion"/>
  </si>
  <si>
    <t>期初商誉金额</t>
    <phoneticPr fontId="2" type="noConversion"/>
  </si>
  <si>
    <t>期初固定资产原值</t>
    <phoneticPr fontId="2" type="noConversion"/>
  </si>
  <si>
    <t>期末固定资产原值</t>
    <phoneticPr fontId="2" type="noConversion"/>
  </si>
  <si>
    <t>期初累计折旧</t>
    <phoneticPr fontId="2" type="noConversion"/>
  </si>
  <si>
    <t>期末累计折旧</t>
    <phoneticPr fontId="2" type="noConversion"/>
  </si>
  <si>
    <t>减：</t>
    <phoneticPr fontId="2" type="noConversion"/>
  </si>
  <si>
    <t>本期增加</t>
    <phoneticPr fontId="2" type="noConversion"/>
  </si>
  <si>
    <t>其他权益工具投资</t>
    <phoneticPr fontId="2" type="noConversion"/>
  </si>
  <si>
    <t>其他调整</t>
    <phoneticPr fontId="2" type="noConversion"/>
  </si>
  <si>
    <t>股利分配率</t>
    <phoneticPr fontId="2" type="noConversion"/>
  </si>
  <si>
    <t>加：</t>
    <phoneticPr fontId="2" type="noConversion"/>
  </si>
  <si>
    <t>分派总额</t>
    <phoneticPr fontId="2" type="noConversion"/>
  </si>
  <si>
    <t>本期增减</t>
    <phoneticPr fontId="2" type="noConversion"/>
  </si>
  <si>
    <t>其中：理财产品</t>
    <phoneticPr fontId="2" type="noConversion"/>
  </si>
  <si>
    <t>期初减值准备</t>
    <phoneticPr fontId="2" type="noConversion"/>
  </si>
  <si>
    <t>期末无形资产原值</t>
    <phoneticPr fontId="2" type="noConversion"/>
  </si>
  <si>
    <t>期末累计摊销</t>
    <phoneticPr fontId="2" type="noConversion"/>
  </si>
  <si>
    <t>期初累计摊销</t>
    <phoneticPr fontId="2" type="noConversion"/>
  </si>
  <si>
    <t>本期计提摊销</t>
    <phoneticPr fontId="2" type="noConversion"/>
  </si>
  <si>
    <t>本期无形资产减值准备</t>
    <phoneticPr fontId="2" type="noConversion"/>
  </si>
  <si>
    <t>期末减值准备</t>
    <phoneticPr fontId="2" type="noConversion"/>
  </si>
  <si>
    <t>期末减值准备</t>
    <phoneticPr fontId="2" type="noConversion"/>
  </si>
  <si>
    <t>资产处置损失、营业外损失（收益以“-”号填列）</t>
    <phoneticPr fontId="2" type="noConversion"/>
  </si>
  <si>
    <t>每股分红</t>
    <phoneticPr fontId="2" type="noConversion"/>
  </si>
  <si>
    <t>资产项目</t>
    <phoneticPr fontId="97" type="noConversion"/>
  </si>
  <si>
    <t>资产项目</t>
    <phoneticPr fontId="97" type="noConversion"/>
  </si>
  <si>
    <t>对应项目</t>
    <phoneticPr fontId="97" type="noConversion"/>
  </si>
  <si>
    <t>对应科目</t>
    <phoneticPr fontId="97" type="noConversion"/>
  </si>
  <si>
    <t>序号</t>
    <phoneticPr fontId="2" type="noConversion"/>
  </si>
  <si>
    <t>应收票据</t>
    <phoneticPr fontId="2" type="noConversion"/>
  </si>
  <si>
    <t>应收账款</t>
    <phoneticPr fontId="2" type="noConversion"/>
  </si>
  <si>
    <t>应收款项融资</t>
    <phoneticPr fontId="2" type="noConversion"/>
  </si>
  <si>
    <t>使用权资产</t>
    <phoneticPr fontId="2" type="noConversion"/>
  </si>
  <si>
    <t>应付票据</t>
    <phoneticPr fontId="2" type="noConversion"/>
  </si>
  <si>
    <t>应付账款</t>
    <phoneticPr fontId="2" type="noConversion"/>
  </si>
  <si>
    <r>
      <t xml:space="preserve"> </t>
    </r>
    <r>
      <rPr>
        <sz val="10.5"/>
        <rFont val="宋体"/>
        <charset val="134"/>
      </rPr>
      <t xml:space="preserve">   其中：优先股</t>
    </r>
    <phoneticPr fontId="2" type="noConversion"/>
  </si>
  <si>
    <r>
      <t xml:space="preserve"> </t>
    </r>
    <r>
      <rPr>
        <sz val="10.5"/>
        <rFont val="宋体"/>
        <charset val="134"/>
      </rPr>
      <t xml:space="preserve">         永续债</t>
    </r>
    <phoneticPr fontId="2" type="noConversion"/>
  </si>
  <si>
    <t>租赁负债</t>
    <phoneticPr fontId="2" type="noConversion"/>
  </si>
  <si>
    <t>实收资本（或股本）</t>
    <phoneticPr fontId="2" type="noConversion"/>
  </si>
  <si>
    <t>专项储备</t>
    <phoneticPr fontId="2" type="noConversion"/>
  </si>
  <si>
    <t>交易性金融资产</t>
    <phoneticPr fontId="2" type="noConversion"/>
  </si>
  <si>
    <t>交易性金融负债</t>
    <phoneticPr fontId="2" type="noConversion"/>
  </si>
  <si>
    <t xml:space="preserve">    其中:利息费用</t>
    <phoneticPr fontId="2" type="noConversion"/>
  </si>
  <si>
    <r>
      <t xml:space="preserve"> </t>
    </r>
    <r>
      <rPr>
        <sz val="10.5"/>
        <rFont val="宋体"/>
        <charset val="134"/>
      </rPr>
      <t xml:space="preserve">         以摊余成本计量的金融资产终止确认收益</t>
    </r>
    <phoneticPr fontId="2" type="noConversion"/>
  </si>
  <si>
    <t>投资收益（损失以“-”号填列）</t>
    <phoneticPr fontId="2" type="noConversion"/>
  </si>
  <si>
    <t>净敞口套期收益（损失以“-”号填列）</t>
    <phoneticPr fontId="2" type="noConversion"/>
  </si>
  <si>
    <t>资产处置收益（损失以“-”号填列）</t>
    <phoneticPr fontId="2" type="noConversion"/>
  </si>
  <si>
    <t>合并报表的净利润</t>
    <phoneticPr fontId="2" type="noConversion"/>
  </si>
  <si>
    <t>其他应收款：应根据“应收利息”“应收股利”和“其他应收款”科目的期末余额合计数，减去“坏账准备”科目后的金额填列</t>
    <phoneticPr fontId="2" type="noConversion"/>
  </si>
  <si>
    <t>持有待售资产：反映资产负债表日划分为持有待售类别的非流动资产及划分为持有待售类别的处置组中的流动资产和非流动资产的期末账面价值，可能会涉及到”持有待售资产减值准备“</t>
    <phoneticPr fontId="2" type="noConversion"/>
  </si>
  <si>
    <t>债权投资：资产负债表日以摊余成本计量的长期债权投资的期末账面价值，可能涉及到“债权投资减值准备”</t>
    <phoneticPr fontId="2" type="noConversion"/>
  </si>
  <si>
    <t>其他债权投资：资产负债表日企业分类为以公允价值计量且其变动计入其他综合收益的长期债权投资的期末账面价值</t>
    <phoneticPr fontId="2" type="noConversion"/>
  </si>
  <si>
    <t>在建工程：包含尚未达到预定可使用状态的在建工程和为在建工程准备的各种物资（即工程物资）的期末账面价值，涉及到减值准备</t>
    <phoneticPr fontId="2" type="noConversion"/>
  </si>
  <si>
    <t>使用权资产：项目反映资产负债表日承租人企业持有的使用权资产，应根据使用权资产科目期末余额减去使用权资产累计折旧和使用权资产减值准备科目的期末余额后的金额填列</t>
    <phoneticPr fontId="2" type="noConversion"/>
  </si>
  <si>
    <t>租赁负债：反映资产负债表日承租人企业尚未支付的租赁付款额的期末账面价值，一年内到期应予以清偿的租赁负债反映在“一年内到期的非流动负债”项目</t>
    <phoneticPr fontId="2" type="noConversion"/>
  </si>
  <si>
    <t>长期应付款：反映除长期借款和应付债券以为的其他各种长期应付款项，可能涉及到未确认融资费用、专项应付款科目</t>
    <phoneticPr fontId="2" type="noConversion"/>
  </si>
  <si>
    <t>专项储备：反映高危行业企业按国家规定提取的安全生产费</t>
    <phoneticPr fontId="2" type="noConversion"/>
  </si>
  <si>
    <t>说明：</t>
    <phoneticPr fontId="2" type="noConversion"/>
  </si>
  <si>
    <t>此报表格式根据《企业会计准则第30号-财务报表列报》编制，适用于已执行新收入准则和新租赁准则的企业</t>
    <phoneticPr fontId="2" type="noConversion"/>
  </si>
  <si>
    <t>此报表格式根据《企业会计准则第30号-财务报表列报》编制，适用于已执行新收入准则和新租赁准则的企业</t>
    <phoneticPr fontId="2" type="noConversion"/>
  </si>
  <si>
    <t>净敞口套期收益：反映被套期项目累计公允价值变动转入当期损益的金额或现金流量套期储备转入当期损益的金额</t>
    <phoneticPr fontId="2" type="noConversion"/>
  </si>
  <si>
    <t>资产处置收益：反映企业出售划分为持有待售的非流动资产（金融工具、长期股权投资和投资性房地产除外）或处置组（子公司和业务除外）时确认的处置利得或损失，以及处置为划分为持有待售的固定资产、在建工程、生产性生物资产及无形资产而产生的处置利得或损失。债务重组中产生的利得或损失也包括在本项目内。</t>
    <phoneticPr fontId="2" type="noConversion"/>
  </si>
  <si>
    <t>应收款项融资：反映资产负债表日以公允价值计量且其变动计入其他综合收益的应收票据和应收账款等</t>
    <phoneticPr fontId="2" type="noConversion"/>
  </si>
  <si>
    <t>应收票据</t>
    <phoneticPr fontId="2" type="noConversion"/>
  </si>
  <si>
    <t>应收账款</t>
    <phoneticPr fontId="2" type="noConversion"/>
  </si>
  <si>
    <t>应收票据/销售收入（%）</t>
    <phoneticPr fontId="2" type="noConversion"/>
  </si>
  <si>
    <t>应收账款/销售收入（%）</t>
    <phoneticPr fontId="2" type="noConversion"/>
  </si>
  <si>
    <t>应付票据</t>
    <phoneticPr fontId="2" type="noConversion"/>
  </si>
  <si>
    <t>应付票据/销货成本（%）</t>
    <phoneticPr fontId="2" type="noConversion"/>
  </si>
  <si>
    <t>应付账款</t>
    <phoneticPr fontId="2" type="noConversion"/>
  </si>
  <si>
    <t>应付账款/销货成本（%）</t>
    <phoneticPr fontId="2" type="noConversion"/>
  </si>
  <si>
    <t>交易性金融资产</t>
    <phoneticPr fontId="2" type="noConversion"/>
  </si>
  <si>
    <t>交易性金融负债</t>
    <phoneticPr fontId="2" type="noConversion"/>
  </si>
  <si>
    <t>其他流动负债</t>
    <phoneticPr fontId="2" type="noConversion"/>
  </si>
  <si>
    <t>其中：短期融资券</t>
    <phoneticPr fontId="2" type="noConversion"/>
  </si>
  <si>
    <t>长期待摊费用</t>
    <phoneticPr fontId="2" type="noConversion"/>
  </si>
  <si>
    <t>当期增加</t>
    <phoneticPr fontId="2" type="noConversion"/>
  </si>
  <si>
    <t>当期摊销</t>
    <phoneticPr fontId="2" type="noConversion"/>
  </si>
  <si>
    <t>（三）固定资产及在建工程</t>
    <phoneticPr fontId="2" type="noConversion"/>
  </si>
  <si>
    <t>本期增减</t>
    <phoneticPr fontId="2" type="noConversion"/>
  </si>
  <si>
    <t>当期增减</t>
    <phoneticPr fontId="2" type="noConversion"/>
  </si>
  <si>
    <t>本期计提折旧</t>
    <phoneticPr fontId="2" type="noConversion"/>
  </si>
  <si>
    <t>在建工程转入</t>
    <phoneticPr fontId="2" type="noConversion"/>
  </si>
  <si>
    <t>减：本期固定资产减值准备</t>
    <phoneticPr fontId="2" type="noConversion"/>
  </si>
  <si>
    <t>减：本期在建工程减值准备</t>
    <phoneticPr fontId="2" type="noConversion"/>
  </si>
  <si>
    <t>（四）无形资产及其他</t>
    <phoneticPr fontId="2" type="noConversion"/>
  </si>
  <si>
    <t>投资性房地产</t>
    <phoneticPr fontId="2" type="noConversion"/>
  </si>
  <si>
    <t>本期新增、处置</t>
    <phoneticPr fontId="2" type="noConversion"/>
  </si>
  <si>
    <t>本期公允价值变动</t>
    <phoneticPr fontId="2" type="noConversion"/>
  </si>
  <si>
    <t>本期增加</t>
    <phoneticPr fontId="2" type="noConversion"/>
  </si>
  <si>
    <t xml:space="preserve">   期初投资性房地产</t>
    <phoneticPr fontId="2" type="noConversion"/>
  </si>
  <si>
    <t xml:space="preserve">   期末投资性房地产</t>
    <phoneticPr fontId="2" type="noConversion"/>
  </si>
  <si>
    <t>使用权资产</t>
    <phoneticPr fontId="2" type="noConversion"/>
  </si>
  <si>
    <t>期初使用权资产</t>
    <phoneticPr fontId="2" type="noConversion"/>
  </si>
  <si>
    <t>期末使用权资产</t>
    <phoneticPr fontId="2" type="noConversion"/>
  </si>
  <si>
    <t>1.公允价值模式计量</t>
    <phoneticPr fontId="2" type="noConversion"/>
  </si>
  <si>
    <t>2.成本模式计量</t>
    <phoneticPr fontId="2" type="noConversion"/>
  </si>
  <si>
    <t>应付债券</t>
    <phoneticPr fontId="2" type="noConversion"/>
  </si>
  <si>
    <t>长期借款</t>
    <phoneticPr fontId="2" type="noConversion"/>
  </si>
  <si>
    <t>增加的股本</t>
    <phoneticPr fontId="2" type="noConversion"/>
  </si>
  <si>
    <t>增加的资本公积</t>
    <phoneticPr fontId="2" type="noConversion"/>
  </si>
  <si>
    <t xml:space="preserve">   本期现金红利总额</t>
    <phoneticPr fontId="2" type="noConversion"/>
  </si>
  <si>
    <t>短期借款利率</t>
    <phoneticPr fontId="2" type="noConversion"/>
  </si>
  <si>
    <t>存款利率</t>
    <phoneticPr fontId="2" type="noConversion"/>
  </si>
  <si>
    <t>利息支出</t>
    <phoneticPr fontId="2" type="noConversion"/>
  </si>
  <si>
    <t>利息收入</t>
    <phoneticPr fontId="2" type="noConversion"/>
  </si>
  <si>
    <t>财务费用小计</t>
    <phoneticPr fontId="2" type="noConversion"/>
  </si>
  <si>
    <t>当期资产减值损失小计</t>
    <phoneticPr fontId="2" type="noConversion"/>
  </si>
  <si>
    <t>应收票据</t>
    <phoneticPr fontId="2" type="noConversion"/>
  </si>
  <si>
    <t>应收账款</t>
    <phoneticPr fontId="2" type="noConversion"/>
  </si>
  <si>
    <t>减：本期商誉减值准备</t>
    <phoneticPr fontId="2" type="noConversion"/>
  </si>
  <si>
    <t>减：本期投资性房地产减值准备</t>
    <phoneticPr fontId="2" type="noConversion"/>
  </si>
  <si>
    <t>减：本期使用权资产减值准备</t>
    <phoneticPr fontId="2" type="noConversion"/>
  </si>
  <si>
    <t>当期公允价值变动小计</t>
    <phoneticPr fontId="2" type="noConversion"/>
  </si>
  <si>
    <t>其中：</t>
    <phoneticPr fontId="2" type="noConversion"/>
  </si>
  <si>
    <t>检查：</t>
    <phoneticPr fontId="2" type="noConversion"/>
  </si>
  <si>
    <t>应收款项融资</t>
  </si>
  <si>
    <t>使用权资产</t>
  </si>
  <si>
    <r>
      <t>V_ZCFZB_XSL.</t>
    </r>
    <r>
      <rPr>
        <sz val="12"/>
        <rFont val="宋体"/>
        <charset val="134"/>
      </rPr>
      <t>LEASE_LIAB</t>
    </r>
    <phoneticPr fontId="2" type="noConversion"/>
  </si>
  <si>
    <t>租赁负债</t>
  </si>
  <si>
    <t>固定资产</t>
    <phoneticPr fontId="97" type="noConversion"/>
  </si>
  <si>
    <t>投资性房地产</t>
    <phoneticPr fontId="97" type="noConversion"/>
  </si>
  <si>
    <t>无形资产</t>
    <phoneticPr fontId="97" type="noConversion"/>
  </si>
  <si>
    <t>油气资产</t>
    <phoneticPr fontId="97" type="noConversion"/>
  </si>
  <si>
    <t>生产性生物资产</t>
    <phoneticPr fontId="97" type="noConversion"/>
  </si>
  <si>
    <t>固定资产-原值</t>
    <phoneticPr fontId="97" type="noConversion"/>
  </si>
  <si>
    <t>固定资产-累计折旧</t>
    <phoneticPr fontId="97" type="noConversion"/>
  </si>
  <si>
    <t>固定资产-净值</t>
    <phoneticPr fontId="97" type="noConversion"/>
  </si>
  <si>
    <t>固定资产-减值准备</t>
    <phoneticPr fontId="97" type="noConversion"/>
  </si>
  <si>
    <t>固定资产-净额</t>
    <phoneticPr fontId="97" type="noConversion"/>
  </si>
  <si>
    <t>投资性房地产-原值</t>
    <phoneticPr fontId="97" type="noConversion"/>
  </si>
  <si>
    <t>投资性房地产-累计折旧和累计摊销合计</t>
    <phoneticPr fontId="97" type="noConversion"/>
  </si>
  <si>
    <t>投资性房地产-减值准备</t>
    <phoneticPr fontId="97" type="noConversion"/>
  </si>
  <si>
    <t>投资性房地产-净额</t>
    <phoneticPr fontId="97" type="noConversion"/>
  </si>
  <si>
    <t>无形资产-原值</t>
    <phoneticPr fontId="97" type="noConversion"/>
  </si>
  <si>
    <t>无形资产-累计摊销</t>
    <phoneticPr fontId="97" type="noConversion"/>
  </si>
  <si>
    <t>无形资产-减值准备</t>
    <phoneticPr fontId="97" type="noConversion"/>
  </si>
  <si>
    <t>无形资产-净额</t>
    <phoneticPr fontId="97" type="noConversion"/>
  </si>
  <si>
    <t>油气资产-原值</t>
    <phoneticPr fontId="97" type="noConversion"/>
  </si>
  <si>
    <t>油气资产-累计折耗</t>
    <phoneticPr fontId="97" type="noConversion"/>
  </si>
  <si>
    <t>油气资产-减值准备</t>
    <phoneticPr fontId="97" type="noConversion"/>
  </si>
  <si>
    <t>油气资产-净额</t>
    <phoneticPr fontId="97" type="noConversion"/>
  </si>
  <si>
    <t>生产性生物资产-原值</t>
    <phoneticPr fontId="97" type="noConversion"/>
  </si>
  <si>
    <t>生产性生物资产-累计折旧</t>
    <phoneticPr fontId="97" type="noConversion"/>
  </si>
  <si>
    <t>生产性生物资产-减值准备</t>
    <phoneticPr fontId="97" type="noConversion"/>
  </si>
  <si>
    <t>生产性生物资产-净额</t>
    <phoneticPr fontId="97" type="noConversion"/>
  </si>
  <si>
    <t>科目明细</t>
    <phoneticPr fontId="97" type="noConversion"/>
  </si>
  <si>
    <t>分类数值</t>
    <phoneticPr fontId="2" type="noConversion"/>
  </si>
  <si>
    <t>字段名称</t>
    <phoneticPr fontId="2" type="noConversion"/>
  </si>
  <si>
    <t>资产项目</t>
    <phoneticPr fontId="97" type="noConversion"/>
  </si>
  <si>
    <t>FZB_GDZC_YZ</t>
    <phoneticPr fontId="2" type="noConversion"/>
  </si>
  <si>
    <t>FZB_GDZC_LJZJ</t>
    <phoneticPr fontId="2" type="noConversion"/>
  </si>
  <si>
    <t>FZB_GDZC_JZ</t>
    <phoneticPr fontId="2" type="noConversion"/>
  </si>
  <si>
    <t>FZB_GDZC_JZZB</t>
    <phoneticPr fontId="2" type="noConversion"/>
  </si>
  <si>
    <t>FZB_GDZC_JE</t>
    <phoneticPr fontId="2" type="noConversion"/>
  </si>
  <si>
    <t>FZB_TZXFDC_YZ</t>
    <phoneticPr fontId="2" type="noConversion"/>
  </si>
  <si>
    <t>FZB_TZXFDC_LJZJHTX</t>
    <phoneticPr fontId="2" type="noConversion"/>
  </si>
  <si>
    <t>FZB_TZXFDC_JZZB</t>
    <phoneticPr fontId="2" type="noConversion"/>
  </si>
  <si>
    <t>FZB_TZXFDC_JE</t>
    <phoneticPr fontId="2" type="noConversion"/>
  </si>
  <si>
    <t>FZB_WXZC_YZ</t>
    <phoneticPr fontId="2" type="noConversion"/>
  </si>
  <si>
    <t>FZB_WXZC_LJTX</t>
    <phoneticPr fontId="2" type="noConversion"/>
  </si>
  <si>
    <t>FZB_WXZC_JZZB</t>
    <phoneticPr fontId="2" type="noConversion"/>
  </si>
  <si>
    <t>FZB_WXZC_JE</t>
    <phoneticPr fontId="2" type="noConversion"/>
  </si>
  <si>
    <t>FZB_YQZC_YZ</t>
    <phoneticPr fontId="2" type="noConversion"/>
  </si>
  <si>
    <t>FZB_YQZC_LJZH</t>
    <phoneticPr fontId="2" type="noConversion"/>
  </si>
  <si>
    <t>FZB_YQZC_JZZB</t>
    <phoneticPr fontId="2" type="noConversion"/>
  </si>
  <si>
    <t>FZB_YQZC_JE</t>
    <phoneticPr fontId="2" type="noConversion"/>
  </si>
  <si>
    <t>FZB_SCXSWZC_YZ</t>
    <phoneticPr fontId="2" type="noConversion"/>
  </si>
  <si>
    <t>FZB_SCXSWZC_LJZJ</t>
    <phoneticPr fontId="2" type="noConversion"/>
  </si>
  <si>
    <t>FZB_SCXSWZC_JZZB</t>
    <phoneticPr fontId="2" type="noConversion"/>
  </si>
  <si>
    <t>FZB_SCXSWZC_JE</t>
    <phoneticPr fontId="2" type="noConversion"/>
  </si>
  <si>
    <r>
      <t>V_ZCFZB_XSL.</t>
    </r>
    <r>
      <rPr>
        <sz val="12"/>
        <rFont val="宋体"/>
        <charset val="134"/>
      </rPr>
      <t>RECEIVABLES_FINANCING</t>
    </r>
    <phoneticPr fontId="2" type="noConversion"/>
  </si>
  <si>
    <r>
      <t>V_ZCFZB_XSL.</t>
    </r>
    <r>
      <rPr>
        <sz val="12"/>
        <rFont val="宋体"/>
        <charset val="134"/>
      </rPr>
      <t>RIGHT_USE_ASSETS</t>
    </r>
    <phoneticPr fontId="2" type="noConversion"/>
  </si>
  <si>
    <t>Predict_Input_8</t>
    <phoneticPr fontId="2" type="noConversion"/>
  </si>
  <si>
    <t>Predict_Input_10</t>
    <phoneticPr fontId="2" type="noConversion"/>
  </si>
  <si>
    <t>Predict_Input_11</t>
    <phoneticPr fontId="2" type="noConversion"/>
  </si>
  <si>
    <t>Predict_Input_12</t>
    <phoneticPr fontId="2" type="noConversion"/>
  </si>
  <si>
    <t>Predict_Input_16</t>
    <phoneticPr fontId="2" type="noConversion"/>
  </si>
  <si>
    <t>Predict_Input_17</t>
    <phoneticPr fontId="2" type="noConversion"/>
  </si>
  <si>
    <t>营业收入</t>
  </si>
  <si>
    <t>营业成本</t>
  </si>
  <si>
    <t>其他资产</t>
    <phoneticPr fontId="2" type="noConversion"/>
  </si>
  <si>
    <t>3Q19</t>
    <phoneticPr fontId="2" type="noConversion"/>
  </si>
  <si>
    <t>1H19</t>
    <phoneticPr fontId="2" type="noConversion"/>
  </si>
  <si>
    <t>1Q19</t>
    <phoneticPr fontId="2" type="noConversion"/>
  </si>
  <si>
    <t>3Q18</t>
    <phoneticPr fontId="2" type="noConversion"/>
  </si>
  <si>
    <t>1H18</t>
    <phoneticPr fontId="2" type="noConversion"/>
  </si>
  <si>
    <t>1Q18</t>
    <phoneticPr fontId="2" type="noConversion"/>
  </si>
  <si>
    <t>3Q17</t>
    <phoneticPr fontId="2" type="noConversion"/>
  </si>
  <si>
    <t>1H17</t>
    <phoneticPr fontId="2" type="noConversion"/>
  </si>
  <si>
    <t>1Q17</t>
    <phoneticPr fontId="2" type="noConversion"/>
  </si>
  <si>
    <t>3Q16</t>
    <phoneticPr fontId="2" type="noConversion"/>
  </si>
  <si>
    <t>1H16</t>
    <phoneticPr fontId="2" type="noConversion"/>
  </si>
  <si>
    <t>1Q16</t>
    <phoneticPr fontId="2" type="noConversion"/>
  </si>
  <si>
    <t>3Q15</t>
    <phoneticPr fontId="2" type="noConversion"/>
  </si>
  <si>
    <t>1H15</t>
    <phoneticPr fontId="2" type="noConversion"/>
  </si>
  <si>
    <t>1Q15</t>
    <phoneticPr fontId="2" type="noConversion"/>
  </si>
  <si>
    <t>3Q14</t>
    <phoneticPr fontId="2" type="noConversion"/>
  </si>
  <si>
    <t>1H14</t>
    <phoneticPr fontId="2" type="noConversion"/>
  </si>
  <si>
    <t>1Q14</t>
    <phoneticPr fontId="2" type="noConversion"/>
  </si>
  <si>
    <t>3Q13</t>
    <phoneticPr fontId="2" type="noConversion"/>
  </si>
  <si>
    <t>1H13</t>
    <phoneticPr fontId="2" type="noConversion"/>
  </si>
  <si>
    <t>1Q13</t>
    <phoneticPr fontId="2" type="noConversion"/>
  </si>
  <si>
    <t>合并增加（净额）</t>
    <phoneticPr fontId="2" type="noConversion"/>
  </si>
  <si>
    <t>其中：转入固定资产</t>
    <phoneticPr fontId="2" type="noConversion"/>
  </si>
  <si>
    <t>本期折旧/摊销</t>
    <phoneticPr fontId="2" type="noConversion"/>
  </si>
  <si>
    <t>（二）债券融资</t>
    <phoneticPr fontId="2" type="noConversion"/>
  </si>
  <si>
    <t>（三）长期借款</t>
    <phoneticPr fontId="2" type="noConversion"/>
  </si>
  <si>
    <t>（四）其他融资</t>
    <phoneticPr fontId="2" type="noConversion"/>
  </si>
  <si>
    <t>特殊方式融资（可转债、优先股、期权等）</t>
    <phoneticPr fontId="2" type="noConversion"/>
  </si>
  <si>
    <t>期初投资性房地产</t>
    <phoneticPr fontId="2" type="noConversion"/>
  </si>
  <si>
    <r>
      <t xml:space="preserve"> </t>
    </r>
    <r>
      <rPr>
        <sz val="10.5"/>
        <rFont val="宋体"/>
        <charset val="134"/>
      </rPr>
      <t xml:space="preserve">                                               </t>
    </r>
    <phoneticPr fontId="2" type="noConversion"/>
  </si>
  <si>
    <t>资产减值损失合计</t>
    <phoneticPr fontId="2" type="noConversion"/>
  </si>
  <si>
    <r>
      <t xml:space="preserve">      </t>
    </r>
    <r>
      <rPr>
        <sz val="10.5"/>
        <rFont val="宋体"/>
        <charset val="134"/>
      </rPr>
      <t>使用权资产</t>
    </r>
    <r>
      <rPr>
        <sz val="10.5"/>
        <rFont val="宋体"/>
        <charset val="134"/>
      </rPr>
      <t>摊销</t>
    </r>
    <phoneticPr fontId="2" type="noConversion"/>
  </si>
  <si>
    <r>
      <t xml:space="preserve">           </t>
    </r>
    <r>
      <rPr>
        <sz val="10.5"/>
        <rFont val="宋体"/>
        <charset val="134"/>
      </rPr>
      <t>其他债权投资的减少（增加以</t>
    </r>
    <r>
      <rPr>
        <sz val="10.5"/>
        <rFont val="Times New Roman"/>
        <family val="1"/>
      </rPr>
      <t>“</t>
    </r>
    <r>
      <rPr>
        <sz val="10.5"/>
        <rFont val="宋体"/>
        <charset val="134"/>
      </rPr>
      <t>－</t>
    </r>
    <r>
      <rPr>
        <sz val="10.5"/>
        <rFont val="Times New Roman"/>
        <family val="1"/>
      </rPr>
      <t>”</t>
    </r>
    <r>
      <rPr>
        <sz val="10.5"/>
        <rFont val="宋体"/>
        <charset val="134"/>
      </rPr>
      <t>号填列）</t>
    </r>
    <phoneticPr fontId="2" type="noConversion"/>
  </si>
  <si>
    <r>
      <t xml:space="preserve">   回购股数（</t>
    </r>
    <r>
      <rPr>
        <sz val="10.5"/>
        <rFont val="宋体"/>
        <charset val="134"/>
      </rPr>
      <t>假设影响库存股）</t>
    </r>
    <phoneticPr fontId="2" type="noConversion"/>
  </si>
  <si>
    <t>合并产生的损益（直接计入权益）</t>
    <phoneticPr fontId="2" type="noConversion"/>
  </si>
  <si>
    <r>
      <t xml:space="preserve">      其他折旧</t>
    </r>
    <r>
      <rPr>
        <sz val="10.5"/>
        <rFont val="宋体"/>
        <charset val="134"/>
      </rPr>
      <t>摊销（</t>
    </r>
    <r>
      <rPr>
        <sz val="10.5"/>
        <rFont val="宋体"/>
        <charset val="134"/>
      </rPr>
      <t>长期待摊、投资性房地产)</t>
    </r>
    <phoneticPr fontId="2" type="noConversion"/>
  </si>
  <si>
    <t xml:space="preserve">      其它应收款的减少（增加以“－”号填列）</t>
    <phoneticPr fontId="2" type="noConversion"/>
  </si>
  <si>
    <t xml:space="preserve">      其它应付款的增加（减少以“－”号填列）</t>
    <phoneticPr fontId="2" type="noConversion"/>
  </si>
  <si>
    <t xml:space="preserve">      预收账款的增加（减少以“－”号填列）</t>
    <phoneticPr fontId="2" type="noConversion"/>
  </si>
  <si>
    <t xml:space="preserve">      应付职工薪酬的增加（减少以“－”号填列）</t>
    <phoneticPr fontId="2" type="noConversion"/>
  </si>
  <si>
    <t xml:space="preserve">      应交税费的增加（减少以“－”号填列）</t>
    <phoneticPr fontId="2" type="noConversion"/>
  </si>
  <si>
    <t>投资和股利收入</t>
    <phoneticPr fontId="2" type="noConversion"/>
  </si>
  <si>
    <t>其他项目（包含使用权资产）</t>
    <phoneticPr fontId="2" type="noConversion"/>
  </si>
  <si>
    <r>
      <t>本期折旧/</t>
    </r>
    <r>
      <rPr>
        <sz val="10.5"/>
        <rFont val="宋体"/>
        <charset val="134"/>
      </rPr>
      <t>摊销</t>
    </r>
    <phoneticPr fontId="2" type="noConversion"/>
  </si>
  <si>
    <t>其中：金融资产的减少（增加以“－”号填列）</t>
    <phoneticPr fontId="2" type="noConversion"/>
  </si>
  <si>
    <t>其中：金融负债的增加（减少以“－”号填列）</t>
    <phoneticPr fontId="2" type="noConversion"/>
  </si>
  <si>
    <t>资产减值损失小计</t>
    <phoneticPr fontId="2" type="noConversion"/>
  </si>
  <si>
    <r>
      <t xml:space="preserve">           </t>
    </r>
    <r>
      <rPr>
        <sz val="10.5"/>
        <rFont val="宋体"/>
        <charset val="134"/>
      </rPr>
      <t>生物资产和油气资产</t>
    </r>
    <phoneticPr fontId="2" type="noConversion"/>
  </si>
  <si>
    <r>
      <t>固定资产清理（一般以“-”</t>
    </r>
    <r>
      <rPr>
        <sz val="10.5"/>
        <rFont val="宋体"/>
        <charset val="134"/>
      </rPr>
      <t>列示表示损失）</t>
    </r>
    <phoneticPr fontId="2" type="noConversion"/>
  </si>
  <si>
    <t>当期发行</t>
    <phoneticPr fontId="2" type="noConversion"/>
  </si>
  <si>
    <t>当期偿还</t>
    <phoneticPr fontId="2" type="noConversion"/>
  </si>
  <si>
    <t>季度分析</t>
    <phoneticPr fontId="2" type="noConversion"/>
  </si>
  <si>
    <t>估值与敏感性分析</t>
    <phoneticPr fontId="2" type="noConversion"/>
  </si>
  <si>
    <t xml:space="preserve"> 特别说明：</t>
    <phoneticPr fontId="2" type="noConversion"/>
  </si>
  <si>
    <t xml:space="preserve"> 货币单位</t>
    <phoneticPr fontId="2" type="noConversion"/>
  </si>
  <si>
    <t xml:space="preserve"> 2.在股票代码文本框中输入股票代码，如格力电器“000651”；</t>
    <phoneticPr fontId="2" type="noConversion"/>
  </si>
  <si>
    <t xml:space="preserve"> 1.请确保已下载并安装估值模型相应的插件(携宁科技云估值)；</t>
    <phoneticPr fontId="2" type="noConversion"/>
  </si>
  <si>
    <t xml:space="preserve"> 4.登录并点击插件中“提取历史数据”按钮；</t>
    <phoneticPr fontId="2" type="noConversion"/>
  </si>
  <si>
    <t xml:space="preserve"> 6.点击云模型插件“配平报表”按钮。</t>
    <phoneticPr fontId="2" type="noConversion"/>
  </si>
  <si>
    <t xml:space="preserve"> 1.修改股票代码或重新选择历史数据年数后，需重新点击“提取历史数据”按钮来更新数据；</t>
    <phoneticPr fontId="2" type="noConversion"/>
  </si>
  <si>
    <t xml:space="preserve"> 2.“添加输出表”功能会自动添加您公司定制输出表，用于报告撰写模版；</t>
    <phoneticPr fontId="2" type="noConversion"/>
  </si>
  <si>
    <t xml:space="preserve"> 3.修改填写的预测数据或重新选择预测数据年数后，需重新点击“配平报表”按钮来进行线性迭代并配平数据；</t>
    <phoneticPr fontId="2" type="noConversion"/>
  </si>
  <si>
    <t xml:space="preserve"> 6.“格式刷”功能需要安装格式刷插件，可定制化生成数据和图表。</t>
    <phoneticPr fontId="2" type="noConversion"/>
  </si>
  <si>
    <t>合同资产和合同负债：应按照《企业会计准则第14号-收入》（财会【2017】22号）的相关规定列示，涉及到减值准备</t>
    <phoneticPr fontId="2" type="noConversion"/>
  </si>
  <si>
    <t>说明：</t>
  </si>
  <si>
    <t xml:space="preserve">   所得税税率</t>
    <phoneticPr fontId="2" type="noConversion"/>
  </si>
  <si>
    <t>1#1</t>
  </si>
  <si>
    <r>
      <rPr>
        <sz val="10.5"/>
        <rFont val="宋体"/>
        <charset val="134"/>
      </rPr>
      <t>其他收益</t>
    </r>
    <r>
      <rPr>
        <sz val="10.5"/>
        <rFont val="Times New Roman"/>
        <family val="1"/>
      </rPr>
      <t>/</t>
    </r>
    <r>
      <rPr>
        <sz val="10.5"/>
        <rFont val="宋体"/>
        <charset val="134"/>
      </rPr>
      <t>营业收入</t>
    </r>
    <phoneticPr fontId="2" type="noConversion"/>
  </si>
  <si>
    <r>
      <rPr>
        <sz val="10.5"/>
        <rFont val="宋体"/>
        <charset val="134"/>
      </rPr>
      <t>投资收益</t>
    </r>
    <r>
      <rPr>
        <sz val="10.5"/>
        <rFont val="Times New Roman"/>
        <family val="1"/>
      </rPr>
      <t>/</t>
    </r>
    <r>
      <rPr>
        <sz val="10.5"/>
        <rFont val="宋体"/>
        <charset val="134"/>
      </rPr>
      <t>营业收入</t>
    </r>
    <phoneticPr fontId="2" type="noConversion"/>
  </si>
  <si>
    <r>
      <rPr>
        <sz val="10.5"/>
        <rFont val="宋体"/>
        <charset val="134"/>
      </rPr>
      <t>资产处置收益</t>
    </r>
    <r>
      <rPr>
        <sz val="10.5"/>
        <rFont val="Times New Roman"/>
        <family val="1"/>
      </rPr>
      <t>/</t>
    </r>
    <r>
      <rPr>
        <sz val="10.5"/>
        <rFont val="宋体"/>
        <charset val="134"/>
      </rPr>
      <t>营业收入</t>
    </r>
    <phoneticPr fontId="2" type="noConversion"/>
  </si>
  <si>
    <t>长期借款、债券利率</t>
    <phoneticPr fontId="2" type="noConversion"/>
  </si>
  <si>
    <t>信用减值损益（损失以“-”号填列）</t>
    <phoneticPr fontId="2" type="noConversion"/>
  </si>
  <si>
    <t>资产减值损益（损失以“-”号填列）</t>
    <phoneticPr fontId="2" type="noConversion"/>
  </si>
  <si>
    <t>百万股</t>
    <phoneticPr fontId="2" type="noConversion"/>
  </si>
  <si>
    <t>Predict_Input_21</t>
    <phoneticPr fontId="2" type="noConversion"/>
  </si>
  <si>
    <t>Predict_Input_20</t>
    <phoneticPr fontId="2" type="noConversion"/>
  </si>
  <si>
    <t>Predict_Input_19</t>
    <phoneticPr fontId="2" type="noConversion"/>
  </si>
  <si>
    <t>Predict_Input_18</t>
    <phoneticPr fontId="2" type="noConversion"/>
  </si>
  <si>
    <t>Predict_Input_15</t>
    <phoneticPr fontId="2" type="noConversion"/>
  </si>
  <si>
    <t>Predict_Input_14</t>
    <phoneticPr fontId="2" type="noConversion"/>
  </si>
  <si>
    <t>Predict_Input_6</t>
    <phoneticPr fontId="2" type="noConversion"/>
  </si>
  <si>
    <t>Predict_Input_4</t>
    <phoneticPr fontId="2" type="noConversion"/>
  </si>
  <si>
    <t>Predict_Input_8</t>
    <phoneticPr fontId="2" type="noConversion"/>
  </si>
  <si>
    <t>Predict_Input_7</t>
    <phoneticPr fontId="2" type="noConversion"/>
  </si>
  <si>
    <t>Predict_Input_6</t>
    <phoneticPr fontId="2" type="noConversion"/>
  </si>
  <si>
    <t>Predict_Input_5</t>
    <phoneticPr fontId="2" type="noConversion"/>
  </si>
  <si>
    <t>Predict_Input_4</t>
    <phoneticPr fontId="2" type="noConversion"/>
  </si>
  <si>
    <t>Predict_Input_13</t>
    <phoneticPr fontId="2" type="noConversion"/>
  </si>
  <si>
    <r>
      <t>Predict_Input_</t>
    </r>
    <r>
      <rPr>
        <sz val="10.5"/>
        <rFont val="宋体"/>
        <charset val="134"/>
      </rPr>
      <t>22</t>
    </r>
    <phoneticPr fontId="2" type="noConversion"/>
  </si>
  <si>
    <t>1#1</t>
    <phoneticPr fontId="2" type="noConversion"/>
  </si>
  <si>
    <t>历史年度的期初、期末现金余额，是以上市公司公布的现金及现金等价物列示的，预测年度的期初、期末现金余额，是以货币资金金额列示的，二者计算口径略有差异，因为估值时一般无法准确预测现金及现金等价物的数值。</t>
    <phoneticPr fontId="2" type="noConversion"/>
  </si>
  <si>
    <t>（五）其他影响股东权益事项</t>
    <phoneticPr fontId="2" type="noConversion"/>
  </si>
  <si>
    <t>3Q21</t>
    <phoneticPr fontId="2" type="noConversion"/>
  </si>
  <si>
    <t>1H21</t>
    <phoneticPr fontId="2" type="noConversion"/>
  </si>
  <si>
    <t>3Q20</t>
    <phoneticPr fontId="2" type="noConversion"/>
  </si>
  <si>
    <t>1H20</t>
    <phoneticPr fontId="2" type="noConversion"/>
  </si>
  <si>
    <t>1Q20</t>
    <phoneticPr fontId="2" type="noConversion"/>
  </si>
  <si>
    <t>预收账款</t>
  </si>
  <si>
    <t>2022E</t>
  </si>
  <si>
    <t>2023E</t>
  </si>
  <si>
    <t>项目</t>
  </si>
  <si>
    <t>房屋建筑物</t>
  </si>
  <si>
    <t>专用设备</t>
  </si>
  <si>
    <t>通用设备</t>
  </si>
  <si>
    <t>交通运输设备</t>
  </si>
  <si>
    <t>其他设备</t>
  </si>
  <si>
    <t>合计</t>
  </si>
  <si>
    <t>（2）在建工程转入</t>
    <phoneticPr fontId="2" type="noConversion"/>
  </si>
  <si>
    <t>项目</t>
    <phoneticPr fontId="2" type="noConversion"/>
  </si>
  <si>
    <t>一、账面原值：</t>
    <phoneticPr fontId="2" type="noConversion"/>
  </si>
  <si>
    <t>1.期初余额</t>
    <phoneticPr fontId="2" type="noConversion"/>
  </si>
  <si>
    <t>2.本期增加金额</t>
    <phoneticPr fontId="2" type="noConversion"/>
  </si>
  <si>
    <t>（1）购置</t>
    <phoneticPr fontId="2" type="noConversion"/>
  </si>
  <si>
    <t>（3）企业合并增加</t>
    <phoneticPr fontId="2" type="noConversion"/>
  </si>
  <si>
    <t>(4)无形资产转入</t>
    <phoneticPr fontId="2" type="noConversion"/>
  </si>
  <si>
    <t>(5)对类别进行调整</t>
    <phoneticPr fontId="2" type="noConversion"/>
  </si>
  <si>
    <t>3.本期减少金额</t>
    <phoneticPr fontId="2" type="noConversion"/>
  </si>
  <si>
    <t>（1）处置或报废</t>
    <phoneticPr fontId="2" type="noConversion"/>
  </si>
  <si>
    <t>（2）改扩建转在建工程</t>
    <phoneticPr fontId="2" type="noConversion"/>
  </si>
  <si>
    <t>（3）转入无形资产</t>
    <phoneticPr fontId="2" type="noConversion"/>
  </si>
  <si>
    <t>4.期末余额</t>
    <phoneticPr fontId="2" type="noConversion"/>
  </si>
  <si>
    <t>二、累计折旧</t>
    <phoneticPr fontId="2" type="noConversion"/>
  </si>
  <si>
    <t>（1）计提</t>
    <phoneticPr fontId="2" type="noConversion"/>
  </si>
  <si>
    <t>（2）无形资产转入</t>
    <phoneticPr fontId="2" type="noConversion"/>
  </si>
  <si>
    <t>（3）对类别进行调整</t>
    <phoneticPr fontId="2" type="noConversion"/>
  </si>
  <si>
    <t>（4）汇率变动</t>
    <phoneticPr fontId="2" type="noConversion"/>
  </si>
  <si>
    <t>(2)改扩建转在建工程</t>
    <phoneticPr fontId="2" type="noConversion"/>
  </si>
  <si>
    <t>(3)转入无形资产</t>
    <phoneticPr fontId="2" type="noConversion"/>
  </si>
  <si>
    <t>三、减值准备</t>
    <phoneticPr fontId="2" type="noConversion"/>
  </si>
  <si>
    <t>四、账面价值</t>
    <phoneticPr fontId="2" type="noConversion"/>
  </si>
  <si>
    <t>1.期末账面价值</t>
    <phoneticPr fontId="2" type="noConversion"/>
  </si>
  <si>
    <t>2.期初账面价值</t>
    <phoneticPr fontId="2" type="noConversion"/>
  </si>
  <si>
    <t>房屋及建筑物</t>
    <phoneticPr fontId="2" type="noConversion"/>
  </si>
  <si>
    <t>小计</t>
    <phoneticPr fontId="2" type="noConversion"/>
  </si>
  <si>
    <t>(6)汇率变动</t>
    <phoneticPr fontId="2" type="noConversion"/>
  </si>
  <si>
    <t>期末余额</t>
  </si>
  <si>
    <t>期初余额</t>
  </si>
  <si>
    <t>预算数</t>
  </si>
  <si>
    <t>项目名称</t>
    <phoneticPr fontId="2" type="noConversion"/>
  </si>
  <si>
    <t>本期增加金额</t>
    <phoneticPr fontId="2" type="noConversion"/>
  </si>
  <si>
    <t>本期转入固定资产金额</t>
    <phoneticPr fontId="2" type="noConversion"/>
  </si>
  <si>
    <t>本期其他减少金额</t>
    <phoneticPr fontId="2" type="noConversion"/>
  </si>
  <si>
    <t>工程累计投入占预算比例</t>
    <phoneticPr fontId="2" type="noConversion"/>
  </si>
  <si>
    <t>工程进度</t>
    <phoneticPr fontId="2" type="noConversion"/>
  </si>
  <si>
    <t>利息资本化累计金额</t>
    <phoneticPr fontId="2" type="noConversion"/>
  </si>
  <si>
    <t>其中：本期利息资本化金额</t>
    <phoneticPr fontId="2" type="noConversion"/>
  </si>
  <si>
    <t>本期利息资本化率</t>
    <phoneticPr fontId="2" type="noConversion"/>
  </si>
  <si>
    <t>资金来源</t>
    <phoneticPr fontId="2" type="noConversion"/>
  </si>
  <si>
    <t>泸州老窖酿酒工程技改项目</t>
    <phoneticPr fontId="2" type="noConversion"/>
  </si>
  <si>
    <t>泸州老窖生产配套提升技改项目</t>
    <phoneticPr fontId="2" type="noConversion"/>
  </si>
  <si>
    <t>泸州老窖营销网络指挥中心办公区域改扩建</t>
    <phoneticPr fontId="2" type="noConversion"/>
  </si>
  <si>
    <t>固态法白酒智能化生产车间新模式应用项目</t>
    <phoneticPr fontId="2" type="noConversion"/>
  </si>
  <si>
    <t>智能化包装中心技改项目</t>
    <phoneticPr fontId="2" type="noConversion"/>
  </si>
  <si>
    <t>国窖文化公园乾坤酒堡文旅项目</t>
    <phoneticPr fontId="2" type="noConversion"/>
  </si>
  <si>
    <t>合计</t>
    <phoneticPr fontId="2" type="noConversion"/>
  </si>
  <si>
    <t>其他零星工程</t>
    <phoneticPr fontId="2" type="noConversion"/>
  </si>
  <si>
    <t>期初固定资产</t>
    <phoneticPr fontId="2" type="noConversion"/>
  </si>
  <si>
    <t>2021E</t>
    <phoneticPr fontId="2" type="noConversion"/>
  </si>
  <si>
    <t>2024E</t>
  </si>
  <si>
    <t>2025E</t>
  </si>
  <si>
    <t>期初在建工程</t>
    <phoneticPr fontId="2" type="noConversion"/>
  </si>
  <si>
    <t>新增在建工程</t>
    <phoneticPr fontId="2" type="noConversion"/>
  </si>
  <si>
    <t>转入固定资产</t>
    <phoneticPr fontId="2" type="noConversion"/>
  </si>
  <si>
    <t>期末在建工程</t>
    <phoneticPr fontId="2" type="noConversion"/>
  </si>
  <si>
    <t>募股资金+自筹</t>
    <phoneticPr fontId="2" type="noConversion"/>
  </si>
  <si>
    <t>(1)</t>
    <phoneticPr fontId="2" type="noConversion"/>
  </si>
  <si>
    <t>(2)</t>
  </si>
  <si>
    <t>(3)</t>
  </si>
  <si>
    <t>(4)</t>
  </si>
  <si>
    <t>(5)</t>
  </si>
  <si>
    <t>(6)</t>
  </si>
  <si>
    <t>进度</t>
    <phoneticPr fontId="2" type="noConversion"/>
  </si>
  <si>
    <t>期末固定资产</t>
    <phoneticPr fontId="2" type="noConversion"/>
  </si>
  <si>
    <t>期末-期初在建工程</t>
    <phoneticPr fontId="2" type="noConversion"/>
  </si>
  <si>
    <t>期末-期初固定资产</t>
    <phoneticPr fontId="2" type="noConversion"/>
  </si>
  <si>
    <t>当期计提折旧</t>
    <phoneticPr fontId="2" type="noConversion"/>
  </si>
  <si>
    <t>土地使用权</t>
  </si>
  <si>
    <t>专利权</t>
  </si>
  <si>
    <t>非专利技术</t>
  </si>
  <si>
    <t>软件</t>
  </si>
  <si>
    <t>商标使用权</t>
  </si>
  <si>
    <t>一、账面原值</t>
    <phoneticPr fontId="2" type="noConversion"/>
  </si>
  <si>
    <t>二、累计摊销</t>
    <phoneticPr fontId="2" type="noConversion"/>
  </si>
  <si>
    <t>（2）内部研发</t>
    <phoneticPr fontId="2" type="noConversion"/>
  </si>
  <si>
    <t>（4）在建工程转入</t>
    <phoneticPr fontId="2" type="noConversion"/>
  </si>
  <si>
    <t>（5）固定资产转入</t>
    <phoneticPr fontId="2" type="noConversion"/>
  </si>
  <si>
    <t>（1）处置</t>
    <phoneticPr fontId="2" type="noConversion"/>
  </si>
  <si>
    <t>（2）转入固定资产</t>
    <phoneticPr fontId="2" type="noConversion"/>
  </si>
  <si>
    <t>（2）固定资产转入</t>
    <phoneticPr fontId="2" type="noConversion"/>
  </si>
  <si>
    <t>第一年预测</t>
  </si>
  <si>
    <t>第二年预测</t>
  </si>
  <si>
    <t>第三年预测</t>
  </si>
  <si>
    <t>1.情形设置</t>
  </si>
  <si>
    <t>3.压测结果</t>
  </si>
  <si>
    <t>2.关键假设</t>
  </si>
  <si>
    <t>现金流量表假设</t>
  </si>
  <si>
    <t>损益表假设</t>
  </si>
  <si>
    <t>利润表(单位：元)</t>
  </si>
  <si>
    <t>资产负债表(单位：元)</t>
  </si>
  <si>
    <t>现金流量表(单位：元)</t>
  </si>
  <si>
    <t>财务附注数据(单位：元)</t>
  </si>
  <si>
    <t>港元</t>
  </si>
  <si>
    <t>经纪</t>
  </si>
  <si>
    <t>投行</t>
  </si>
  <si>
    <t>资管</t>
  </si>
  <si>
    <t>港股总体成交量</t>
  </si>
  <si>
    <t>公司市占率</t>
  </si>
  <si>
    <t>港股交易手续费</t>
  </si>
  <si>
    <t>港股交易费率</t>
  </si>
  <si>
    <t>美股平均交易量</t>
  </si>
  <si>
    <t>美股交易费率</t>
  </si>
  <si>
    <t>美股交易手续费</t>
  </si>
  <si>
    <t>代销收入</t>
  </si>
  <si>
    <t>代销经理人数</t>
  </si>
  <si>
    <t>孖展融资借款规模</t>
  </si>
  <si>
    <t>孖展融资利息收入</t>
  </si>
  <si>
    <t>新股融资借款规模</t>
  </si>
  <si>
    <t>新股融资利息收入</t>
  </si>
  <si>
    <t>客户资金存款</t>
  </si>
  <si>
    <t>自有资金存款</t>
  </si>
  <si>
    <t>存款利息收入</t>
  </si>
  <si>
    <t>其它收入（托管、存款、派息）</t>
  </si>
  <si>
    <t>保荐规模</t>
  </si>
  <si>
    <t>股类承销规模</t>
  </si>
  <si>
    <t>债类财务顾问个数</t>
  </si>
  <si>
    <t>债类承销项目个数</t>
  </si>
  <si>
    <t>股类财务顾问项目个数</t>
  </si>
  <si>
    <t>ECM佣金收入</t>
  </si>
  <si>
    <t>DCM佣金收入</t>
  </si>
  <si>
    <t>项目1</t>
  </si>
  <si>
    <t>AUM</t>
  </si>
  <si>
    <t>Fee Rate</t>
  </si>
  <si>
    <t>Income</t>
  </si>
  <si>
    <t>资产负债表假设 同上一年</t>
  </si>
  <si>
    <t>资产预测假设 为前三年均值</t>
  </si>
  <si>
    <t>销售预测</t>
  </si>
  <si>
    <t>周转天数</t>
  </si>
  <si>
    <t>应收账款</t>
  </si>
  <si>
    <t>合同资产</t>
  </si>
  <si>
    <t>应付账款</t>
  </si>
  <si>
    <t>合同负债</t>
  </si>
  <si>
    <t>应付职工薪酬</t>
  </si>
  <si>
    <t>应交税费</t>
  </si>
  <si>
    <t>备注</t>
  </si>
  <si>
    <t>/销货成本（%）</t>
  </si>
  <si>
    <t>/销售收入（%）</t>
  </si>
  <si>
    <t>/销售成本（%）</t>
  </si>
  <si>
    <t>/销货收入（%）</t>
  </si>
  <si>
    <t>1Q23</t>
  </si>
  <si>
    <t>1.业务情形</t>
  </si>
  <si>
    <t>孖展规模变化为原来的</t>
  </si>
  <si>
    <t>2.收入情形</t>
  </si>
  <si>
    <t>投行收入变化为原来的</t>
  </si>
  <si>
    <t>资管收入变化为原来的</t>
  </si>
  <si>
    <t>3.利率情形</t>
  </si>
  <si>
    <t>孖展规模</t>
  </si>
  <si>
    <t>投行收入</t>
  </si>
  <si>
    <t>资管收入</t>
  </si>
  <si>
    <t>存款平均利率</t>
  </si>
  <si>
    <t>平均存款利率</t>
  </si>
  <si>
    <t>孖展融资利率</t>
  </si>
  <si>
    <t>新股融资利率</t>
  </si>
  <si>
    <t>人均产能</t>
  </si>
  <si>
    <t>经纪收入变化为原来的</t>
  </si>
  <si>
    <t>较正常情形改变的倍数</t>
  </si>
  <si>
    <t>平均存款利率变化（bp）</t>
  </si>
  <si>
    <t>对应的平均存款利率</t>
  </si>
  <si>
    <t>0.初始化（正常情形，将所有风险因子还原至初始假设）</t>
  </si>
  <si>
    <t>净敞口套期收益（损失以“-”号填列）</t>
  </si>
  <si>
    <t>信用减值损益（损失以“-”号填列）</t>
  </si>
  <si>
    <t>销售收入小计</t>
  </si>
  <si>
    <t>销售成本小计</t>
  </si>
  <si>
    <t>税金及附加/营业收入</t>
  </si>
  <si>
    <t>销售费用/营业收入</t>
  </si>
  <si>
    <t>管理费用/营业收入</t>
  </si>
  <si>
    <t>研发费用/营业收入</t>
  </si>
  <si>
    <t>其他收益/营业收入</t>
  </si>
  <si>
    <t>投资收益/营业收入</t>
  </si>
  <si>
    <t>资产处置收益/营业收入</t>
  </si>
  <si>
    <t>营业外支出</t>
  </si>
  <si>
    <t xml:space="preserve">   所得税税率</t>
  </si>
  <si>
    <t>少数股东损益/净利润</t>
  </si>
  <si>
    <t>一年内到期的非流动资产</t>
  </si>
  <si>
    <t>其他债权投资</t>
  </si>
  <si>
    <t>其他非流动金融资产</t>
  </si>
  <si>
    <t>生产性生物资产</t>
  </si>
  <si>
    <t>油气资产</t>
  </si>
  <si>
    <t>递延所得税资产</t>
  </si>
  <si>
    <t>其他非流动资产</t>
  </si>
  <si>
    <t>一年内到期的非流动负债</t>
  </si>
  <si>
    <t>递延所得税负债</t>
  </si>
  <si>
    <t>其他非流动负债</t>
  </si>
  <si>
    <t>其他权益工具</t>
  </si>
  <si>
    <t>其他综合收益</t>
  </si>
  <si>
    <t>专项储备</t>
  </si>
  <si>
    <t>外币报表折算差额</t>
  </si>
  <si>
    <t>占位符</t>
  </si>
  <si>
    <t>成本</t>
  </si>
  <si>
    <t>员工薪酬</t>
  </si>
  <si>
    <t>其中：固定人力</t>
  </si>
  <si>
    <t>变动人力</t>
  </si>
  <si>
    <t>职场费用</t>
  </si>
  <si>
    <t>IT费用</t>
  </si>
  <si>
    <t>业务费用</t>
  </si>
  <si>
    <t>日常费用</t>
  </si>
  <si>
    <t>交易所会员费</t>
  </si>
  <si>
    <t>速动资金</t>
  </si>
  <si>
    <t>本工作簿用于流动性压力测试</t>
  </si>
  <si>
    <t>-</t>
  </si>
  <si>
    <t>情形名称</t>
  </si>
  <si>
    <t>正常情形</t>
  </si>
  <si>
    <r>
      <t xml:space="preserve">3.修改压力测试假设 </t>
    </r>
    <r>
      <rPr>
        <b/>
        <sz val="12"/>
        <rFont val="宋体"/>
        <charset val="134"/>
      </rPr>
      <t>只需</t>
    </r>
    <r>
      <rPr>
        <sz val="12"/>
        <rFont val="宋体"/>
        <charset val="134"/>
      </rPr>
      <t xml:space="preserve"> 修改</t>
    </r>
    <r>
      <rPr>
        <b/>
        <sz val="12"/>
        <rFont val="宋体"/>
        <charset val="134"/>
      </rPr>
      <t xml:space="preserve">“压力测试”工作表 </t>
    </r>
    <r>
      <rPr>
        <sz val="12"/>
        <rFont val="宋体"/>
        <charset val="134"/>
      </rPr>
      <t>中的黄色高亮部分</t>
    </r>
  </si>
  <si>
    <r>
      <t>2.</t>
    </r>
    <r>
      <rPr>
        <b/>
        <sz val="12"/>
        <rFont val="宋体"/>
        <charset val="134"/>
      </rPr>
      <t>不要</t>
    </r>
    <r>
      <rPr>
        <sz val="12"/>
        <rFont val="宋体"/>
        <charset val="134"/>
      </rPr>
      <t>修改所有的</t>
    </r>
    <r>
      <rPr>
        <b/>
        <sz val="12"/>
        <rFont val="宋体"/>
        <charset val="134"/>
      </rPr>
      <t>绿色工作表</t>
    </r>
  </si>
  <si>
    <t>5.若需保存“压力测试”工作表的结果及假设至“压力测试 日志”工作表，点击“压力测试”工作表中的【将压测结果
追加至
“压力测试 日志”Sheet】按钮</t>
  </si>
  <si>
    <t>1.在蓝色工作表中填入对应的财务数据，若公司本期无对应项目数据，则不填</t>
  </si>
  <si>
    <t>4.修改后数据自动更新，单次压力测试结果及相关假设在“压力测试”工作表的“3.压测结果”下面显示</t>
  </si>
  <si>
    <t>6.【初始】按钮用于重置“压力测试 日志”（删除所有记录，并重新保存正常情形的结果记录）</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</si>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</sst>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 * #,##0.00_ ;_ * \-#,##0.00_ ;_ * &quot;-&quot;??_ ;_ @_ "/>
    <numFmt numFmtId="165" formatCode="#,##0.00_ ;[Red]\-#,##0.00\ "/>
    <numFmt numFmtId="166" formatCode="#,##0.000_ ;[Red]\-#,##0.000\ "/>
    <numFmt numFmtId="167" formatCode="0.00_ "/>
    <numFmt numFmtId="168" formatCode="0.0%"/>
    <numFmt numFmtId="169" formatCode="#,##0.0_ ;[Red]\-#,##0.0\ "/>
    <numFmt numFmtId="170" formatCode="0.00_ ;[Red]\-0.00\ "/>
    <numFmt numFmtId="171" formatCode="#,##0.0_);\(#,##0.0\)"/>
    <numFmt numFmtId="172" formatCode="&quot;$&quot;#,##0.0_);[Red]\(&quot;$&quot;#,##0.0\)"/>
    <numFmt numFmtId="173" formatCode="#,##0.00_ "/>
    <numFmt numFmtId="174" formatCode="0.0_ ;[Red]\-0.0\ "/>
    <numFmt numFmtId="175" formatCode="0&quot;E&quot;"/>
    <numFmt numFmtId="176" formatCode="0\F"/>
    <numFmt numFmtId="177" formatCode="0.000000_ "/>
    <numFmt numFmtId="178" formatCode="0.000_ ;[Red]\-0.000\ "/>
    <numFmt numFmtId="179" formatCode="#,##0;[Red]\(#,##0\)"/>
    <numFmt numFmtId="180" formatCode="#,##0.0_);[Red]\(#,##0.0\)"/>
    <numFmt numFmtId="182" formatCode="_(* #,##0.00_);_(* \(#,##0.00\);_(* &quot;-&quot;??_);_(@_)"/>
    <numFmt numFmtId="183" formatCode="#,##0.0000_ "/>
    <numFmt numFmtId="184" formatCode="0.000"/>
    <numFmt numFmtId="185" formatCode="#,##0.0000000000_ "/>
    <numFmt numFmtId="186" formatCode="0.000%"/>
    <numFmt numFmtId="187" formatCode="\+#,##0;\-#,##0"/>
  </numFmts>
  <fonts count="182">
    <font>
      <sz val="12"/>
      <name val="宋体"/>
      <charset val="134"/>
    </font>
    <font>
      <sz val="12"/>
      <name val="宋体"/>
      <charset val="134"/>
    </font>
    <font>
      <sz val="9"/>
      <name val="宋体"/>
      <charset val="134"/>
    </font>
    <font>
      <sz val="10"/>
      <name val="Arial"/>
      <family val="2"/>
    </font>
    <font>
      <b/>
      <sz val="10"/>
      <name val="Arial"/>
      <family val="2"/>
    </font>
    <font>
      <sz val="9"/>
      <name val="arial"/>
      <family val="2"/>
    </font>
    <font>
      <sz val="10"/>
      <name val="宋体"/>
      <charset val="134"/>
    </font>
    <font>
      <sz val="10.5"/>
      <name val="Arial"/>
      <family val="2"/>
    </font>
    <font>
      <sz val="10.5"/>
      <name val="楷体_GB2312"/>
      <family val="3"/>
      <charset val="134"/>
    </font>
    <font>
      <sz val="10.5"/>
      <name val="宋体"/>
      <charset val="134"/>
    </font>
    <font>
      <b/>
      <sz val="10.5"/>
      <name val="楷体_GB2312"/>
      <family val="3"/>
      <charset val="134"/>
    </font>
    <font>
      <i/>
      <sz val="10.5"/>
      <name val="Arial"/>
      <family val="2"/>
    </font>
    <font>
      <b/>
      <sz val="10.5"/>
      <color indexed="9"/>
      <name val="幼圆"/>
      <family val="3"/>
      <charset val="134"/>
    </font>
    <font>
      <b/>
      <sz val="10.5"/>
      <color indexed="9"/>
      <name val="Arial"/>
      <family val="2"/>
    </font>
    <font>
      <sz val="10.5"/>
      <color indexed="9"/>
      <name val="Arial"/>
      <family val="2"/>
    </font>
    <font>
      <b/>
      <sz val="10.5"/>
      <name val="Arial"/>
      <family val="2"/>
    </font>
    <font>
      <b/>
      <sz val="10.5"/>
      <name val="宋体"/>
      <charset val="134"/>
    </font>
    <font>
      <sz val="10.5"/>
      <name val="幼圆"/>
      <family val="3"/>
      <charset val="134"/>
    </font>
    <font>
      <sz val="10.5"/>
      <color indexed="12"/>
      <name val="Arial"/>
      <family val="2"/>
    </font>
    <font>
      <sz val="10.5"/>
      <name val="Times New Roman"/>
      <family val="1"/>
    </font>
    <font>
      <sz val="12"/>
      <color indexed="9"/>
      <name val="宋体"/>
      <charset val="134"/>
    </font>
    <font>
      <b/>
      <sz val="10.5"/>
      <color indexed="12"/>
      <name val="Arial"/>
      <family val="2"/>
    </font>
    <font>
      <b/>
      <sz val="10.5"/>
      <color indexed="10"/>
      <name val="Arial"/>
      <family val="2"/>
    </font>
    <font>
      <i/>
      <sz val="10"/>
      <name val="宋体"/>
      <charset val="134"/>
    </font>
    <font>
      <b/>
      <i/>
      <u/>
      <sz val="10.5"/>
      <name val="宋体"/>
      <charset val="134"/>
    </font>
    <font>
      <sz val="10.5"/>
      <color indexed="10"/>
      <name val="Arial"/>
      <family val="2"/>
    </font>
    <font>
      <b/>
      <sz val="10.5"/>
      <color indexed="9"/>
      <name val="宋体"/>
      <charset val="134"/>
    </font>
    <font>
      <i/>
      <sz val="10.5"/>
      <name val="宋体"/>
      <charset val="134"/>
    </font>
    <font>
      <b/>
      <i/>
      <sz val="10.5"/>
      <name val="宋体"/>
      <charset val="134"/>
    </font>
    <font>
      <b/>
      <i/>
      <sz val="10.5"/>
      <name val="Arial"/>
      <family val="2"/>
    </font>
    <font>
      <i/>
      <sz val="10.5"/>
      <color indexed="12"/>
      <name val="Arial"/>
      <family val="2"/>
    </font>
    <font>
      <sz val="10.5"/>
      <color indexed="8"/>
      <name val="宋体"/>
      <charset val="134"/>
    </font>
    <font>
      <sz val="10.5"/>
      <color indexed="8"/>
      <name val="Arial"/>
      <family val="2"/>
    </font>
    <font>
      <b/>
      <sz val="10.5"/>
      <color indexed="12"/>
      <name val="宋体"/>
      <charset val="134"/>
    </font>
    <font>
      <b/>
      <sz val="9"/>
      <color indexed="81"/>
      <name val="宋体"/>
      <charset val="134"/>
    </font>
    <font>
      <sz val="9"/>
      <color indexed="81"/>
      <name val="宋体"/>
      <charset val="134"/>
    </font>
    <font>
      <i/>
      <sz val="10.5"/>
      <color indexed="12"/>
      <name val="宋体"/>
      <charset val="134"/>
    </font>
    <font>
      <i/>
      <sz val="10.5"/>
      <color indexed="8"/>
      <name val="Arial"/>
      <family val="2"/>
    </font>
    <font>
      <i/>
      <sz val="10.5"/>
      <name val="Times New Roman"/>
      <family val="1"/>
    </font>
    <font>
      <i/>
      <sz val="10.5"/>
      <color indexed="10"/>
      <name val="宋体"/>
      <charset val="134"/>
    </font>
    <font>
      <u/>
      <sz val="12"/>
      <color indexed="12"/>
      <name val="宋体"/>
      <charset val="134"/>
    </font>
    <font>
      <sz val="7"/>
      <name val="Arial"/>
      <family val="2"/>
    </font>
    <font>
      <b/>
      <sz val="9"/>
      <name val="Arial"/>
      <family val="2"/>
    </font>
    <font>
      <sz val="9"/>
      <color indexed="12"/>
      <name val="Arial"/>
      <family val="2"/>
    </font>
    <font>
      <i/>
      <sz val="9"/>
      <name val="Arial"/>
      <family val="2"/>
    </font>
    <font>
      <sz val="9"/>
      <color indexed="62"/>
      <name val="Arial"/>
      <family val="2"/>
    </font>
    <font>
      <i/>
      <sz val="9"/>
      <color indexed="62"/>
      <name val="Arial"/>
      <family val="2"/>
    </font>
    <font>
      <sz val="12"/>
      <name val="Times New Roman"/>
      <family val="1"/>
    </font>
    <font>
      <b/>
      <sz val="8"/>
      <name val="Arial"/>
      <family val="2"/>
    </font>
    <font>
      <sz val="8"/>
      <color indexed="8"/>
      <name val="Arial"/>
      <family val="2"/>
    </font>
    <font>
      <sz val="9"/>
      <color indexed="81"/>
      <name val="Tahoma"/>
      <family val="2"/>
    </font>
    <font>
      <sz val="10.5"/>
      <name val="宋体"/>
      <charset val="134"/>
    </font>
    <font>
      <sz val="12"/>
      <name val="宋体"/>
      <charset val="134"/>
    </font>
    <font>
      <sz val="10.5"/>
      <name val="宋体"/>
      <charset val="134"/>
    </font>
    <font>
      <b/>
      <sz val="9"/>
      <name val="宋体"/>
      <charset val="134"/>
    </font>
    <font>
      <sz val="9"/>
      <name val="Times New Roman"/>
      <family val="1"/>
    </font>
    <font>
      <b/>
      <sz val="10.5"/>
      <color indexed="10"/>
      <name val="宋体"/>
      <charset val="134"/>
    </font>
    <font>
      <sz val="12"/>
      <color indexed="10"/>
      <name val="宋体"/>
      <charset val="134"/>
    </font>
    <font>
      <i/>
      <sz val="10.5"/>
      <color indexed="12"/>
      <name val="Arial"/>
      <family val="2"/>
    </font>
    <font>
      <b/>
      <vertAlign val="subscript"/>
      <sz val="10"/>
      <name val="Bookman"/>
      <family val="1"/>
    </font>
    <font>
      <vertAlign val="subscript"/>
      <sz val="10"/>
      <name val="Arial"/>
      <family val="2"/>
    </font>
    <font>
      <u/>
      <sz val="9"/>
      <color indexed="12"/>
      <name val="Arial"/>
      <family val="2"/>
    </font>
    <font>
      <sz val="9"/>
      <color indexed="12"/>
      <name val="宋体"/>
      <charset val="134"/>
    </font>
    <font>
      <sz val="12"/>
      <name val="Arial"/>
      <family val="2"/>
    </font>
    <font>
      <sz val="10"/>
      <color indexed="12"/>
      <name val="Arial"/>
      <family val="2"/>
    </font>
    <font>
      <u/>
      <sz val="9"/>
      <color indexed="48"/>
      <name val="宋体"/>
      <charset val="134"/>
    </font>
    <font>
      <b/>
      <sz val="12"/>
      <name val="幼圆"/>
      <family val="3"/>
      <charset val="134"/>
    </font>
    <font>
      <b/>
      <sz val="12"/>
      <color indexed="9"/>
      <name val="Arial"/>
      <family val="2"/>
    </font>
    <font>
      <sz val="10.5"/>
      <name val="Arial Unicode MS"/>
      <family val="2"/>
    </font>
    <font>
      <sz val="10.5"/>
      <name val="宋体"/>
      <charset val="134"/>
    </font>
    <font>
      <sz val="12"/>
      <name val="宋体"/>
      <charset val="134"/>
    </font>
    <font>
      <sz val="9"/>
      <name val="LucidaSans"/>
      <family val="2"/>
    </font>
    <font>
      <sz val="10"/>
      <name val="MS Sans Serif"/>
      <family val="2"/>
    </font>
    <font>
      <sz val="12"/>
      <name val="宋体"/>
      <charset val="134"/>
    </font>
    <font>
      <u/>
      <sz val="12"/>
      <color indexed="12"/>
      <name val="宋体"/>
      <charset val="134"/>
    </font>
    <font>
      <sz val="10.5"/>
      <name val="宋体"/>
      <charset val="134"/>
    </font>
    <font>
      <b/>
      <sz val="10.5"/>
      <name val="宋体"/>
      <charset val="134"/>
    </font>
    <font>
      <i/>
      <sz val="10.5"/>
      <name val="宋体"/>
      <charset val="134"/>
    </font>
    <font>
      <sz val="10.5"/>
      <name val="宋体"/>
      <charset val="134"/>
    </font>
    <font>
      <sz val="10.5"/>
      <name val="宋体"/>
      <charset val="134"/>
    </font>
    <font>
      <b/>
      <sz val="10.5"/>
      <name val="宋体"/>
      <charset val="134"/>
    </font>
    <font>
      <sz val="10.5"/>
      <name val="宋体"/>
      <charset val="134"/>
    </font>
    <font>
      <sz val="12"/>
      <name val="宋体"/>
      <charset val="134"/>
    </font>
    <font>
      <sz val="10.5"/>
      <name val="宋体"/>
      <charset val="134"/>
    </font>
    <font>
      <sz val="10.5"/>
      <name val="宋体"/>
      <charset val="134"/>
    </font>
    <font>
      <sz val="12"/>
      <name val="宋体"/>
      <charset val="134"/>
    </font>
    <font>
      <sz val="10.5"/>
      <name val="宋体"/>
      <charset val="134"/>
    </font>
    <font>
      <sz val="9"/>
      <name val="arial"/>
      <family val="2"/>
    </font>
    <font>
      <sz val="12"/>
      <name val="宋体"/>
      <charset val="134"/>
    </font>
    <font>
      <sz val="8"/>
      <name val="Arial"/>
      <family val="2"/>
    </font>
    <font>
      <b/>
      <sz val="8"/>
      <color indexed="10"/>
      <name val="宋体"/>
      <charset val="134"/>
    </font>
    <font>
      <b/>
      <sz val="11"/>
      <color indexed="9"/>
      <name val="Arial"/>
      <family val="2"/>
    </font>
    <font>
      <b/>
      <sz val="11"/>
      <name val="Arial"/>
      <family val="2"/>
    </font>
    <font>
      <b/>
      <i/>
      <sz val="11"/>
      <color indexed="62"/>
      <name val="Arial"/>
      <family val="2"/>
    </font>
    <font>
      <b/>
      <sz val="11"/>
      <color indexed="62"/>
      <name val="Arial"/>
      <family val="2"/>
    </font>
    <font>
      <b/>
      <sz val="11"/>
      <color indexed="12"/>
      <name val="Arial"/>
      <family val="2"/>
    </font>
    <font>
      <b/>
      <i/>
      <sz val="11"/>
      <name val="Arial"/>
      <family val="2"/>
    </font>
    <font>
      <sz val="9"/>
      <name val="微软雅黑"/>
      <family val="2"/>
      <charset val="134"/>
    </font>
    <font>
      <sz val="10.5"/>
      <name val="宋体"/>
      <charset val="134"/>
    </font>
    <font>
      <i/>
      <sz val="10.5"/>
      <name val="宋体"/>
      <charset val="134"/>
    </font>
    <font>
      <sz val="10.5"/>
      <name val="宋体"/>
      <charset val="134"/>
    </font>
    <font>
      <i/>
      <sz val="10.5"/>
      <color indexed="12"/>
      <name val="宋体"/>
      <charset val="134"/>
    </font>
    <font>
      <sz val="10.5"/>
      <color indexed="12"/>
      <name val="宋体"/>
      <charset val="134"/>
    </font>
    <font>
      <sz val="12"/>
      <name val="宋体"/>
      <charset val="134"/>
    </font>
    <font>
      <sz val="10.5"/>
      <name val="宋体"/>
      <charset val="134"/>
    </font>
    <font>
      <sz val="10.5"/>
      <name val="宋体"/>
      <charset val="134"/>
    </font>
    <font>
      <sz val="10.5"/>
      <name val="宋体"/>
      <charset val="134"/>
    </font>
    <font>
      <b/>
      <sz val="12"/>
      <name val="宋体"/>
      <charset val="134"/>
    </font>
    <font>
      <sz val="10.5"/>
      <name val="宋体"/>
      <charset val="134"/>
    </font>
    <font>
      <i/>
      <sz val="10.5"/>
      <name val="宋体"/>
      <charset val="134"/>
    </font>
    <font>
      <sz val="10.5"/>
      <name val="宋体"/>
      <charset val="134"/>
    </font>
    <font>
      <sz val="10.5"/>
      <name val="宋体"/>
      <charset val="134"/>
    </font>
    <font>
      <sz val="10.5"/>
      <name val="宋体"/>
      <charset val="134"/>
    </font>
    <font>
      <sz val="10.5"/>
      <name val="宋体"/>
      <charset val="134"/>
    </font>
    <font>
      <sz val="10.5"/>
      <name val="宋体"/>
      <charset val="134"/>
    </font>
    <font>
      <i/>
      <sz val="10.5"/>
      <name val="宋体"/>
      <charset val="134"/>
    </font>
    <font>
      <sz val="14"/>
      <name val="Arial"/>
      <family val="2"/>
    </font>
    <font>
      <sz val="10.5"/>
      <name val="宋体"/>
      <charset val="134"/>
    </font>
    <font>
      <u/>
      <sz val="9"/>
      <color indexed="48"/>
      <name val="宋体"/>
      <charset val="134"/>
    </font>
    <font>
      <sz val="9"/>
      <name val="宋体"/>
      <charset val="134"/>
    </font>
    <font>
      <u/>
      <sz val="9"/>
      <color indexed="48"/>
      <name val="宋体"/>
      <charset val="134"/>
    </font>
    <font>
      <b/>
      <sz val="10.5"/>
      <name val="宋体"/>
      <charset val="134"/>
    </font>
    <font>
      <sz val="10.5"/>
      <name val="宋体"/>
      <charset val="134"/>
    </font>
    <font>
      <sz val="9"/>
      <name val="宋体"/>
      <charset val="134"/>
    </font>
    <font>
      <u/>
      <sz val="10"/>
      <color indexed="12"/>
      <name val="宋体"/>
      <charset val="134"/>
    </font>
    <font>
      <b/>
      <sz val="10"/>
      <name val="宋体"/>
      <charset val="134"/>
    </font>
    <font>
      <b/>
      <sz val="10.5"/>
      <name val="宋体"/>
      <charset val="134"/>
    </font>
    <font>
      <i/>
      <sz val="10.5"/>
      <name val="宋体"/>
      <charset val="134"/>
    </font>
    <font>
      <sz val="10.5"/>
      <name val="Times New Roman"/>
      <family val="1"/>
    </font>
    <font>
      <sz val="10.5"/>
      <name val="Times New Roman"/>
      <family val="1"/>
    </font>
    <font>
      <sz val="10.5"/>
      <name val="Times New Roman"/>
      <family val="1"/>
    </font>
    <font>
      <sz val="10.5"/>
      <name val="宋体"/>
      <charset val="134"/>
    </font>
    <font>
      <sz val="10.5"/>
      <name val="宋体"/>
      <charset val="134"/>
    </font>
    <font>
      <sz val="10.5"/>
      <name val="宋体"/>
      <charset val="134"/>
    </font>
    <font>
      <i/>
      <sz val="10.5"/>
      <name val="宋体"/>
      <charset val="134"/>
    </font>
    <font>
      <b/>
      <sz val="10.5"/>
      <name val="宋体"/>
      <charset val="134"/>
    </font>
    <font>
      <sz val="10"/>
      <name val="Helvetica"/>
      <family val="2"/>
    </font>
    <font>
      <sz val="8"/>
      <name val="宋体"/>
      <charset val="134"/>
    </font>
    <font>
      <b/>
      <sz val="9"/>
      <color theme="0"/>
      <name val="宋体"/>
      <charset val="134"/>
    </font>
    <font>
      <b/>
      <sz val="9"/>
      <color theme="0"/>
      <name val="Times New Roman"/>
      <family val="1"/>
    </font>
    <font>
      <sz val="9"/>
      <color theme="0"/>
      <name val="宋体"/>
      <charset val="134"/>
    </font>
    <font>
      <sz val="10.5"/>
      <color theme="0"/>
      <name val="Arial"/>
      <family val="2"/>
    </font>
    <font>
      <sz val="10.5"/>
      <color theme="1"/>
      <name val="Arial"/>
      <family val="2"/>
    </font>
    <font>
      <b/>
      <sz val="9"/>
      <color rgb="FF000000"/>
      <name val="宋体"/>
      <charset val="134"/>
    </font>
    <font>
      <sz val="9"/>
      <color rgb="FF0066CC"/>
      <name val="Times New Roman"/>
      <family val="1"/>
    </font>
    <font>
      <sz val="12"/>
      <name val="宋体"/>
      <charset val="134"/>
      <scheme val="major"/>
    </font>
    <font>
      <sz val="10.5"/>
      <color rgb="FF0000FF"/>
      <name val="Arial"/>
      <family val="2"/>
    </font>
    <font>
      <i/>
      <sz val="10.5"/>
      <color rgb="FF0000FF"/>
      <name val="宋体"/>
      <charset val="134"/>
    </font>
    <font>
      <i/>
      <sz val="10.5"/>
      <color rgb="FF0000FF"/>
      <name val="Arial"/>
      <family val="2"/>
    </font>
    <font>
      <b/>
      <i/>
      <sz val="10.5"/>
      <color rgb="FF0000FF"/>
      <name val="宋体"/>
      <charset val="134"/>
    </font>
    <font>
      <b/>
      <i/>
      <sz val="10.5"/>
      <color rgb="FF0000FF"/>
      <name val="Arial"/>
      <family val="2"/>
    </font>
    <font>
      <b/>
      <sz val="10.5"/>
      <color rgb="FF0000FF"/>
      <name val="Arial"/>
      <family val="2"/>
    </font>
    <font>
      <sz val="10.5"/>
      <color theme="0" tint="-0.14999847407452621"/>
      <name val="宋体"/>
      <charset val="134"/>
    </font>
    <font>
      <sz val="10.5"/>
      <color theme="0"/>
      <name val="宋体"/>
      <charset val="134"/>
    </font>
    <font>
      <b/>
      <sz val="11"/>
      <color theme="0" tint="-0.14999847407452621"/>
      <name val="宋体"/>
      <charset val="134"/>
    </font>
    <font>
      <b/>
      <sz val="11"/>
      <color rgb="FFFFFF00"/>
      <name val="Arial"/>
      <family val="2"/>
    </font>
    <font>
      <b/>
      <sz val="11"/>
      <color theme="0"/>
      <name val="Arial"/>
      <family val="2"/>
    </font>
    <font>
      <sz val="10.5"/>
      <color rgb="FFFF0000"/>
      <name val="宋体"/>
      <charset val="134"/>
    </font>
    <font>
      <sz val="10.5"/>
      <color rgb="FFFF0000"/>
      <name val="Arial"/>
      <family val="2"/>
    </font>
    <font>
      <b/>
      <sz val="10.5"/>
      <color rgb="FFFF0000"/>
      <name val="Arial"/>
      <family val="2"/>
    </font>
    <font>
      <i/>
      <sz val="10.5"/>
      <color rgb="FFFF0000"/>
      <name val="Arial"/>
      <family val="2"/>
    </font>
    <font>
      <b/>
      <sz val="10.5"/>
      <color theme="0"/>
      <name val="宋体"/>
      <charset val="134"/>
    </font>
    <font>
      <sz val="9"/>
      <color rgb="FF333333"/>
      <name val="Microsoft YaHei"/>
      <family val="2"/>
      <charset val="134"/>
    </font>
    <font>
      <sz val="10.5"/>
      <color theme="1"/>
      <name val="宋体"/>
      <charset val="134"/>
    </font>
    <font>
      <sz val="9"/>
      <color theme="1"/>
      <name val="宋体"/>
      <charset val="134"/>
    </font>
    <font>
      <sz val="9"/>
      <color theme="1"/>
      <name val="Arial Narrow"/>
      <family val="2"/>
    </font>
    <font>
      <sz val="9"/>
      <color theme="1"/>
      <name val="微软雅黑"/>
      <family val="2"/>
      <charset val="134"/>
    </font>
    <font>
      <b/>
      <sz val="14"/>
      <color theme="0"/>
      <name val="幼圆"/>
      <family val="3"/>
      <charset val="134"/>
    </font>
    <font>
      <b/>
      <sz val="10"/>
      <color theme="0"/>
      <name val="幼圆"/>
      <family val="3"/>
      <charset val="134"/>
    </font>
    <font>
      <b/>
      <sz val="10.5"/>
      <color theme="0"/>
      <name val="幼圆"/>
      <family val="3"/>
      <charset val="134"/>
    </font>
    <font>
      <b/>
      <sz val="10"/>
      <color theme="4"/>
      <name val="宋体"/>
      <charset val="134"/>
    </font>
    <font>
      <sz val="12"/>
      <color theme="3" tint="-0.249977111117893"/>
      <name val="楷体"/>
      <family val="3"/>
      <charset val="134"/>
    </font>
    <font>
      <b/>
      <sz val="12"/>
      <color theme="3" tint="-0.249977111117893"/>
      <name val="楷体"/>
      <family val="3"/>
      <charset val="134"/>
    </font>
    <font>
      <b/>
      <sz val="10.5"/>
      <color theme="0"/>
      <name val="Arial"/>
      <family val="2"/>
    </font>
    <font>
      <i/>
      <sz val="10.5"/>
      <color theme="0"/>
      <name val="Arial"/>
      <family val="2"/>
    </font>
    <font>
      <sz val="8"/>
      <color theme="0"/>
      <name val="Arial"/>
      <family val="2"/>
    </font>
    <font>
      <i/>
      <sz val="10.5"/>
      <color theme="0"/>
      <name val="宋体"/>
      <charset val="134"/>
    </font>
    <font>
      <sz val="12"/>
      <color rgb="FFFF0000"/>
      <name val="宋体"/>
      <charset val="134"/>
    </font>
    <font>
      <i/>
      <sz val="10.5"/>
      <color rgb="FFFF0000"/>
      <name val="宋体"/>
      <charset val="134"/>
    </font>
    <font>
      <sz val="10.5"/>
      <color rgb="FF92D050"/>
      <name val="Arial"/>
      <family val="2"/>
    </font>
    <font>
      <sz val="8"/>
      <color rgb="FFFF0000"/>
      <name val="黑体"/>
      <family val="3"/>
      <charset val="134"/>
    </font>
    <font>
      <sz val="12"/>
      <color rgb="FF000000"/>
      <name val="宋体"/>
      <charset val="134"/>
    </font>
  </fonts>
  <fills count="18">
    <fill>
      <patternFill patternType="none"/>
    </fill>
    <fill>
      <patternFill patternType="gray125"/>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23"/>
        <bgColor indexed="64"/>
      </patternFill>
    </fill>
    <fill>
      <patternFill patternType="solid">
        <fgColor indexed="43"/>
        <bgColor indexed="64"/>
      </patternFill>
    </fill>
    <fill>
      <patternFill patternType="solid">
        <fgColor indexed="31"/>
        <bgColor indexed="64"/>
      </patternFill>
    </fill>
    <fill>
      <patternFill patternType="solid">
        <fgColor indexed="49"/>
        <bgColor indexed="64"/>
      </patternFill>
    </fill>
    <fill>
      <patternFill patternType="solid">
        <fgColor indexed="8"/>
        <bgColor indexed="64"/>
      </patternFill>
    </fill>
    <fill>
      <patternFill patternType="solid">
        <fgColor indexed="22"/>
        <bgColor indexed="64"/>
      </patternFill>
    </fill>
    <fill>
      <patternFill patternType="solid">
        <fgColor theme="3" tint="0.39997558519241921"/>
        <bgColor indexed="64"/>
      </patternFill>
    </fill>
    <fill>
      <patternFill patternType="solid">
        <fgColor theme="1"/>
        <bgColor indexed="64"/>
      </patternFill>
    </fill>
    <fill>
      <patternFill patternType="solid">
        <fgColor theme="0"/>
        <bgColor indexed="64"/>
      </patternFill>
    </fill>
    <fill>
      <patternFill patternType="solid">
        <fgColor rgb="FFD7E4F0"/>
        <bgColor indexed="64"/>
      </patternFill>
    </fill>
    <fill>
      <patternFill patternType="solid">
        <fgColor theme="8" tint="0.79998168889431442"/>
        <bgColor indexed="64"/>
      </patternFill>
    </fill>
    <fill>
      <patternFill patternType="solid">
        <fgColor rgb="FFFFFF99"/>
        <bgColor indexed="64"/>
      </patternFill>
    </fill>
    <fill>
      <patternFill patternType="solid">
        <fgColor rgb="FFFFFF00"/>
        <bgColor indexed="64"/>
      </patternFill>
    </fill>
  </fills>
  <borders count="45">
    <border>
      <left/>
      <right/>
      <top/>
      <bottom/>
      <diagonal/>
    </border>
    <border>
      <left/>
      <right/>
      <top style="double">
        <color indexed="64"/>
      </top>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top/>
      <bottom style="double">
        <color indexed="64"/>
      </bottom>
      <diagonal/>
    </border>
    <border>
      <left/>
      <right/>
      <top/>
      <bottom style="thin">
        <color indexed="64"/>
      </bottom>
      <diagonal/>
    </border>
    <border>
      <left style="thin">
        <color indexed="9"/>
      </left>
      <right style="thin">
        <color indexed="9"/>
      </right>
      <top/>
      <bottom/>
      <diagonal/>
    </border>
    <border>
      <left style="thin">
        <color indexed="9"/>
      </left>
      <right style="thin">
        <color indexed="9"/>
      </right>
      <top style="thin">
        <color indexed="9"/>
      </top>
      <bottom style="medium">
        <color indexed="64"/>
      </bottom>
      <diagonal/>
    </border>
    <border>
      <left style="thin">
        <color indexed="9"/>
      </left>
      <right style="thin">
        <color indexed="9"/>
      </right>
      <top style="thin">
        <color indexed="9"/>
      </top>
      <bottom/>
      <diagonal/>
    </border>
    <border>
      <left style="thin">
        <color indexed="9"/>
      </left>
      <right style="thin">
        <color indexed="9"/>
      </right>
      <top/>
      <bottom style="thin">
        <color indexed="9"/>
      </bottom>
      <diagonal/>
    </border>
    <border>
      <left/>
      <right style="thin">
        <color indexed="55"/>
      </right>
      <top/>
      <bottom style="thin">
        <color indexed="55"/>
      </bottom>
      <diagonal/>
    </border>
    <border>
      <left style="thin">
        <color indexed="9"/>
      </left>
      <right style="thin">
        <color indexed="9"/>
      </right>
      <top style="thin">
        <color indexed="9"/>
      </top>
      <bottom style="thin">
        <color indexed="9"/>
      </bottom>
      <diagonal/>
    </border>
    <border>
      <left style="double">
        <color indexed="9"/>
      </left>
      <right style="double">
        <color indexed="9"/>
      </right>
      <top/>
      <bottom style="double">
        <color indexed="9"/>
      </bottom>
      <diagonal/>
    </border>
    <border>
      <left style="medium">
        <color indexed="9"/>
      </left>
      <right style="medium">
        <color indexed="9"/>
      </right>
      <top/>
      <bottom style="medium">
        <color indexed="9"/>
      </bottom>
      <diagonal/>
    </border>
    <border>
      <left style="medium">
        <color indexed="9"/>
      </left>
      <right style="medium">
        <color indexed="9"/>
      </right>
      <top style="medium">
        <color indexed="9"/>
      </top>
      <bottom style="double">
        <color indexed="64"/>
      </bottom>
      <diagonal/>
    </border>
    <border>
      <left/>
      <right/>
      <top style="thin">
        <color indexed="64"/>
      </top>
      <bottom style="double">
        <color indexed="64"/>
      </bottom>
      <diagonal/>
    </border>
    <border>
      <left/>
      <right/>
      <top/>
      <bottom style="medium">
        <color indexed="64"/>
      </bottom>
      <diagonal/>
    </border>
    <border>
      <left style="thin">
        <color indexed="51"/>
      </left>
      <right style="thin">
        <color indexed="51"/>
      </right>
      <top style="thin">
        <color indexed="51"/>
      </top>
      <bottom style="thin">
        <color indexed="51"/>
      </bottom>
      <diagonal/>
    </border>
    <border>
      <left style="thin">
        <color indexed="9"/>
      </left>
      <right/>
      <top/>
      <bottom style="medium">
        <color indexed="64"/>
      </bottom>
      <diagonal/>
    </border>
    <border>
      <left/>
      <right/>
      <top/>
      <bottom style="thin">
        <color indexed="55"/>
      </bottom>
      <diagonal/>
    </border>
    <border>
      <left/>
      <right style="thin">
        <color indexed="9"/>
      </right>
      <top style="thin">
        <color indexed="9"/>
      </top>
      <bottom style="thin">
        <color indexed="9"/>
      </bottom>
      <diagonal/>
    </border>
    <border>
      <left/>
      <right style="thin">
        <color indexed="9"/>
      </right>
      <top style="thin">
        <color indexed="9"/>
      </top>
      <bottom/>
      <diagonal/>
    </border>
    <border diagonalDown="1">
      <left style="thin">
        <color indexed="9"/>
      </left>
      <right/>
      <top/>
      <bottom/>
      <diagonal style="thin">
        <color indexed="9"/>
      </diagonal>
    </border>
    <border>
      <left/>
      <right style="thin">
        <color indexed="9"/>
      </right>
      <top/>
      <bottom/>
      <diagonal/>
    </border>
    <border diagonalDown="1">
      <left/>
      <right/>
      <top/>
      <bottom/>
      <diagonal style="thin">
        <color indexed="9"/>
      </diagonal>
    </border>
    <border>
      <left style="thin">
        <color indexed="9"/>
      </left>
      <right/>
      <top/>
      <bottom/>
      <diagonal/>
    </border>
    <border>
      <left/>
      <right style="thin">
        <color indexed="9"/>
      </right>
      <top/>
      <bottom style="medium">
        <color indexed="64"/>
      </bottom>
      <diagonal/>
    </border>
    <border>
      <left style="thin">
        <color indexed="9"/>
      </left>
      <right style="thin">
        <color indexed="9"/>
      </right>
      <top/>
      <bottom style="thin">
        <color indexed="64"/>
      </bottom>
      <diagonal/>
    </border>
    <border>
      <left style="thin">
        <color indexed="9"/>
      </left>
      <right style="thin">
        <color indexed="9"/>
      </right>
      <top/>
      <bottom style="double">
        <color indexed="64"/>
      </bottom>
      <diagonal/>
    </border>
    <border>
      <left style="thin">
        <color indexed="9"/>
      </left>
      <right/>
      <top/>
      <bottom style="double">
        <color indexed="64"/>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double">
        <color indexed="64"/>
      </bottom>
      <diagonal/>
    </border>
    <border>
      <left style="thin">
        <color theme="3" tint="0.39997558519241921"/>
      </left>
      <right/>
      <top style="thin">
        <color theme="3" tint="0.39997558519241921"/>
      </top>
      <bottom/>
      <diagonal/>
    </border>
    <border>
      <left/>
      <right style="thin">
        <color theme="3" tint="0.39997558519241921"/>
      </right>
      <top/>
      <bottom/>
      <diagonal/>
    </border>
    <border>
      <left/>
      <right style="thin">
        <color theme="3" tint="0.39997558519241921"/>
      </right>
      <top style="thin">
        <color theme="3" tint="0.39997558519241921"/>
      </top>
      <bottom/>
      <diagonal/>
    </border>
    <border>
      <left/>
      <right style="thin">
        <color theme="3" tint="0.39997558519241921"/>
      </right>
      <top/>
      <bottom style="thin">
        <color theme="3" tint="0.39997558519241921"/>
      </bottom>
      <diagonal/>
    </border>
    <border>
      <left style="thin">
        <color indexed="9"/>
      </left>
      <right style="thin">
        <color indexed="9"/>
      </right>
      <top style="thin">
        <color theme="0"/>
      </top>
      <bottom style="thin">
        <color theme="0"/>
      </bottom>
      <diagonal/>
    </border>
    <border>
      <left/>
      <right/>
      <top style="thin">
        <color theme="0"/>
      </top>
      <bottom style="thin">
        <color theme="0"/>
      </bottom>
      <diagonal/>
    </border>
    <border>
      <left/>
      <right style="thin">
        <color theme="0"/>
      </right>
      <top style="thin">
        <color indexed="9"/>
      </top>
      <bottom style="thin">
        <color indexed="9"/>
      </bottom>
      <diagonal/>
    </border>
    <border>
      <left/>
      <right/>
      <top style="thin">
        <color theme="3" tint="0.39997558519241921"/>
      </top>
      <bottom/>
      <diagonal/>
    </border>
    <border>
      <left/>
      <right/>
      <top/>
      <bottom style="thin">
        <color theme="3" tint="0.39997558519241921"/>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3" tint="0.39997558519241921"/>
      </left>
      <right/>
      <top/>
      <bottom/>
      <diagonal/>
    </border>
    <border>
      <left style="thin">
        <color theme="3" tint="0.39997558519241921"/>
      </left>
      <right/>
      <top/>
      <bottom style="thin">
        <color theme="3" tint="0.39997558519241921"/>
      </bottom>
      <diagonal/>
    </border>
  </borders>
  <cellStyleXfs count="33">
    <xf numFmtId="0" fontId="0" fillId="0" borderId="0">
      <alignment vertical="center"/>
    </xf>
    <xf numFmtId="2" fontId="59" fillId="0" borderId="1"/>
    <xf numFmtId="0" fontId="48" fillId="2" borderId="2">
      <alignment horizontal="left"/>
    </xf>
    <xf numFmtId="182" fontId="3" fillId="0" borderId="0" applyFont="0" applyFill="0" applyBorder="0" applyAlignment="0" applyProtection="0"/>
    <xf numFmtId="40" fontId="71" fillId="0" borderId="0" applyFont="0" applyFill="0" applyBorder="0" applyAlignment="0" applyProtection="0"/>
    <xf numFmtId="180" fontId="49" fillId="3" borderId="3">
      <protection locked="0"/>
    </xf>
    <xf numFmtId="179" fontId="41" fillId="0" borderId="0" applyBorder="0" applyAlignment="0"/>
    <xf numFmtId="0" fontId="136" fillId="0" borderId="0"/>
    <xf numFmtId="0" fontId="72" fillId="0" borderId="0"/>
    <xf numFmtId="9" fontId="3" fillId="0" borderId="0" applyFont="0" applyFill="0" applyBorder="0" applyAlignment="0" applyProtection="0"/>
    <xf numFmtId="9" fontId="1" fillId="0" borderId="0" applyFont="0" applyFill="0" applyBorder="0" applyAlignment="0" applyProtection="0">
      <alignment vertical="center"/>
    </xf>
    <xf numFmtId="9" fontId="73" fillId="0" borderId="0" applyFont="0" applyFill="0" applyBorder="0" applyAlignment="0" applyProtection="0">
      <alignment vertical="center"/>
    </xf>
    <xf numFmtId="9" fontId="1" fillId="0" borderId="0" applyFont="0" applyFill="0" applyBorder="0" applyAlignment="0" applyProtection="0">
      <alignment vertical="center"/>
    </xf>
    <xf numFmtId="9" fontId="73" fillId="0" borderId="0" applyFont="0" applyFill="0" applyBorder="0" applyAlignment="0" applyProtection="0">
      <alignment vertical="center"/>
    </xf>
    <xf numFmtId="10" fontId="3" fillId="0" borderId="0" applyFont="0" applyFill="0" applyBorder="0" applyAlignment="0" applyProtection="0"/>
    <xf numFmtId="0" fontId="73" fillId="0" borderId="0">
      <alignment vertical="center"/>
    </xf>
    <xf numFmtId="0" fontId="1" fillId="0" borderId="0">
      <alignment vertical="center"/>
    </xf>
    <xf numFmtId="0" fontId="73" fillId="0" borderId="0">
      <alignment vertical="center"/>
    </xf>
    <xf numFmtId="0" fontId="82" fillId="0" borderId="0">
      <alignment vertical="center"/>
    </xf>
    <xf numFmtId="0" fontId="1" fillId="0" borderId="0"/>
    <xf numFmtId="0" fontId="1" fillId="0" borderId="0">
      <alignment vertical="center"/>
    </xf>
    <xf numFmtId="0" fontId="1" fillId="0" borderId="0" applyNumberFormat="0" applyFill="0" applyBorder="0" applyAlignment="0" applyProtection="0"/>
    <xf numFmtId="0" fontId="3" fillId="0" borderId="0"/>
    <xf numFmtId="0" fontId="1" fillId="0" borderId="0"/>
    <xf numFmtId="2" fontId="60" fillId="0" borderId="0"/>
    <xf numFmtId="0" fontId="3" fillId="0" borderId="0" applyNumberFormat="0" applyFill="0" applyBorder="0" applyAlignment="0" applyProtection="0"/>
    <xf numFmtId="0" fontId="40"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164" fontId="1" fillId="0" borderId="0" applyFont="0" applyFill="0" applyBorder="0" applyAlignment="0" applyProtection="0">
      <alignment vertical="center"/>
    </xf>
    <xf numFmtId="164" fontId="73" fillId="0" borderId="0" applyFont="0" applyFill="0" applyBorder="0" applyAlignment="0" applyProtection="0">
      <alignment vertical="center"/>
    </xf>
    <xf numFmtId="164" fontId="73" fillId="0" borderId="0" applyFont="0" applyFill="0" applyBorder="0" applyAlignment="0" applyProtection="0">
      <alignment vertical="center"/>
    </xf>
    <xf numFmtId="0" fontId="47" fillId="0" borderId="0"/>
  </cellStyleXfs>
  <cellXfs count="809">
    <xf numFmtId="0" fontId="0" fillId="0" borderId="0" xfId="0">
      <alignment vertical="center"/>
    </xf>
    <xf numFmtId="0" fontId="7" fillId="0" borderId="0" xfId="0" applyFont="1" applyAlignment="1"/>
    <xf numFmtId="0" fontId="7" fillId="0" borderId="0" xfId="0" applyFont="1">
      <alignment vertical="center"/>
    </xf>
    <xf numFmtId="0" fontId="9" fillId="0" borderId="0" xfId="0" applyFont="1">
      <alignment vertical="center"/>
    </xf>
    <xf numFmtId="0" fontId="8" fillId="0" borderId="0" xfId="0" applyFont="1">
      <alignment vertical="center"/>
    </xf>
    <xf numFmtId="0" fontId="10" fillId="0" borderId="0" xfId="0" applyFont="1">
      <alignment vertical="center"/>
    </xf>
    <xf numFmtId="170" fontId="7" fillId="0" borderId="0" xfId="0" applyNumberFormat="1" applyFont="1">
      <alignment vertical="center"/>
    </xf>
    <xf numFmtId="49" fontId="15" fillId="4" borderId="0" xfId="0" applyNumberFormat="1" applyFont="1" applyFill="1" applyAlignment="1">
      <alignment horizontal="center"/>
    </xf>
    <xf numFmtId="170" fontId="7" fillId="0" borderId="6" xfId="0" applyNumberFormat="1" applyFont="1" applyBorder="1">
      <alignment vertical="center"/>
    </xf>
    <xf numFmtId="0" fontId="17" fillId="0" borderId="7" xfId="0" applyFont="1" applyBorder="1" applyAlignment="1">
      <alignment horizontal="center"/>
    </xf>
    <xf numFmtId="0" fontId="7" fillId="0" borderId="8" xfId="0" applyFont="1" applyBorder="1">
      <alignment vertical="center"/>
    </xf>
    <xf numFmtId="0" fontId="7" fillId="0" borderId="9" xfId="0" applyFont="1" applyBorder="1" applyAlignment="1">
      <alignment horizontal="center"/>
    </xf>
    <xf numFmtId="0" fontId="1" fillId="0" borderId="10" xfId="0" applyFont="1" applyBorder="1" applyAlignment="1">
      <alignment horizontal="left" vertical="center"/>
    </xf>
    <xf numFmtId="170" fontId="9" fillId="0" borderId="0" xfId="0" applyNumberFormat="1" applyFont="1">
      <alignment vertical="center"/>
    </xf>
    <xf numFmtId="170" fontId="7" fillId="0" borderId="11" xfId="0" applyNumberFormat="1" applyFont="1" applyBorder="1">
      <alignment vertical="center"/>
    </xf>
    <xf numFmtId="170" fontId="19" fillId="0" borderId="0" xfId="0" applyNumberFormat="1" applyFont="1">
      <alignment vertical="center"/>
    </xf>
    <xf numFmtId="0" fontId="1" fillId="0" borderId="10" xfId="0" applyFont="1" applyBorder="1">
      <alignment vertical="center"/>
    </xf>
    <xf numFmtId="0" fontId="7" fillId="0" borderId="6" xfId="0" applyFont="1" applyBorder="1">
      <alignment vertical="center"/>
    </xf>
    <xf numFmtId="0" fontId="7" fillId="0" borderId="12" xfId="0" applyFont="1" applyBorder="1" applyAlignment="1">
      <alignment horizontal="center"/>
    </xf>
    <xf numFmtId="0" fontId="1" fillId="0" borderId="10" xfId="0" applyFont="1" applyBorder="1" applyAlignment="1">
      <alignment vertical="top" wrapText="1"/>
    </xf>
    <xf numFmtId="169" fontId="9" fillId="0" borderId="0" xfId="29" applyNumberFormat="1" applyFont="1" applyFill="1" applyBorder="1" applyAlignment="1"/>
    <xf numFmtId="0" fontId="7" fillId="0" borderId="13" xfId="0" applyFont="1" applyBorder="1" applyAlignment="1">
      <alignment horizontal="center"/>
    </xf>
    <xf numFmtId="0" fontId="20" fillId="5" borderId="10" xfId="0" applyFont="1" applyFill="1" applyBorder="1" applyAlignment="1">
      <alignment horizontal="center" vertical="center" wrapText="1"/>
    </xf>
    <xf numFmtId="0" fontId="7" fillId="0" borderId="0" xfId="0" applyFont="1" applyAlignment="1">
      <alignment horizontal="center"/>
    </xf>
    <xf numFmtId="0" fontId="7" fillId="0" borderId="14" xfId="0" applyFont="1" applyBorder="1" applyAlignment="1">
      <alignment horizontal="center"/>
    </xf>
    <xf numFmtId="0" fontId="9" fillId="0" borderId="4" xfId="0" applyFont="1" applyBorder="1">
      <alignment vertical="center"/>
    </xf>
    <xf numFmtId="170" fontId="9" fillId="0" borderId="11" xfId="0" applyNumberFormat="1" applyFont="1" applyBorder="1">
      <alignment vertical="center"/>
    </xf>
    <xf numFmtId="170" fontId="13" fillId="0" borderId="0" xfId="0" applyNumberFormat="1" applyFont="1" applyAlignment="1">
      <alignment horizontal="left"/>
    </xf>
    <xf numFmtId="0" fontId="22" fillId="0" borderId="0" xfId="0" applyFont="1" applyAlignment="1"/>
    <xf numFmtId="171" fontId="7" fillId="0" borderId="0" xfId="0" applyNumberFormat="1" applyFont="1" applyAlignment="1"/>
    <xf numFmtId="171" fontId="7" fillId="0" borderId="0" xfId="0" applyNumberFormat="1" applyFont="1" applyAlignment="1">
      <alignment horizontal="center"/>
    </xf>
    <xf numFmtId="0" fontId="23" fillId="0" borderId="15" xfId="0" applyFont="1" applyBorder="1" applyAlignment="1">
      <alignment horizontal="left"/>
    </xf>
    <xf numFmtId="0" fontId="7" fillId="0" borderId="15" xfId="0" applyFont="1" applyBorder="1" applyAlignment="1"/>
    <xf numFmtId="0" fontId="15" fillId="0" borderId="15" xfId="0" applyFont="1" applyBorder="1" applyAlignment="1">
      <alignment horizontal="right"/>
    </xf>
    <xf numFmtId="0" fontId="9" fillId="0" borderId="0" xfId="0" applyFont="1" applyAlignment="1">
      <alignment horizontal="left"/>
    </xf>
    <xf numFmtId="165" fontId="15" fillId="0" borderId="0" xfId="0" applyNumberFormat="1" applyFont="1" applyAlignment="1">
      <alignment horizontal="right"/>
    </xf>
    <xf numFmtId="165" fontId="7" fillId="0" borderId="0" xfId="0" applyNumberFormat="1" applyFont="1" applyAlignment="1">
      <alignment horizontal="right"/>
    </xf>
    <xf numFmtId="165" fontId="7" fillId="0" borderId="0" xfId="0" applyNumberFormat="1" applyFont="1">
      <alignment vertical="center"/>
    </xf>
    <xf numFmtId="0" fontId="24" fillId="0" borderId="0" xfId="0" applyFont="1" applyAlignment="1"/>
    <xf numFmtId="0" fontId="15" fillId="0" borderId="0" xfId="0" applyFont="1" applyAlignment="1"/>
    <xf numFmtId="173" fontId="7" fillId="0" borderId="0" xfId="29" applyNumberFormat="1" applyFont="1" applyFill="1" applyBorder="1" applyAlignment="1">
      <alignment horizontal="right"/>
    </xf>
    <xf numFmtId="173" fontId="7" fillId="0" borderId="0" xfId="0" applyNumberFormat="1" applyFont="1" applyAlignment="1">
      <alignment horizontal="right"/>
    </xf>
    <xf numFmtId="0" fontId="9" fillId="0" borderId="0" xfId="0" applyFont="1" applyAlignment="1"/>
    <xf numFmtId="0" fontId="9" fillId="0" borderId="5" xfId="0" applyFont="1" applyBorder="1" applyAlignment="1"/>
    <xf numFmtId="0" fontId="7" fillId="0" borderId="5" xfId="0" applyFont="1" applyBorder="1" applyAlignment="1"/>
    <xf numFmtId="173" fontId="7" fillId="0" borderId="5" xfId="0" applyNumberFormat="1" applyFont="1" applyBorder="1" applyAlignment="1">
      <alignment horizontal="right"/>
    </xf>
    <xf numFmtId="173" fontId="15" fillId="0" borderId="0" xfId="0" applyNumberFormat="1" applyFont="1" applyAlignment="1">
      <alignment horizontal="right"/>
    </xf>
    <xf numFmtId="173" fontId="15" fillId="0" borderId="0" xfId="29" applyNumberFormat="1" applyFont="1" applyFill="1" applyBorder="1" applyAlignment="1">
      <alignment horizontal="right"/>
    </xf>
    <xf numFmtId="0" fontId="15" fillId="0" borderId="0" xfId="0" applyFont="1">
      <alignment vertical="center"/>
    </xf>
    <xf numFmtId="173" fontId="7" fillId="0" borderId="5" xfId="29" applyNumberFormat="1" applyFont="1" applyFill="1" applyBorder="1" applyAlignment="1">
      <alignment horizontal="right"/>
    </xf>
    <xf numFmtId="173" fontId="15" fillId="0" borderId="15" xfId="29" applyNumberFormat="1" applyFont="1" applyFill="1" applyBorder="1" applyAlignment="1">
      <alignment horizontal="right"/>
    </xf>
    <xf numFmtId="169" fontId="9" fillId="0" borderId="0" xfId="0" applyNumberFormat="1" applyFont="1" applyAlignment="1"/>
    <xf numFmtId="0" fontId="25" fillId="0" borderId="0" xfId="0" applyFont="1">
      <alignment vertical="center"/>
    </xf>
    <xf numFmtId="169" fontId="16" fillId="0" borderId="0" xfId="0" applyNumberFormat="1" applyFont="1" applyAlignment="1"/>
    <xf numFmtId="0" fontId="16" fillId="0" borderId="0" xfId="0" applyFont="1" applyAlignment="1"/>
    <xf numFmtId="0" fontId="25" fillId="0" borderId="0" xfId="0" applyFont="1" applyAlignment="1"/>
    <xf numFmtId="0" fontId="25" fillId="0" borderId="5" xfId="0" applyFont="1" applyBorder="1" applyAlignment="1"/>
    <xf numFmtId="170" fontId="13" fillId="0" borderId="15" xfId="0" applyNumberFormat="1" applyFont="1" applyBorder="1" applyAlignment="1">
      <alignment horizontal="left"/>
    </xf>
    <xf numFmtId="173" fontId="15" fillId="0" borderId="15" xfId="0" applyNumberFormat="1" applyFont="1" applyBorder="1" applyAlignment="1">
      <alignment horizontal="right"/>
    </xf>
    <xf numFmtId="173" fontId="7" fillId="0" borderId="0" xfId="0" applyNumberFormat="1" applyFont="1">
      <alignment vertical="center"/>
    </xf>
    <xf numFmtId="173" fontId="25" fillId="0" borderId="0" xfId="0" applyNumberFormat="1" applyFont="1" applyAlignment="1">
      <alignment horizontal="right"/>
    </xf>
    <xf numFmtId="168" fontId="11" fillId="0" borderId="0" xfId="10" applyNumberFormat="1" applyFont="1" applyFill="1" applyBorder="1" applyAlignment="1">
      <alignment horizontal="right"/>
    </xf>
    <xf numFmtId="170" fontId="9" fillId="0" borderId="4" xfId="0" applyNumberFormat="1" applyFont="1" applyBorder="1">
      <alignment vertical="center"/>
    </xf>
    <xf numFmtId="173" fontId="7" fillId="0" borderId="4" xfId="0" applyNumberFormat="1" applyFont="1" applyBorder="1" applyAlignment="1">
      <alignment horizontal="right"/>
    </xf>
    <xf numFmtId="165" fontId="7" fillId="0" borderId="5" xfId="0" applyNumberFormat="1" applyFont="1" applyBorder="1" applyAlignment="1">
      <alignment horizontal="right"/>
    </xf>
    <xf numFmtId="165" fontId="7" fillId="0" borderId="0" xfId="0" applyNumberFormat="1" applyFont="1" applyAlignment="1"/>
    <xf numFmtId="0" fontId="18" fillId="0" borderId="0" xfId="0" applyFont="1">
      <alignment vertical="center"/>
    </xf>
    <xf numFmtId="0" fontId="15" fillId="0" borderId="0" xfId="0" applyFont="1" applyAlignment="1">
      <alignment horizontal="center"/>
    </xf>
    <xf numFmtId="169" fontId="7" fillId="0" borderId="0" xfId="0" applyNumberFormat="1" applyFont="1">
      <alignment vertical="center"/>
    </xf>
    <xf numFmtId="169" fontId="27" fillId="0" borderId="0" xfId="0" applyNumberFormat="1" applyFont="1" applyAlignment="1"/>
    <xf numFmtId="169" fontId="15" fillId="0" borderId="0" xfId="0" applyNumberFormat="1" applyFont="1" applyAlignment="1"/>
    <xf numFmtId="10" fontId="11" fillId="0" borderId="0" xfId="10" applyNumberFormat="1" applyFont="1" applyFill="1" applyAlignment="1">
      <alignment horizontal="right"/>
    </xf>
    <xf numFmtId="169" fontId="15" fillId="0" borderId="0" xfId="0" applyNumberFormat="1" applyFont="1">
      <alignment vertical="center"/>
    </xf>
    <xf numFmtId="0" fontId="27" fillId="0" borderId="0" xfId="0" applyFont="1" applyAlignment="1">
      <alignment horizontal="left"/>
    </xf>
    <xf numFmtId="165" fontId="11" fillId="0" borderId="0" xfId="10" applyNumberFormat="1" applyFont="1" applyFill="1" applyAlignment="1">
      <alignment horizontal="right"/>
    </xf>
    <xf numFmtId="169" fontId="7" fillId="0" borderId="0" xfId="0" applyNumberFormat="1" applyFont="1" applyAlignment="1"/>
    <xf numFmtId="168" fontId="11" fillId="0" borderId="0" xfId="10" applyNumberFormat="1" applyFont="1" applyFill="1" applyAlignment="1">
      <alignment horizontal="right"/>
    </xf>
    <xf numFmtId="169" fontId="9" fillId="0" borderId="5" xfId="0" applyNumberFormat="1" applyFont="1" applyBorder="1" applyAlignment="1"/>
    <xf numFmtId="169" fontId="27" fillId="0" borderId="5" xfId="0" applyNumberFormat="1" applyFont="1" applyBorder="1" applyAlignment="1"/>
    <xf numFmtId="169" fontId="28" fillId="0" borderId="0" xfId="0" applyNumberFormat="1" applyFont="1" applyAlignment="1"/>
    <xf numFmtId="165" fontId="15" fillId="0" borderId="0" xfId="10" applyNumberFormat="1" applyFont="1" applyFill="1" applyBorder="1" applyAlignment="1">
      <alignment horizontal="right"/>
    </xf>
    <xf numFmtId="0" fontId="27" fillId="0" borderId="0" xfId="0" applyFont="1" applyAlignment="1"/>
    <xf numFmtId="0" fontId="11" fillId="0" borderId="0" xfId="0" applyFont="1" applyAlignment="1"/>
    <xf numFmtId="165" fontId="7" fillId="0" borderId="0" xfId="10" applyNumberFormat="1" applyFont="1" applyFill="1" applyAlignment="1">
      <alignment horizontal="right"/>
    </xf>
    <xf numFmtId="169" fontId="11" fillId="0" borderId="0" xfId="0" applyNumberFormat="1" applyFont="1" applyAlignment="1"/>
    <xf numFmtId="10" fontId="11" fillId="0" borderId="0" xfId="10" applyNumberFormat="1" applyFont="1" applyFill="1" applyBorder="1" applyAlignment="1">
      <alignment horizontal="right"/>
    </xf>
    <xf numFmtId="165" fontId="7" fillId="0" borderId="0" xfId="10" applyNumberFormat="1" applyFont="1" applyFill="1" applyBorder="1" applyAlignment="1">
      <alignment horizontal="right"/>
    </xf>
    <xf numFmtId="165" fontId="18" fillId="6" borderId="0" xfId="10" applyNumberFormat="1" applyFont="1" applyFill="1" applyAlignment="1">
      <alignment horizontal="right"/>
    </xf>
    <xf numFmtId="0" fontId="11" fillId="0" borderId="0" xfId="0" applyFont="1">
      <alignment vertical="center"/>
    </xf>
    <xf numFmtId="0" fontId="27" fillId="0" borderId="5" xfId="0" applyFont="1" applyBorder="1" applyAlignment="1"/>
    <xf numFmtId="165" fontId="15" fillId="0" borderId="0" xfId="10" applyNumberFormat="1" applyFont="1" applyFill="1" applyAlignment="1">
      <alignment horizontal="right"/>
    </xf>
    <xf numFmtId="165" fontId="11" fillId="0" borderId="0" xfId="0" applyNumberFormat="1" applyFont="1" applyAlignment="1">
      <alignment horizontal="right"/>
    </xf>
    <xf numFmtId="170" fontId="15" fillId="0" borderId="0" xfId="0" applyNumberFormat="1" applyFont="1" applyAlignment="1"/>
    <xf numFmtId="0" fontId="28" fillId="0" borderId="0" xfId="0" applyFont="1" applyAlignment="1"/>
    <xf numFmtId="170" fontId="16" fillId="0" borderId="0" xfId="0" applyNumberFormat="1" applyFont="1" applyAlignment="1"/>
    <xf numFmtId="169" fontId="11" fillId="0" borderId="0" xfId="0" applyNumberFormat="1" applyFont="1">
      <alignment vertical="center"/>
    </xf>
    <xf numFmtId="0" fontId="15" fillId="0" borderId="0" xfId="0" applyFont="1" applyAlignment="1">
      <alignment horizontal="left"/>
    </xf>
    <xf numFmtId="0" fontId="7" fillId="0" borderId="0" xfId="0" applyFont="1" applyAlignment="1">
      <alignment horizontal="left"/>
    </xf>
    <xf numFmtId="165" fontId="16" fillId="0" borderId="0" xfId="0" applyNumberFormat="1" applyFont="1" applyAlignment="1">
      <alignment horizontal="right"/>
    </xf>
    <xf numFmtId="0" fontId="19" fillId="0" borderId="0" xfId="0" applyFont="1" applyAlignment="1"/>
    <xf numFmtId="0" fontId="7" fillId="0" borderId="11" xfId="0" applyFont="1" applyBorder="1" applyAlignment="1">
      <alignment horizontal="center"/>
    </xf>
    <xf numFmtId="0" fontId="7" fillId="0" borderId="6" xfId="0" applyFont="1" applyBorder="1" applyAlignment="1">
      <alignment horizontal="centerContinuous"/>
    </xf>
    <xf numFmtId="0" fontId="7" fillId="0" borderId="6" xfId="0" applyFont="1" applyBorder="1" applyAlignment="1">
      <alignment horizontal="center"/>
    </xf>
    <xf numFmtId="0" fontId="9" fillId="0" borderId="11" xfId="0" applyFont="1" applyBorder="1" applyAlignment="1">
      <alignment horizontal="left"/>
    </xf>
    <xf numFmtId="0" fontId="7" fillId="0" borderId="11" xfId="0" applyFont="1" applyBorder="1" applyAlignment="1">
      <alignment horizontal="left"/>
    </xf>
    <xf numFmtId="0" fontId="19" fillId="0" borderId="11" xfId="0" applyFont="1" applyBorder="1" applyAlignment="1">
      <alignment horizontal="left"/>
    </xf>
    <xf numFmtId="170" fontId="13" fillId="0" borderId="0" xfId="0" applyNumberFormat="1" applyFont="1" applyAlignment="1">
      <alignment horizontal="center"/>
    </xf>
    <xf numFmtId="0" fontId="7" fillId="0" borderId="0" xfId="0" applyFont="1" applyAlignment="1">
      <alignment horizontal="right"/>
    </xf>
    <xf numFmtId="173" fontId="18" fillId="6" borderId="0" xfId="0" applyNumberFormat="1" applyFont="1" applyFill="1" applyAlignment="1">
      <alignment horizontal="right"/>
    </xf>
    <xf numFmtId="0" fontId="7" fillId="0" borderId="0" xfId="0" applyFont="1" applyAlignment="1">
      <alignment horizontal="centerContinuous"/>
    </xf>
    <xf numFmtId="165" fontId="18" fillId="6" borderId="0" xfId="0" applyNumberFormat="1" applyFont="1" applyFill="1">
      <alignment vertical="center"/>
    </xf>
    <xf numFmtId="173" fontId="15" fillId="0" borderId="0" xfId="0" applyNumberFormat="1" applyFont="1">
      <alignment vertical="center"/>
    </xf>
    <xf numFmtId="169" fontId="7" fillId="0" borderId="0" xfId="0" applyNumberFormat="1" applyFont="1" applyAlignment="1">
      <alignment horizontal="right"/>
    </xf>
    <xf numFmtId="169" fontId="15" fillId="0" borderId="0" xfId="0" applyNumberFormat="1" applyFont="1" applyAlignment="1">
      <alignment horizontal="right"/>
    </xf>
    <xf numFmtId="0" fontId="18" fillId="0" borderId="7" xfId="0" applyFont="1" applyBorder="1" applyAlignment="1">
      <alignment horizontal="right"/>
    </xf>
    <xf numFmtId="175" fontId="21" fillId="0" borderId="15" xfId="0" applyNumberFormat="1" applyFont="1" applyBorder="1" applyAlignment="1">
      <alignment horizontal="right"/>
    </xf>
    <xf numFmtId="176" fontId="21" fillId="0" borderId="15" xfId="0" applyNumberFormat="1" applyFont="1" applyBorder="1" applyAlignment="1">
      <alignment horizontal="right"/>
    </xf>
    <xf numFmtId="0" fontId="21" fillId="0" borderId="15" xfId="0" applyFont="1" applyBorder="1" applyAlignment="1">
      <alignment horizontal="right"/>
    </xf>
    <xf numFmtId="166" fontId="7" fillId="0" borderId="0" xfId="29" applyNumberFormat="1" applyFont="1" applyFill="1" applyBorder="1" applyAlignment="1">
      <alignment horizontal="right"/>
    </xf>
    <xf numFmtId="0" fontId="7" fillId="0" borderId="0" xfId="0" applyFont="1" applyAlignment="1">
      <alignment horizontal="right" vertical="center"/>
    </xf>
    <xf numFmtId="177" fontId="7" fillId="0" borderId="0" xfId="0" applyNumberFormat="1" applyFont="1" applyAlignment="1">
      <alignment horizontal="right"/>
    </xf>
    <xf numFmtId="169" fontId="30" fillId="6" borderId="0" xfId="0" applyNumberFormat="1" applyFont="1" applyFill="1">
      <alignment vertical="center"/>
    </xf>
    <xf numFmtId="168" fontId="30" fillId="6" borderId="0" xfId="10" applyNumberFormat="1" applyFont="1" applyFill="1" applyAlignment="1"/>
    <xf numFmtId="165" fontId="18" fillId="6" borderId="0" xfId="10" applyNumberFormat="1" applyFont="1" applyFill="1" applyAlignment="1"/>
    <xf numFmtId="0" fontId="15" fillId="0" borderId="0" xfId="0" applyFont="1" applyAlignment="1">
      <alignment horizontal="right"/>
    </xf>
    <xf numFmtId="0" fontId="25" fillId="0" borderId="0" xfId="0" applyFont="1" applyAlignment="1">
      <alignment horizontal="center"/>
    </xf>
    <xf numFmtId="10" fontId="30" fillId="6" borderId="0" xfId="0" applyNumberFormat="1" applyFont="1" applyFill="1">
      <alignment vertical="center"/>
    </xf>
    <xf numFmtId="0" fontId="27" fillId="0" borderId="5" xfId="0" applyFont="1" applyBorder="1">
      <alignment vertical="center"/>
    </xf>
    <xf numFmtId="0" fontId="16" fillId="0" borderId="6" xfId="0" applyFont="1" applyBorder="1" applyAlignment="1">
      <alignment horizontal="centerContinuous"/>
    </xf>
    <xf numFmtId="0" fontId="15" fillId="0" borderId="0" xfId="0" applyFont="1" applyAlignment="1">
      <alignment horizontal="centerContinuous"/>
    </xf>
    <xf numFmtId="10" fontId="15" fillId="0" borderId="0" xfId="0" applyNumberFormat="1" applyFont="1" applyAlignment="1">
      <alignment horizontal="right"/>
    </xf>
    <xf numFmtId="173" fontId="18" fillId="6" borderId="5" xfId="0" applyNumberFormat="1" applyFont="1" applyFill="1" applyBorder="1" applyAlignment="1">
      <alignment horizontal="right"/>
    </xf>
    <xf numFmtId="0" fontId="7" fillId="0" borderId="8" xfId="0" applyFont="1" applyBorder="1" applyAlignment="1">
      <alignment horizontal="center"/>
    </xf>
    <xf numFmtId="0" fontId="13" fillId="0" borderId="0" xfId="0" applyFont="1" applyAlignment="1">
      <alignment horizontal="centerContinuous"/>
    </xf>
    <xf numFmtId="165" fontId="5" fillId="0" borderId="11" xfId="0" applyNumberFormat="1" applyFont="1" applyBorder="1" applyAlignment="1">
      <alignment horizontal="right"/>
    </xf>
    <xf numFmtId="10" fontId="5" fillId="0" borderId="11" xfId="0" applyNumberFormat="1" applyFont="1" applyBorder="1" applyAlignment="1">
      <alignment horizontal="right"/>
    </xf>
    <xf numFmtId="0" fontId="5" fillId="0" borderId="9" xfId="0" applyFont="1" applyBorder="1" applyAlignment="1">
      <alignment horizontal="right"/>
    </xf>
    <xf numFmtId="0" fontId="5" fillId="0" borderId="11" xfId="0" applyFont="1" applyBorder="1" applyAlignment="1">
      <alignment horizontal="center"/>
    </xf>
    <xf numFmtId="10" fontId="5" fillId="0" borderId="11" xfId="10" applyNumberFormat="1" applyFont="1" applyFill="1" applyBorder="1" applyAlignment="1">
      <alignment horizontal="right"/>
    </xf>
    <xf numFmtId="165" fontId="5" fillId="0" borderId="11" xfId="10" applyNumberFormat="1" applyFont="1" applyBorder="1" applyAlignment="1">
      <alignment horizontal="right"/>
    </xf>
    <xf numFmtId="2" fontId="5" fillId="0" borderId="11" xfId="0" applyNumberFormat="1" applyFont="1" applyBorder="1" applyAlignment="1">
      <alignment horizontal="right"/>
    </xf>
    <xf numFmtId="10" fontId="44" fillId="0" borderId="11" xfId="10" applyNumberFormat="1" applyFont="1" applyFill="1" applyBorder="1" applyAlignment="1">
      <alignment horizontal="right"/>
    </xf>
    <xf numFmtId="0" fontId="7" fillId="0" borderId="8" xfId="0" applyFont="1" applyBorder="1" applyAlignment="1">
      <alignment horizontal="right"/>
    </xf>
    <xf numFmtId="0" fontId="15" fillId="7" borderId="16" xfId="0" applyFont="1" applyFill="1" applyBorder="1" applyAlignment="1">
      <alignment horizontal="centerContinuous"/>
    </xf>
    <xf numFmtId="10" fontId="42" fillId="7" borderId="16" xfId="0" applyNumberFormat="1" applyFont="1" applyFill="1" applyBorder="1" applyAlignment="1">
      <alignment horizontal="right"/>
    </xf>
    <xf numFmtId="0" fontId="7" fillId="0" borderId="6" xfId="0" applyFont="1" applyBorder="1" applyAlignment="1">
      <alignment horizontal="right"/>
    </xf>
    <xf numFmtId="0" fontId="52" fillId="0" borderId="10" xfId="0" applyFont="1" applyBorder="1">
      <alignment vertical="center"/>
    </xf>
    <xf numFmtId="170" fontId="53" fillId="0" borderId="0" xfId="0" applyNumberFormat="1" applyFont="1">
      <alignment vertical="center"/>
    </xf>
    <xf numFmtId="0" fontId="1" fillId="0" borderId="10" xfId="0" applyFont="1" applyBorder="1" applyAlignment="1">
      <alignment vertical="top"/>
    </xf>
    <xf numFmtId="0" fontId="57" fillId="0" borderId="10" xfId="0" applyFont="1" applyBorder="1" applyAlignment="1">
      <alignment horizontal="left" vertical="center"/>
    </xf>
    <xf numFmtId="0" fontId="57" fillId="0" borderId="10" xfId="0" applyFont="1" applyBorder="1" applyAlignment="1">
      <alignment vertical="top" wrapText="1"/>
    </xf>
    <xf numFmtId="0" fontId="9" fillId="0" borderId="9" xfId="0" applyFont="1" applyBorder="1" applyAlignment="1">
      <alignment horizontal="left"/>
    </xf>
    <xf numFmtId="173" fontId="5" fillId="0" borderId="9" xfId="0" applyNumberFormat="1" applyFont="1" applyBorder="1" applyAlignment="1">
      <alignment horizontal="right"/>
    </xf>
    <xf numFmtId="170" fontId="26" fillId="8" borderId="0" xfId="0" applyNumberFormat="1" applyFont="1" applyFill="1" applyAlignment="1">
      <alignment horizontal="left"/>
    </xf>
    <xf numFmtId="170" fontId="12" fillId="8" borderId="0" xfId="0" applyNumberFormat="1" applyFont="1" applyFill="1" applyAlignment="1">
      <alignment horizontal="center"/>
    </xf>
    <xf numFmtId="170" fontId="13" fillId="8" borderId="0" xfId="0" applyNumberFormat="1" applyFont="1" applyFill="1" applyAlignment="1">
      <alignment horizontal="center"/>
    </xf>
    <xf numFmtId="170" fontId="13" fillId="8" borderId="0" xfId="0" applyNumberFormat="1" applyFont="1" applyFill="1" applyAlignment="1">
      <alignment horizontal="left"/>
    </xf>
    <xf numFmtId="170" fontId="12" fillId="8" borderId="0" xfId="0" applyNumberFormat="1" applyFont="1" applyFill="1" applyAlignment="1">
      <alignment horizontal="left"/>
    </xf>
    <xf numFmtId="170" fontId="15" fillId="8" borderId="0" xfId="0" applyNumberFormat="1" applyFont="1" applyFill="1" applyAlignment="1">
      <alignment horizontal="left"/>
    </xf>
    <xf numFmtId="170" fontId="7" fillId="8" borderId="0" xfId="0" applyNumberFormat="1" applyFont="1" applyFill="1">
      <alignment vertical="center"/>
    </xf>
    <xf numFmtId="170" fontId="9" fillId="8" borderId="0" xfId="0" applyNumberFormat="1" applyFont="1" applyFill="1">
      <alignment vertical="center"/>
    </xf>
    <xf numFmtId="10" fontId="30" fillId="0" borderId="0" xfId="0" applyNumberFormat="1" applyFont="1">
      <alignment vertical="center"/>
    </xf>
    <xf numFmtId="0" fontId="17" fillId="0" borderId="18" xfId="0" applyFont="1" applyBorder="1" applyAlignment="1">
      <alignment horizontal="center"/>
    </xf>
    <xf numFmtId="0" fontId="1" fillId="0" borderId="19" xfId="0" applyFont="1" applyBorder="1">
      <alignment vertical="center"/>
    </xf>
    <xf numFmtId="170" fontId="7" fillId="0" borderId="20" xfId="0" applyNumberFormat="1" applyFont="1" applyBorder="1">
      <alignment vertical="center"/>
    </xf>
    <xf numFmtId="170" fontId="7" fillId="4" borderId="20" xfId="0" applyNumberFormat="1" applyFont="1" applyFill="1" applyBorder="1">
      <alignment vertical="center"/>
    </xf>
    <xf numFmtId="170" fontId="7" fillId="4" borderId="11" xfId="0" applyNumberFormat="1" applyFont="1" applyFill="1" applyBorder="1">
      <alignment vertical="center"/>
    </xf>
    <xf numFmtId="170" fontId="7" fillId="4" borderId="8" xfId="0" applyNumberFormat="1" applyFont="1" applyFill="1" applyBorder="1">
      <alignment vertical="center"/>
    </xf>
    <xf numFmtId="170" fontId="7" fillId="4" borderId="0" xfId="0" applyNumberFormat="1" applyFont="1" applyFill="1">
      <alignment vertical="center"/>
    </xf>
    <xf numFmtId="0" fontId="9" fillId="4" borderId="0" xfId="0" applyFont="1" applyFill="1">
      <alignment vertical="center"/>
    </xf>
    <xf numFmtId="170" fontId="7" fillId="4" borderId="6" xfId="0" applyNumberFormat="1" applyFont="1" applyFill="1" applyBorder="1">
      <alignment vertical="center"/>
    </xf>
    <xf numFmtId="0" fontId="7" fillId="4" borderId="8" xfId="0" applyFont="1" applyFill="1" applyBorder="1">
      <alignment vertical="center"/>
    </xf>
    <xf numFmtId="0" fontId="13" fillId="8" borderId="0" xfId="0" applyFont="1" applyFill="1" applyAlignment="1">
      <alignment horizontal="center"/>
    </xf>
    <xf numFmtId="170" fontId="21" fillId="8" borderId="0" xfId="0" applyNumberFormat="1" applyFont="1" applyFill="1" applyAlignment="1">
      <alignment horizontal="left"/>
    </xf>
    <xf numFmtId="0" fontId="14" fillId="8" borderId="0" xfId="0" applyFont="1" applyFill="1" applyAlignment="1">
      <alignment horizontal="centerContinuous"/>
    </xf>
    <xf numFmtId="170" fontId="7" fillId="4" borderId="21" xfId="0" applyNumberFormat="1" applyFont="1" applyFill="1" applyBorder="1">
      <alignment vertical="center"/>
    </xf>
    <xf numFmtId="0" fontId="7" fillId="0" borderId="20" xfId="0" applyFont="1" applyBorder="1" applyAlignment="1">
      <alignment horizontal="center"/>
    </xf>
    <xf numFmtId="170" fontId="9" fillId="0" borderId="22" xfId="0" applyNumberFormat="1" applyFont="1" applyBorder="1">
      <alignment vertical="center"/>
    </xf>
    <xf numFmtId="0" fontId="7" fillId="0" borderId="9" xfId="0" applyFont="1" applyBorder="1" applyAlignment="1">
      <alignment horizontal="center" vertical="center"/>
    </xf>
    <xf numFmtId="0" fontId="1" fillId="0" borderId="19" xfId="0" applyFont="1" applyBorder="1" applyAlignment="1">
      <alignment horizontal="left" vertical="center"/>
    </xf>
    <xf numFmtId="165" fontId="18" fillId="6" borderId="5" xfId="0" applyNumberFormat="1" applyFont="1" applyFill="1" applyBorder="1" applyAlignment="1">
      <alignment horizontal="right" vertical="center"/>
    </xf>
    <xf numFmtId="10" fontId="58" fillId="6" borderId="0" xfId="0" applyNumberFormat="1" applyFont="1" applyFill="1" applyAlignment="1">
      <alignment horizontal="right" vertical="center"/>
    </xf>
    <xf numFmtId="0" fontId="9" fillId="0" borderId="0" xfId="0" applyFont="1" applyAlignment="1">
      <alignment horizontal="right" vertical="center"/>
    </xf>
    <xf numFmtId="170" fontId="7" fillId="8" borderId="0" xfId="0" applyNumberFormat="1" applyFont="1" applyFill="1" applyAlignment="1">
      <alignment horizontal="right" vertical="center"/>
    </xf>
    <xf numFmtId="170" fontId="13" fillId="8" borderId="0" xfId="0" applyNumberFormat="1" applyFont="1" applyFill="1" applyAlignment="1">
      <alignment horizontal="right"/>
    </xf>
    <xf numFmtId="170" fontId="14" fillId="8" borderId="0" xfId="0" applyNumberFormat="1" applyFont="1" applyFill="1" applyAlignment="1">
      <alignment horizontal="right" vertical="center"/>
    </xf>
    <xf numFmtId="170" fontId="7" fillId="0" borderId="23" xfId="0" applyNumberFormat="1" applyFont="1" applyBorder="1" applyAlignment="1">
      <alignment horizontal="right" vertical="center"/>
    </xf>
    <xf numFmtId="170" fontId="7" fillId="0" borderId="6" xfId="0" applyNumberFormat="1" applyFont="1" applyBorder="1" applyAlignment="1">
      <alignment horizontal="right" vertical="center"/>
    </xf>
    <xf numFmtId="170" fontId="3" fillId="0" borderId="0" xfId="23" applyNumberFormat="1" applyFont="1" applyAlignment="1">
      <alignment horizontal="right"/>
    </xf>
    <xf numFmtId="170" fontId="3" fillId="0" borderId="0" xfId="0" applyNumberFormat="1" applyFont="1" applyAlignment="1">
      <alignment horizontal="right" vertical="center"/>
    </xf>
    <xf numFmtId="170" fontId="3" fillId="0" borderId="24" xfId="23" applyNumberFormat="1" applyFont="1" applyBorder="1" applyAlignment="1">
      <alignment horizontal="right"/>
    </xf>
    <xf numFmtId="170" fontId="3" fillId="0" borderId="24" xfId="0" applyNumberFormat="1" applyFont="1" applyBorder="1" applyAlignment="1">
      <alignment horizontal="right" vertical="center"/>
    </xf>
    <xf numFmtId="170" fontId="7" fillId="0" borderId="0" xfId="0" applyNumberFormat="1" applyFont="1" applyAlignment="1">
      <alignment horizontal="right" vertical="center"/>
    </xf>
    <xf numFmtId="170" fontId="64" fillId="0" borderId="0" xfId="0" applyNumberFormat="1" applyFont="1" applyAlignment="1">
      <alignment horizontal="right"/>
    </xf>
    <xf numFmtId="170" fontId="3" fillId="0" borderId="4" xfId="0" applyNumberFormat="1" applyFont="1" applyBorder="1" applyAlignment="1">
      <alignment horizontal="right" vertical="center"/>
    </xf>
    <xf numFmtId="170" fontId="9" fillId="0" borderId="0" xfId="0" applyNumberFormat="1" applyFont="1" applyAlignment="1"/>
    <xf numFmtId="165" fontId="18" fillId="6" borderId="0" xfId="0" applyNumberFormat="1" applyFont="1" applyFill="1" applyAlignment="1">
      <alignment horizontal="right" vertical="center"/>
    </xf>
    <xf numFmtId="0" fontId="16" fillId="4" borderId="6" xfId="0" applyFont="1" applyFill="1" applyBorder="1" applyAlignment="1">
      <alignment horizontal="center"/>
    </xf>
    <xf numFmtId="0" fontId="2" fillId="4" borderId="0" xfId="24" applyNumberFormat="1" applyFont="1" applyFill="1"/>
    <xf numFmtId="0" fontId="54" fillId="4" borderId="0" xfId="24" applyNumberFormat="1" applyFont="1" applyFill="1" applyAlignment="1">
      <alignment vertical="center"/>
    </xf>
    <xf numFmtId="0" fontId="2" fillId="4" borderId="0" xfId="24" applyNumberFormat="1" applyFont="1" applyFill="1" applyAlignment="1">
      <alignment vertical="center"/>
    </xf>
    <xf numFmtId="0" fontId="55" fillId="4" borderId="0" xfId="24" applyNumberFormat="1" applyFont="1" applyFill="1"/>
    <xf numFmtId="0" fontId="2" fillId="4" borderId="0" xfId="25" applyNumberFormat="1" applyFont="1" applyFill="1" applyBorder="1" applyAlignment="1">
      <alignment vertical="center"/>
    </xf>
    <xf numFmtId="0" fontId="61" fillId="4" borderId="0" xfId="26" applyNumberFormat="1" applyFont="1" applyFill="1" applyBorder="1" applyAlignment="1" applyProtection="1">
      <alignment vertical="center"/>
    </xf>
    <xf numFmtId="0" fontId="54" fillId="4" borderId="0" xfId="24" applyNumberFormat="1" applyFont="1" applyFill="1" applyAlignment="1">
      <alignment horizontal="left"/>
    </xf>
    <xf numFmtId="0" fontId="2" fillId="4" borderId="0" xfId="24" applyNumberFormat="1" applyFont="1" applyFill="1" applyAlignment="1">
      <alignment horizontal="left"/>
    </xf>
    <xf numFmtId="0" fontId="55" fillId="4" borderId="0" xfId="24" applyNumberFormat="1" applyFont="1" applyFill="1" applyAlignment="1">
      <alignment vertical="center"/>
    </xf>
    <xf numFmtId="0" fontId="55" fillId="4" borderId="0" xfId="24" applyNumberFormat="1" applyFont="1" applyFill="1" applyAlignment="1">
      <alignment horizontal="left" vertical="center"/>
    </xf>
    <xf numFmtId="0" fontId="65" fillId="4" borderId="0" xfId="26" applyNumberFormat="1" applyFont="1" applyFill="1" applyAlignment="1" applyProtection="1">
      <alignment vertical="center"/>
    </xf>
    <xf numFmtId="0" fontId="54" fillId="4" borderId="0" xfId="24" applyNumberFormat="1" applyFont="1" applyFill="1" applyAlignment="1">
      <alignment vertical="center" wrapText="1"/>
    </xf>
    <xf numFmtId="0" fontId="2" fillId="6" borderId="0" xfId="24" applyNumberFormat="1" applyFont="1" applyFill="1" applyAlignment="1">
      <alignment horizontal="center" vertical="center" wrapText="1"/>
    </xf>
    <xf numFmtId="0" fontId="2" fillId="9" borderId="0" xfId="24" applyNumberFormat="1" applyFont="1" applyFill="1" applyAlignment="1">
      <alignment horizontal="center" vertical="center" wrapText="1"/>
    </xf>
    <xf numFmtId="0" fontId="43" fillId="4" borderId="0" xfId="14" applyNumberFormat="1" applyFont="1" applyFill="1" applyBorder="1" applyAlignment="1">
      <alignment vertical="center" wrapText="1"/>
    </xf>
    <xf numFmtId="0" fontId="62" fillId="4" borderId="0" xfId="14" applyNumberFormat="1" applyFont="1" applyFill="1" applyBorder="1" applyAlignment="1">
      <alignment vertical="center" wrapText="1"/>
    </xf>
    <xf numFmtId="0" fontId="2" fillId="4" borderId="17" xfId="24" applyNumberFormat="1" applyFont="1" applyFill="1" applyBorder="1" applyAlignment="1">
      <alignment horizontal="center" vertical="center" wrapText="1"/>
    </xf>
    <xf numFmtId="0" fontId="2" fillId="4" borderId="0" xfId="24" applyNumberFormat="1" applyFont="1" applyFill="1" applyProtection="1">
      <protection locked="0"/>
    </xf>
    <xf numFmtId="165" fontId="18" fillId="9" borderId="0" xfId="0" applyNumberFormat="1" applyFont="1" applyFill="1" applyAlignment="1">
      <alignment horizontal="right"/>
    </xf>
    <xf numFmtId="0" fontId="2" fillId="0" borderId="0" xfId="24" applyNumberFormat="1" applyFont="1" applyAlignment="1">
      <alignment horizontal="center" vertical="center" wrapText="1"/>
    </xf>
    <xf numFmtId="170" fontId="7" fillId="0" borderId="0" xfId="0" applyNumberFormat="1" applyFont="1" applyAlignment="1">
      <alignment horizontal="right"/>
    </xf>
    <xf numFmtId="170" fontId="15" fillId="0" borderId="0" xfId="0" applyNumberFormat="1" applyFont="1" applyAlignment="1">
      <alignment horizontal="right"/>
    </xf>
    <xf numFmtId="170" fontId="11" fillId="0" borderId="0" xfId="10" applyNumberFormat="1" applyFont="1" applyFill="1" applyBorder="1" applyAlignment="1">
      <alignment horizontal="right"/>
    </xf>
    <xf numFmtId="170" fontId="7" fillId="0" borderId="0" xfId="29" applyNumberFormat="1" applyFont="1" applyFill="1" applyBorder="1" applyAlignment="1">
      <alignment horizontal="right"/>
    </xf>
    <xf numFmtId="170" fontId="11" fillId="0" borderId="0" xfId="0" applyNumberFormat="1" applyFont="1" applyAlignment="1">
      <alignment horizontal="right"/>
    </xf>
    <xf numFmtId="170" fontId="7" fillId="0" borderId="5" xfId="0" applyNumberFormat="1" applyFont="1" applyBorder="1" applyAlignment="1">
      <alignment horizontal="right"/>
    </xf>
    <xf numFmtId="170" fontId="7" fillId="4" borderId="0" xfId="0" applyNumberFormat="1" applyFont="1" applyFill="1" applyAlignment="1">
      <alignment horizontal="right"/>
    </xf>
    <xf numFmtId="170" fontId="7" fillId="4" borderId="5" xfId="0" applyNumberFormat="1" applyFont="1" applyFill="1" applyBorder="1" applyAlignment="1">
      <alignment horizontal="right"/>
    </xf>
    <xf numFmtId="0" fontId="9" fillId="0" borderId="23" xfId="0" applyFont="1" applyBorder="1">
      <alignment vertical="center"/>
    </xf>
    <xf numFmtId="0" fontId="9" fillId="0" borderId="6" xfId="0" applyFont="1" applyBorder="1">
      <alignment vertical="center"/>
    </xf>
    <xf numFmtId="14" fontId="9" fillId="0" borderId="6" xfId="0" applyNumberFormat="1" applyFont="1" applyBorder="1">
      <alignment vertical="center"/>
    </xf>
    <xf numFmtId="0" fontId="9" fillId="0" borderId="6" xfId="0" applyFont="1" applyBorder="1" applyAlignment="1">
      <alignment horizontal="right" vertical="center"/>
    </xf>
    <xf numFmtId="0" fontId="9" fillId="0" borderId="25" xfId="0" applyFont="1" applyBorder="1" applyAlignment="1">
      <alignment horizontal="right" vertical="center"/>
    </xf>
    <xf numFmtId="170" fontId="9" fillId="0" borderId="26" xfId="0" applyNumberFormat="1" applyFont="1" applyBorder="1" applyAlignment="1">
      <alignment horizontal="center" vertical="center"/>
    </xf>
    <xf numFmtId="0" fontId="67" fillId="0" borderId="0" xfId="0" applyFont="1" applyAlignment="1">
      <alignment horizontal="centerContinuous"/>
    </xf>
    <xf numFmtId="0" fontId="63" fillId="0" borderId="0" xfId="0" applyFont="1" applyAlignment="1">
      <alignment horizontal="center"/>
    </xf>
    <xf numFmtId="0" fontId="66" fillId="0" borderId="0" xfId="0" applyFont="1" applyAlignment="1">
      <alignment horizontal="left" vertical="center"/>
    </xf>
    <xf numFmtId="0" fontId="9" fillId="0" borderId="6" xfId="0" applyFont="1" applyBorder="1" applyAlignment="1">
      <alignment horizontal="left"/>
    </xf>
    <xf numFmtId="0" fontId="1" fillId="0" borderId="0" xfId="0" applyFont="1" applyAlignment="1">
      <alignment horizontal="left" vertical="center"/>
    </xf>
    <xf numFmtId="170" fontId="9" fillId="4" borderId="0" xfId="0" applyNumberFormat="1" applyFont="1" applyFill="1">
      <alignment vertical="center"/>
    </xf>
    <xf numFmtId="0" fontId="68" fillId="0" borderId="0" xfId="0" applyFont="1" applyAlignment="1">
      <alignment horizontal="center" vertical="center"/>
    </xf>
    <xf numFmtId="0" fontId="69" fillId="0" borderId="0" xfId="0" applyFont="1">
      <alignment vertical="center"/>
    </xf>
    <xf numFmtId="170" fontId="9" fillId="0" borderId="0" xfId="0" applyNumberFormat="1" applyFont="1" applyAlignment="1">
      <alignment horizontal="right" vertical="center"/>
    </xf>
    <xf numFmtId="0" fontId="68" fillId="0" borderId="4" xfId="0" applyFont="1" applyBorder="1" applyAlignment="1">
      <alignment horizontal="center" vertical="center"/>
    </xf>
    <xf numFmtId="0" fontId="69" fillId="0" borderId="4" xfId="0" applyFont="1" applyBorder="1">
      <alignment vertical="center"/>
    </xf>
    <xf numFmtId="0" fontId="9" fillId="0" borderId="4" xfId="0" applyFont="1" applyBorder="1" applyAlignment="1">
      <alignment horizontal="right" vertical="center"/>
    </xf>
    <xf numFmtId="0" fontId="70" fillId="0" borderId="0" xfId="0" applyFont="1" applyAlignment="1">
      <alignment horizontal="left" vertical="center"/>
    </xf>
    <xf numFmtId="0" fontId="70" fillId="0" borderId="4" xfId="0" applyFont="1" applyBorder="1" applyAlignment="1">
      <alignment horizontal="left" vertical="center"/>
    </xf>
    <xf numFmtId="170" fontId="68" fillId="0" borderId="0" xfId="0" applyNumberFormat="1" applyFont="1" applyAlignment="1">
      <alignment horizontal="right" vertical="center"/>
    </xf>
    <xf numFmtId="170" fontId="68" fillId="0" borderId="0" xfId="0" applyNumberFormat="1" applyFont="1">
      <alignment vertical="center"/>
    </xf>
    <xf numFmtId="170" fontId="68" fillId="0" borderId="4" xfId="0" applyNumberFormat="1" applyFont="1" applyBorder="1" applyAlignment="1">
      <alignment horizontal="right" vertical="center"/>
    </xf>
    <xf numFmtId="170" fontId="68" fillId="0" borderId="4" xfId="0" applyNumberFormat="1" applyFont="1" applyBorder="1">
      <alignment vertical="center"/>
    </xf>
    <xf numFmtId="0" fontId="138" fillId="11" borderId="0" xfId="24" applyNumberFormat="1" applyFont="1" applyFill="1" applyAlignment="1">
      <alignment vertical="center"/>
    </xf>
    <xf numFmtId="0" fontId="139" fillId="11" borderId="0" xfId="24" applyNumberFormat="1" applyFont="1" applyFill="1" applyAlignment="1">
      <alignment vertical="center"/>
    </xf>
    <xf numFmtId="0" fontId="138" fillId="11" borderId="32" xfId="24" applyNumberFormat="1" applyFont="1" applyFill="1" applyBorder="1" applyAlignment="1">
      <alignment vertical="center"/>
    </xf>
    <xf numFmtId="0" fontId="55" fillId="4" borderId="33" xfId="24" applyNumberFormat="1" applyFont="1" applyFill="1" applyBorder="1" applyAlignment="1">
      <alignment vertical="center"/>
    </xf>
    <xf numFmtId="0" fontId="140" fillId="11" borderId="34" xfId="24" applyNumberFormat="1" applyFont="1" applyFill="1" applyBorder="1"/>
    <xf numFmtId="0" fontId="55" fillId="4" borderId="33" xfId="24" applyNumberFormat="1" applyFont="1" applyFill="1" applyBorder="1"/>
    <xf numFmtId="0" fontId="55" fillId="4" borderId="35" xfId="24" applyNumberFormat="1" applyFont="1" applyFill="1" applyBorder="1"/>
    <xf numFmtId="0" fontId="138" fillId="11" borderId="32" xfId="24" applyNumberFormat="1" applyFont="1" applyFill="1" applyBorder="1" applyAlignment="1">
      <alignment horizontal="left" vertical="center"/>
    </xf>
    <xf numFmtId="0" fontId="141" fillId="12" borderId="6" xfId="0" applyFont="1" applyFill="1" applyBorder="1" applyAlignment="1">
      <alignment horizontal="right" vertical="center"/>
    </xf>
    <xf numFmtId="0" fontId="5" fillId="0" borderId="11" xfId="0" quotePrefix="1" applyFont="1" applyBorder="1" applyAlignment="1">
      <alignment horizontal="center"/>
    </xf>
    <xf numFmtId="0" fontId="7" fillId="13" borderId="0" xfId="0" applyFont="1" applyFill="1">
      <alignment vertical="center"/>
    </xf>
    <xf numFmtId="0" fontId="9" fillId="13" borderId="0" xfId="0" applyFont="1" applyFill="1" applyAlignment="1"/>
    <xf numFmtId="0" fontId="7" fillId="13" borderId="0" xfId="0" applyFont="1" applyFill="1" applyAlignment="1"/>
    <xf numFmtId="165" fontId="11" fillId="13" borderId="0" xfId="0" applyNumberFormat="1" applyFont="1" applyFill="1">
      <alignment vertical="center"/>
    </xf>
    <xf numFmtId="0" fontId="11" fillId="13" borderId="0" xfId="0" applyFont="1" applyFill="1">
      <alignment vertical="center"/>
    </xf>
    <xf numFmtId="169" fontId="27" fillId="13" borderId="0" xfId="0" applyNumberFormat="1" applyFont="1" applyFill="1" applyAlignment="1"/>
    <xf numFmtId="0" fontId="11" fillId="13" borderId="0" xfId="0" applyFont="1" applyFill="1" applyAlignment="1"/>
    <xf numFmtId="165" fontId="7" fillId="13" borderId="0" xfId="0" applyNumberFormat="1" applyFont="1" applyFill="1">
      <alignment vertical="center"/>
    </xf>
    <xf numFmtId="0" fontId="76" fillId="0" borderId="15" xfId="0" applyFont="1" applyBorder="1" applyAlignment="1"/>
    <xf numFmtId="0" fontId="77" fillId="0" borderId="0" xfId="0" applyFont="1" applyAlignment="1"/>
    <xf numFmtId="169" fontId="76" fillId="0" borderId="0" xfId="0" applyNumberFormat="1" applyFont="1" applyAlignment="1"/>
    <xf numFmtId="169" fontId="76" fillId="0" borderId="0" xfId="29" applyNumberFormat="1" applyFont="1" applyFill="1" applyBorder="1" applyAlignment="1"/>
    <xf numFmtId="0" fontId="78" fillId="0" borderId="0" xfId="0" applyFont="1" applyAlignment="1"/>
    <xf numFmtId="0" fontId="80" fillId="0" borderId="0" xfId="0" applyFont="1" applyAlignment="1">
      <alignment horizontal="left"/>
    </xf>
    <xf numFmtId="0" fontId="80" fillId="0" borderId="15" xfId="0" applyFont="1" applyBorder="1" applyAlignment="1"/>
    <xf numFmtId="0" fontId="79" fillId="0" borderId="0" xfId="0" applyFont="1" applyAlignment="1"/>
    <xf numFmtId="0" fontId="80" fillId="0" borderId="0" xfId="0" applyFont="1" applyAlignment="1"/>
    <xf numFmtId="165" fontId="18" fillId="0" borderId="0" xfId="10" applyNumberFormat="1" applyFont="1" applyFill="1" applyAlignment="1">
      <alignment horizontal="right"/>
    </xf>
    <xf numFmtId="10" fontId="11" fillId="0" borderId="0" xfId="0" applyNumberFormat="1" applyFont="1">
      <alignment vertical="center"/>
    </xf>
    <xf numFmtId="0" fontId="7" fillId="0" borderId="15" xfId="0" applyFont="1" applyBorder="1" applyAlignment="1">
      <alignment horizontal="center"/>
    </xf>
    <xf numFmtId="172" fontId="7" fillId="0" borderId="0" xfId="0" applyNumberFormat="1" applyFont="1" applyAlignment="1">
      <alignment horizontal="center"/>
    </xf>
    <xf numFmtId="0" fontId="7" fillId="0" borderId="5" xfId="0" applyFont="1" applyBorder="1" applyAlignment="1">
      <alignment horizontal="center"/>
    </xf>
    <xf numFmtId="169" fontId="9" fillId="0" borderId="0" xfId="29" applyNumberFormat="1" applyFont="1" applyFill="1" applyBorder="1" applyAlignment="1">
      <alignment horizontal="center"/>
    </xf>
    <xf numFmtId="0" fontId="15" fillId="0" borderId="15" xfId="0" applyFont="1" applyBorder="1" applyAlignment="1">
      <alignment horizontal="center"/>
    </xf>
    <xf numFmtId="0" fontId="7" fillId="0" borderId="4" xfId="0" applyFont="1" applyBorder="1" applyAlignment="1">
      <alignment horizontal="center"/>
    </xf>
    <xf numFmtId="169" fontId="84" fillId="0" borderId="5" xfId="29" applyNumberFormat="1" applyFont="1" applyFill="1" applyBorder="1" applyAlignment="1">
      <alignment horizontal="center"/>
    </xf>
    <xf numFmtId="170" fontId="12" fillId="8" borderId="0" xfId="0" applyNumberFormat="1" applyFont="1" applyFill="1" applyAlignment="1">
      <alignment horizontal="right"/>
    </xf>
    <xf numFmtId="169" fontId="7" fillId="0" borderId="5" xfId="0" applyNumberFormat="1" applyFont="1" applyBorder="1" applyAlignment="1">
      <alignment horizontal="right"/>
    </xf>
    <xf numFmtId="0" fontId="11" fillId="0" borderId="0" xfId="0" applyFont="1" applyAlignment="1">
      <alignment horizontal="right"/>
    </xf>
    <xf numFmtId="0" fontId="27" fillId="0" borderId="0" xfId="0" applyFont="1" applyAlignment="1">
      <alignment horizontal="right"/>
    </xf>
    <xf numFmtId="0" fontId="29" fillId="0" borderId="0" xfId="0" applyFont="1" applyAlignment="1">
      <alignment horizontal="right"/>
    </xf>
    <xf numFmtId="0" fontId="7" fillId="13" borderId="11" xfId="0" applyFont="1" applyFill="1" applyBorder="1" applyAlignment="1">
      <alignment horizontal="center"/>
    </xf>
    <xf numFmtId="0" fontId="26" fillId="8" borderId="0" xfId="0" applyFont="1" applyFill="1" applyAlignment="1">
      <alignment horizontal="center"/>
    </xf>
    <xf numFmtId="0" fontId="16" fillId="7" borderId="16" xfId="0" applyFont="1" applyFill="1" applyBorder="1" applyAlignment="1">
      <alignment horizontal="center"/>
    </xf>
    <xf numFmtId="0" fontId="141" fillId="0" borderId="11" xfId="0" applyFont="1" applyBorder="1" applyAlignment="1">
      <alignment horizontal="left"/>
    </xf>
    <xf numFmtId="170" fontId="13" fillId="13" borderId="0" xfId="0" applyNumberFormat="1" applyFont="1" applyFill="1" applyAlignment="1">
      <alignment horizontal="center"/>
    </xf>
    <xf numFmtId="0" fontId="33" fillId="13" borderId="0" xfId="0" applyFont="1" applyFill="1" applyAlignment="1"/>
    <xf numFmtId="0" fontId="18" fillId="13" borderId="0" xfId="0" applyFont="1" applyFill="1">
      <alignment vertical="center"/>
    </xf>
    <xf numFmtId="0" fontId="27" fillId="13" borderId="15" xfId="0" applyFont="1" applyFill="1" applyBorder="1" applyAlignment="1">
      <alignment horizontal="left"/>
    </xf>
    <xf numFmtId="0" fontId="7" fillId="13" borderId="15" xfId="0" applyFont="1" applyFill="1" applyBorder="1" applyAlignment="1">
      <alignment horizontal="centerContinuous"/>
    </xf>
    <xf numFmtId="0" fontId="15" fillId="13" borderId="15" xfId="0" applyFont="1" applyFill="1" applyBorder="1" applyAlignment="1">
      <alignment horizontal="right"/>
    </xf>
    <xf numFmtId="0" fontId="21" fillId="13" borderId="15" xfId="0" applyFont="1" applyFill="1" applyBorder="1" applyAlignment="1">
      <alignment horizontal="right"/>
    </xf>
    <xf numFmtId="175" fontId="21" fillId="13" borderId="15" xfId="0" applyNumberFormat="1" applyFont="1" applyFill="1" applyBorder="1" applyAlignment="1">
      <alignment horizontal="right"/>
    </xf>
    <xf numFmtId="0" fontId="15" fillId="13" borderId="0" xfId="0" applyFont="1" applyFill="1">
      <alignment vertical="center"/>
    </xf>
    <xf numFmtId="173" fontId="7" fillId="13" borderId="0" xfId="0" applyNumberFormat="1" applyFont="1" applyFill="1">
      <alignment vertical="center"/>
    </xf>
    <xf numFmtId="0" fontId="15" fillId="13" borderId="0" xfId="0" applyFont="1" applyFill="1" applyAlignment="1">
      <alignment horizontal="right" vertical="center"/>
    </xf>
    <xf numFmtId="165" fontId="7" fillId="13" borderId="0" xfId="0" applyNumberFormat="1" applyFont="1" applyFill="1" applyAlignment="1">
      <alignment horizontal="right" vertical="center"/>
    </xf>
    <xf numFmtId="0" fontId="36" fillId="13" borderId="0" xfId="0" applyFont="1" applyFill="1" applyAlignment="1"/>
    <xf numFmtId="49" fontId="11" fillId="13" borderId="0" xfId="0" applyNumberFormat="1" applyFont="1" applyFill="1" applyAlignment="1">
      <alignment horizontal="left" vertical="center"/>
    </xf>
    <xf numFmtId="169" fontId="11" fillId="13" borderId="0" xfId="0" applyNumberFormat="1" applyFont="1" applyFill="1" applyAlignment="1">
      <alignment horizontal="right" vertical="center"/>
    </xf>
    <xf numFmtId="0" fontId="27" fillId="13" borderId="0" xfId="0" applyFont="1" applyFill="1" applyAlignment="1"/>
    <xf numFmtId="168" fontId="11" fillId="13" borderId="0" xfId="10" applyNumberFormat="1" applyFont="1" applyFill="1" applyAlignment="1">
      <alignment horizontal="right"/>
    </xf>
    <xf numFmtId="168" fontId="30" fillId="13" borderId="0" xfId="10" applyNumberFormat="1" applyFont="1" applyFill="1" applyAlignment="1"/>
    <xf numFmtId="168" fontId="37" fillId="13" borderId="0" xfId="10" applyNumberFormat="1" applyFont="1" applyFill="1" applyAlignment="1">
      <alignment horizontal="right"/>
    </xf>
    <xf numFmtId="168" fontId="37" fillId="13" borderId="0" xfId="10" applyNumberFormat="1" applyFont="1" applyFill="1" applyAlignment="1"/>
    <xf numFmtId="168" fontId="30" fillId="13" borderId="0" xfId="0" applyNumberFormat="1" applyFont="1" applyFill="1">
      <alignment vertical="center"/>
    </xf>
    <xf numFmtId="174" fontId="11" fillId="13" borderId="0" xfId="0" applyNumberFormat="1" applyFont="1" applyFill="1">
      <alignment vertical="center"/>
    </xf>
    <xf numFmtId="168" fontId="11" fillId="13" borderId="0" xfId="10" applyNumberFormat="1" applyFont="1" applyFill="1" applyAlignment="1"/>
    <xf numFmtId="168" fontId="11" fillId="13" borderId="0" xfId="0" applyNumberFormat="1" applyFont="1" applyFill="1" applyAlignment="1">
      <alignment horizontal="right" vertical="center"/>
    </xf>
    <xf numFmtId="0" fontId="16" fillId="13" borderId="0" xfId="0" applyFont="1" applyFill="1" applyAlignment="1"/>
    <xf numFmtId="165" fontId="30" fillId="13" borderId="0" xfId="0" applyNumberFormat="1" applyFont="1" applyFill="1" applyAlignment="1">
      <alignment horizontal="right"/>
    </xf>
    <xf numFmtId="168" fontId="11" fillId="13" borderId="0" xfId="0" applyNumberFormat="1" applyFont="1" applyFill="1">
      <alignment vertical="center"/>
    </xf>
    <xf numFmtId="0" fontId="81" fillId="13" borderId="0" xfId="0" applyFont="1" applyFill="1" applyAlignment="1"/>
    <xf numFmtId="0" fontId="19" fillId="13" borderId="0" xfId="0" applyFont="1" applyFill="1" applyAlignment="1"/>
    <xf numFmtId="165" fontId="18" fillId="13" borderId="0" xfId="0" applyNumberFormat="1" applyFont="1" applyFill="1">
      <alignment vertical="center"/>
    </xf>
    <xf numFmtId="0" fontId="9" fillId="13" borderId="0" xfId="0" applyFont="1" applyFill="1">
      <alignment vertical="center"/>
    </xf>
    <xf numFmtId="165" fontId="18" fillId="13" borderId="0" xfId="10" applyNumberFormat="1" applyFont="1" applyFill="1" applyAlignment="1"/>
    <xf numFmtId="49" fontId="7" fillId="13" borderId="0" xfId="0" applyNumberFormat="1" applyFont="1" applyFill="1" applyAlignment="1">
      <alignment horizontal="left" vertical="center"/>
    </xf>
    <xf numFmtId="165" fontId="37" fillId="13" borderId="0" xfId="10" applyNumberFormat="1" applyFont="1" applyFill="1" applyAlignment="1"/>
    <xf numFmtId="0" fontId="7" fillId="13" borderId="0" xfId="0" applyFont="1" applyFill="1" applyAlignment="1">
      <alignment horizontal="left"/>
    </xf>
    <xf numFmtId="0" fontId="9" fillId="13" borderId="0" xfId="0" applyFont="1" applyFill="1" applyAlignment="1">
      <alignment horizontal="left"/>
    </xf>
    <xf numFmtId="165" fontId="11" fillId="13" borderId="0" xfId="0" applyNumberFormat="1" applyFont="1" applyFill="1" applyAlignment="1">
      <alignment horizontal="right"/>
    </xf>
    <xf numFmtId="169" fontId="11" fillId="13" borderId="0" xfId="0" applyNumberFormat="1" applyFont="1" applyFill="1">
      <alignment vertical="center"/>
    </xf>
    <xf numFmtId="165" fontId="11" fillId="13" borderId="0" xfId="10" applyNumberFormat="1" applyFont="1" applyFill="1" applyAlignment="1"/>
    <xf numFmtId="0" fontId="19" fillId="13" borderId="0" xfId="0" applyFont="1" applyFill="1" applyAlignment="1">
      <alignment horizontal="left"/>
    </xf>
    <xf numFmtId="0" fontId="38" fillId="13" borderId="0" xfId="0" applyFont="1" applyFill="1" applyAlignment="1">
      <alignment horizontal="left"/>
    </xf>
    <xf numFmtId="168" fontId="30" fillId="13" borderId="0" xfId="0" applyNumberFormat="1" applyFont="1" applyFill="1" applyAlignment="1">
      <alignment horizontal="right" vertical="center"/>
    </xf>
    <xf numFmtId="165" fontId="18" fillId="13" borderId="0" xfId="0" applyNumberFormat="1" applyFont="1" applyFill="1" applyAlignment="1">
      <alignment horizontal="right" vertical="center"/>
    </xf>
    <xf numFmtId="169" fontId="7" fillId="13" borderId="0" xfId="0" applyNumberFormat="1" applyFont="1" applyFill="1">
      <alignment vertical="center"/>
    </xf>
    <xf numFmtId="169" fontId="30" fillId="13" borderId="0" xfId="0" applyNumberFormat="1" applyFont="1" applyFill="1" applyAlignment="1"/>
    <xf numFmtId="0" fontId="27" fillId="13" borderId="0" xfId="0" applyFont="1" applyFill="1" applyAlignment="1">
      <alignment horizontal="right"/>
    </xf>
    <xf numFmtId="168" fontId="27" fillId="13" borderId="0" xfId="0" applyNumberFormat="1" applyFont="1" applyFill="1" applyAlignment="1">
      <alignment horizontal="right"/>
    </xf>
    <xf numFmtId="169" fontId="9" fillId="13" borderId="0" xfId="29" applyNumberFormat="1" applyFont="1" applyFill="1" applyBorder="1" applyAlignment="1"/>
    <xf numFmtId="0" fontId="39" fillId="13" borderId="0" xfId="0" applyFont="1" applyFill="1" applyAlignment="1">
      <alignment horizontal="left"/>
    </xf>
    <xf numFmtId="0" fontId="25" fillId="13" borderId="0" xfId="0" applyFont="1" applyFill="1" applyAlignment="1">
      <alignment horizontal="centerContinuous"/>
    </xf>
    <xf numFmtId="0" fontId="22" fillId="13" borderId="0" xfId="0" applyFont="1" applyFill="1" applyAlignment="1">
      <alignment horizontal="right"/>
    </xf>
    <xf numFmtId="0" fontId="25" fillId="13" borderId="0" xfId="0" applyFont="1" applyFill="1" applyAlignment="1">
      <alignment horizontal="center"/>
    </xf>
    <xf numFmtId="168" fontId="27" fillId="13" borderId="0" xfId="0" applyNumberFormat="1" applyFont="1" applyFill="1">
      <alignment vertical="center"/>
    </xf>
    <xf numFmtId="0" fontId="6" fillId="13" borderId="0" xfId="0" applyFont="1" applyFill="1" applyAlignment="1"/>
    <xf numFmtId="0" fontId="3" fillId="13" borderId="0" xfId="0" applyFont="1" applyFill="1" applyAlignment="1"/>
    <xf numFmtId="0" fontId="27" fillId="13" borderId="0" xfId="0" applyFont="1" applyFill="1">
      <alignment vertical="center"/>
    </xf>
    <xf numFmtId="10" fontId="30" fillId="13" borderId="0" xfId="0" applyNumberFormat="1" applyFont="1" applyFill="1">
      <alignment vertical="center"/>
    </xf>
    <xf numFmtId="168" fontId="11" fillId="13" borderId="0" xfId="10" applyNumberFormat="1" applyFont="1" applyFill="1" applyBorder="1" applyAlignment="1"/>
    <xf numFmtId="165" fontId="15" fillId="13" borderId="0" xfId="0" applyNumberFormat="1" applyFont="1" applyFill="1">
      <alignment vertical="center"/>
    </xf>
    <xf numFmtId="167" fontId="18" fillId="13" borderId="0" xfId="0" applyNumberFormat="1" applyFont="1" applyFill="1">
      <alignment vertical="center"/>
    </xf>
    <xf numFmtId="165" fontId="142" fillId="13" borderId="0" xfId="0" applyNumberFormat="1" applyFont="1" applyFill="1">
      <alignment vertical="center"/>
    </xf>
    <xf numFmtId="0" fontId="9" fillId="13" borderId="5" xfId="0" applyFont="1" applyFill="1" applyBorder="1" applyAlignment="1"/>
    <xf numFmtId="165" fontId="18" fillId="13" borderId="5" xfId="0" applyNumberFormat="1" applyFont="1" applyFill="1" applyBorder="1">
      <alignment vertical="center"/>
    </xf>
    <xf numFmtId="0" fontId="11" fillId="13" borderId="0" xfId="0" applyFont="1" applyFill="1" applyAlignment="1">
      <alignment horizontal="left"/>
    </xf>
    <xf numFmtId="165" fontId="11" fillId="13" borderId="0" xfId="10" applyNumberFormat="1" applyFont="1" applyFill="1" applyBorder="1" applyAlignment="1"/>
    <xf numFmtId="0" fontId="7" fillId="13" borderId="0" xfId="0" quotePrefix="1" applyFont="1" applyFill="1" applyAlignment="1"/>
    <xf numFmtId="165" fontId="7" fillId="13" borderId="0" xfId="10" applyNumberFormat="1" applyFont="1" applyFill="1" applyBorder="1" applyAlignment="1"/>
    <xf numFmtId="165" fontId="7" fillId="13" borderId="0" xfId="10" applyNumberFormat="1" applyFont="1" applyFill="1" applyBorder="1" applyAlignment="1">
      <alignment horizontal="right"/>
    </xf>
    <xf numFmtId="0" fontId="9" fillId="13" borderId="5" xfId="0" applyFont="1" applyFill="1" applyBorder="1">
      <alignment vertical="center"/>
    </xf>
    <xf numFmtId="0" fontId="7" fillId="13" borderId="5" xfId="0" applyFont="1" applyFill="1" applyBorder="1">
      <alignment vertical="center"/>
    </xf>
    <xf numFmtId="165" fontId="7" fillId="13" borderId="5" xfId="0" applyNumberFormat="1" applyFont="1" applyFill="1" applyBorder="1">
      <alignment vertical="center"/>
    </xf>
    <xf numFmtId="165" fontId="18" fillId="13" borderId="5" xfId="0" applyNumberFormat="1" applyFont="1" applyFill="1" applyBorder="1" applyAlignment="1">
      <alignment horizontal="right" vertical="center"/>
    </xf>
    <xf numFmtId="0" fontId="15" fillId="13" borderId="0" xfId="0" applyFont="1" applyFill="1" applyAlignment="1"/>
    <xf numFmtId="0" fontId="4" fillId="13" borderId="0" xfId="0" applyFont="1" applyFill="1" applyAlignment="1"/>
    <xf numFmtId="0" fontId="56" fillId="13" borderId="0" xfId="0" applyFont="1" applyFill="1" applyAlignment="1"/>
    <xf numFmtId="165" fontId="11" fillId="13" borderId="0" xfId="0" applyNumberFormat="1" applyFont="1" applyFill="1" applyAlignment="1">
      <alignment horizontal="right" vertical="center"/>
    </xf>
    <xf numFmtId="165" fontId="11" fillId="13" borderId="0" xfId="10" applyNumberFormat="1" applyFont="1" applyFill="1" applyBorder="1" applyAlignment="1">
      <alignment horizontal="right"/>
    </xf>
    <xf numFmtId="0" fontId="27" fillId="13" borderId="5" xfId="0" applyFont="1" applyFill="1" applyBorder="1">
      <alignment vertical="center"/>
    </xf>
    <xf numFmtId="165" fontId="7" fillId="13" borderId="5" xfId="0" applyNumberFormat="1" applyFont="1" applyFill="1" applyBorder="1" applyAlignment="1">
      <alignment horizontal="right" vertical="center"/>
    </xf>
    <xf numFmtId="168" fontId="11" fillId="13" borderId="0" xfId="10" applyNumberFormat="1" applyFont="1" applyFill="1" applyBorder="1" applyAlignment="1">
      <alignment horizontal="right"/>
    </xf>
    <xf numFmtId="169" fontId="36" fillId="13" borderId="0" xfId="0" applyNumberFormat="1" applyFont="1" applyFill="1" applyAlignment="1"/>
    <xf numFmtId="0" fontId="1" fillId="0" borderId="0" xfId="0" applyFont="1" applyAlignment="1">
      <alignment horizontal="left"/>
    </xf>
    <xf numFmtId="165" fontId="18" fillId="6" borderId="0" xfId="0" applyNumberFormat="1" applyFont="1" applyFill="1" applyAlignment="1">
      <alignment horizontal="right"/>
    </xf>
    <xf numFmtId="165" fontId="142" fillId="13" borderId="0" xfId="0" applyNumberFormat="1" applyFont="1" applyFill="1" applyAlignment="1">
      <alignment horizontal="right" vertical="center"/>
    </xf>
    <xf numFmtId="0" fontId="7" fillId="0" borderId="36" xfId="0" applyFont="1" applyBorder="1">
      <alignment vertical="center"/>
    </xf>
    <xf numFmtId="170" fontId="7" fillId="0" borderId="36" xfId="0" applyNumberFormat="1" applyFont="1" applyBorder="1">
      <alignment vertical="center"/>
    </xf>
    <xf numFmtId="170" fontId="7" fillId="0" borderId="36" xfId="0" applyNumberFormat="1" applyFont="1" applyBorder="1" applyAlignment="1">
      <alignment horizontal="right" vertical="center"/>
    </xf>
    <xf numFmtId="170" fontId="7" fillId="0" borderId="37" xfId="0" applyNumberFormat="1" applyFont="1" applyBorder="1" applyAlignment="1">
      <alignment horizontal="right" vertical="center"/>
    </xf>
    <xf numFmtId="170" fontId="7" fillId="4" borderId="36" xfId="0" applyNumberFormat="1" applyFont="1" applyFill="1" applyBorder="1">
      <alignment vertical="center"/>
    </xf>
    <xf numFmtId="170" fontId="9" fillId="13" borderId="38" xfId="0" applyNumberFormat="1" applyFont="1" applyFill="1" applyBorder="1">
      <alignment vertical="center"/>
    </xf>
    <xf numFmtId="170" fontId="9" fillId="0" borderId="5" xfId="0" applyNumberFormat="1" applyFont="1" applyBorder="1">
      <alignment vertical="center"/>
    </xf>
    <xf numFmtId="170" fontId="3" fillId="0" borderId="5" xfId="0" applyNumberFormat="1" applyFont="1" applyBorder="1" applyAlignment="1">
      <alignment horizontal="right" vertical="center"/>
    </xf>
    <xf numFmtId="0" fontId="55" fillId="4" borderId="0" xfId="24" applyNumberFormat="1" applyFont="1" applyFill="1" applyAlignment="1">
      <alignment wrapText="1"/>
    </xf>
    <xf numFmtId="0" fontId="143" fillId="0" borderId="0" xfId="0" applyFont="1" applyAlignment="1">
      <alignment horizontal="left" vertical="center" readingOrder="1"/>
    </xf>
    <xf numFmtId="0" fontId="144" fillId="4" borderId="0" xfId="24" applyNumberFormat="1" applyFont="1" applyFill="1"/>
    <xf numFmtId="0" fontId="138" fillId="11" borderId="39" xfId="24" applyNumberFormat="1" applyFont="1" applyFill="1" applyBorder="1" applyAlignment="1">
      <alignment vertical="center"/>
    </xf>
    <xf numFmtId="170" fontId="9" fillId="4" borderId="11" xfId="0" applyNumberFormat="1" applyFont="1" applyFill="1" applyBorder="1">
      <alignment vertical="center"/>
    </xf>
    <xf numFmtId="170" fontId="9" fillId="4" borderId="21" xfId="0" applyNumberFormat="1" applyFont="1" applyFill="1" applyBorder="1">
      <alignment vertical="center"/>
    </xf>
    <xf numFmtId="170" fontId="51" fillId="0" borderId="0" xfId="0" applyNumberFormat="1" applyFont="1">
      <alignment vertical="center"/>
    </xf>
    <xf numFmtId="170" fontId="7" fillId="0" borderId="4" xfId="0" applyNumberFormat="1" applyFont="1" applyBorder="1">
      <alignment vertical="center"/>
    </xf>
    <xf numFmtId="0" fontId="16" fillId="4" borderId="23" xfId="0" applyFont="1" applyFill="1" applyBorder="1" applyAlignment="1">
      <alignment horizontal="center"/>
    </xf>
    <xf numFmtId="170" fontId="9" fillId="0" borderId="24" xfId="0" applyNumberFormat="1" applyFont="1" applyBorder="1">
      <alignment vertical="center"/>
    </xf>
    <xf numFmtId="0" fontId="36" fillId="0" borderId="0" xfId="0" applyFont="1" applyAlignment="1"/>
    <xf numFmtId="178" fontId="15" fillId="8" borderId="0" xfId="0" applyNumberFormat="1" applyFont="1" applyFill="1" applyAlignment="1">
      <alignment horizontal="left"/>
    </xf>
    <xf numFmtId="0" fontId="7" fillId="13" borderId="4" xfId="0" applyFont="1" applyFill="1" applyBorder="1" applyAlignment="1">
      <alignment horizontal="left"/>
    </xf>
    <xf numFmtId="0" fontId="11" fillId="13" borderId="4" xfId="0" applyFont="1" applyFill="1" applyBorder="1">
      <alignment vertical="center"/>
    </xf>
    <xf numFmtId="168" fontId="11" fillId="13" borderId="4" xfId="10" applyNumberFormat="1" applyFont="1" applyFill="1" applyBorder="1" applyAlignment="1"/>
    <xf numFmtId="164" fontId="15" fillId="0" borderId="0" xfId="29" applyFont="1" applyFill="1" applyAlignment="1">
      <alignment horizontal="right"/>
    </xf>
    <xf numFmtId="0" fontId="85" fillId="0" borderId="0" xfId="0" applyFont="1">
      <alignment vertical="center"/>
    </xf>
    <xf numFmtId="0" fontId="85" fillId="0" borderId="19" xfId="0" applyFont="1" applyBorder="1" applyAlignment="1">
      <alignment horizontal="left" vertical="center"/>
    </xf>
    <xf numFmtId="170" fontId="86" fillId="0" borderId="0" xfId="0" applyNumberFormat="1" applyFont="1">
      <alignment vertical="center"/>
    </xf>
    <xf numFmtId="170" fontId="145" fillId="0" borderId="4" xfId="0" applyNumberFormat="1" applyFont="1" applyBorder="1">
      <alignment vertical="center"/>
    </xf>
    <xf numFmtId="0" fontId="7" fillId="0" borderId="27" xfId="0" applyFont="1" applyBorder="1" applyAlignment="1">
      <alignment horizontal="center" vertical="center"/>
    </xf>
    <xf numFmtId="0" fontId="85" fillId="0" borderId="5" xfId="0" applyFont="1" applyBorder="1">
      <alignment vertical="center"/>
    </xf>
    <xf numFmtId="165" fontId="142" fillId="13" borderId="4" xfId="0" applyNumberFormat="1" applyFont="1" applyFill="1" applyBorder="1">
      <alignment vertical="center"/>
    </xf>
    <xf numFmtId="0" fontId="15" fillId="0" borderId="5" xfId="0" applyFont="1" applyBorder="1" applyAlignment="1"/>
    <xf numFmtId="169" fontId="75" fillId="0" borderId="0" xfId="29" applyNumberFormat="1" applyFont="1" applyFill="1" applyBorder="1" applyAlignment="1"/>
    <xf numFmtId="169" fontId="9" fillId="0" borderId="5" xfId="29" applyNumberFormat="1" applyFont="1" applyFill="1" applyBorder="1" applyAlignment="1"/>
    <xf numFmtId="0" fontId="88" fillId="0" borderId="0" xfId="0" applyFont="1">
      <alignment vertical="center"/>
    </xf>
    <xf numFmtId="0" fontId="88" fillId="0" borderId="19" xfId="0" applyFont="1" applyBorder="1">
      <alignment vertical="center"/>
    </xf>
    <xf numFmtId="10" fontId="7" fillId="0" borderId="0" xfId="0" applyNumberFormat="1" applyFont="1" applyAlignment="1">
      <alignment horizontal="right"/>
    </xf>
    <xf numFmtId="0" fontId="19" fillId="0" borderId="0" xfId="0" applyFont="1" applyAlignment="1">
      <alignment horizontal="left"/>
    </xf>
    <xf numFmtId="0" fontId="15" fillId="8" borderId="0" xfId="0" applyFont="1" applyFill="1" applyAlignment="1">
      <alignment horizontal="right"/>
    </xf>
    <xf numFmtId="164" fontId="5" fillId="0" borderId="11" xfId="29" applyFont="1" applyFill="1" applyBorder="1" applyAlignment="1">
      <alignment horizontal="right"/>
    </xf>
    <xf numFmtId="10" fontId="5" fillId="0" borderId="11" xfId="29" applyNumberFormat="1" applyFont="1" applyFill="1" applyBorder="1" applyAlignment="1">
      <alignment horizontal="right"/>
    </xf>
    <xf numFmtId="0" fontId="146" fillId="0" borderId="0" xfId="0" applyFont="1">
      <alignment vertical="center"/>
    </xf>
    <xf numFmtId="0" fontId="147" fillId="0" borderId="0" xfId="0" applyFont="1" applyAlignment="1"/>
    <xf numFmtId="10" fontId="148" fillId="0" borderId="0" xfId="10" applyNumberFormat="1" applyFont="1" applyFill="1" applyAlignment="1">
      <alignment horizontal="right"/>
    </xf>
    <xf numFmtId="0" fontId="148" fillId="0" borderId="0" xfId="0" applyFont="1">
      <alignment vertical="center"/>
    </xf>
    <xf numFmtId="0" fontId="148" fillId="0" borderId="0" xfId="0" applyFont="1" applyAlignment="1"/>
    <xf numFmtId="0" fontId="148" fillId="0" borderId="0" xfId="0" applyFont="1" applyAlignment="1">
      <alignment horizontal="right"/>
    </xf>
    <xf numFmtId="169" fontId="147" fillId="0" borderId="0" xfId="0" applyNumberFormat="1" applyFont="1" applyAlignment="1"/>
    <xf numFmtId="169" fontId="148" fillId="0" borderId="0" xfId="0" applyNumberFormat="1" applyFont="1">
      <alignment vertical="center"/>
    </xf>
    <xf numFmtId="169" fontId="149" fillId="0" borderId="0" xfId="0" applyNumberFormat="1" applyFont="1" applyAlignment="1"/>
    <xf numFmtId="169" fontId="150" fillId="0" borderId="0" xfId="0" applyNumberFormat="1" applyFont="1" applyAlignment="1">
      <alignment horizontal="right"/>
    </xf>
    <xf numFmtId="169" fontId="150" fillId="0" borderId="0" xfId="0" applyNumberFormat="1" applyFont="1">
      <alignment vertical="center"/>
    </xf>
    <xf numFmtId="169" fontId="148" fillId="0" borderId="0" xfId="0" applyNumberFormat="1" applyFont="1" applyAlignment="1"/>
    <xf numFmtId="0" fontId="146" fillId="0" borderId="0" xfId="0" applyFont="1" applyAlignment="1">
      <alignment horizontal="right"/>
    </xf>
    <xf numFmtId="10" fontId="148" fillId="0" borderId="0" xfId="10" applyNumberFormat="1" applyFont="1" applyFill="1" applyBorder="1" applyAlignment="1">
      <alignment horizontal="right"/>
    </xf>
    <xf numFmtId="0" fontId="146" fillId="0" borderId="0" xfId="0" applyFont="1" applyAlignment="1"/>
    <xf numFmtId="169" fontId="151" fillId="0" borderId="0" xfId="0" applyNumberFormat="1" applyFont="1">
      <alignment vertical="center"/>
    </xf>
    <xf numFmtId="0" fontId="148" fillId="0" borderId="4" xfId="0" applyFont="1" applyBorder="1" applyAlignment="1"/>
    <xf numFmtId="0" fontId="147" fillId="0" borderId="4" xfId="0" applyFont="1" applyBorder="1" applyAlignment="1">
      <alignment horizontal="left"/>
    </xf>
    <xf numFmtId="169" fontId="151" fillId="0" borderId="4" xfId="0" applyNumberFormat="1" applyFont="1" applyBorder="1">
      <alignment vertical="center"/>
    </xf>
    <xf numFmtId="168" fontId="148" fillId="0" borderId="4" xfId="10" applyNumberFormat="1" applyFont="1" applyFill="1" applyBorder="1" applyAlignment="1">
      <alignment horizontal="right"/>
    </xf>
    <xf numFmtId="165" fontId="18" fillId="14" borderId="5" xfId="0" applyNumberFormat="1" applyFont="1" applyFill="1" applyBorder="1" applyAlignment="1">
      <alignment horizontal="right" vertical="center"/>
    </xf>
    <xf numFmtId="165" fontId="30" fillId="6" borderId="0" xfId="0" applyNumberFormat="1" applyFont="1" applyFill="1">
      <alignment vertical="center"/>
    </xf>
    <xf numFmtId="10" fontId="30" fillId="6" borderId="0" xfId="10" applyNumberFormat="1" applyFont="1" applyFill="1" applyAlignment="1"/>
    <xf numFmtId="164" fontId="7" fillId="0" borderId="0" xfId="29" applyFont="1" applyFill="1" applyBorder="1" applyAlignment="1">
      <alignment horizontal="right"/>
    </xf>
    <xf numFmtId="0" fontId="7" fillId="0" borderId="28" xfId="0" applyFont="1" applyBorder="1" applyAlignment="1">
      <alignment horizontal="center"/>
    </xf>
    <xf numFmtId="165" fontId="45" fillId="0" borderId="29" xfId="10" applyNumberFormat="1" applyFont="1" applyFill="1" applyBorder="1" applyAlignment="1"/>
    <xf numFmtId="165" fontId="45" fillId="0" borderId="4" xfId="10" applyNumberFormat="1" applyFont="1" applyFill="1" applyBorder="1" applyAlignment="1"/>
    <xf numFmtId="0" fontId="152" fillId="0" borderId="6" xfId="0" applyFont="1" applyBorder="1" applyAlignment="1">
      <alignment horizontal="center"/>
    </xf>
    <xf numFmtId="0" fontId="9" fillId="0" borderId="4" xfId="0" applyFont="1" applyBorder="1" applyAlignment="1"/>
    <xf numFmtId="0" fontId="7" fillId="0" borderId="4" xfId="0" applyFont="1" applyBorder="1" applyAlignment="1"/>
    <xf numFmtId="0" fontId="27" fillId="0" borderId="4" xfId="0" applyFont="1" applyBorder="1" applyAlignment="1">
      <alignment horizontal="right"/>
    </xf>
    <xf numFmtId="170" fontId="7" fillId="0" borderId="4" xfId="10" applyNumberFormat="1" applyFont="1" applyFill="1" applyBorder="1" applyAlignment="1">
      <alignment horizontal="right"/>
    </xf>
    <xf numFmtId="165" fontId="7" fillId="0" borderId="4" xfId="0" applyNumberFormat="1" applyFont="1" applyBorder="1" applyAlignment="1">
      <alignment horizontal="right"/>
    </xf>
    <xf numFmtId="165" fontId="89" fillId="13" borderId="0" xfId="0" applyNumberFormat="1" applyFont="1" applyFill="1">
      <alignment vertical="center"/>
    </xf>
    <xf numFmtId="165" fontId="89" fillId="0" borderId="5" xfId="0" applyNumberFormat="1" applyFont="1" applyBorder="1">
      <alignment vertical="center"/>
    </xf>
    <xf numFmtId="165" fontId="48" fillId="0" borderId="0" xfId="0" applyNumberFormat="1" applyFont="1" applyAlignment="1"/>
    <xf numFmtId="165" fontId="90" fillId="0" borderId="0" xfId="0" applyNumberFormat="1" applyFont="1" applyAlignment="1"/>
    <xf numFmtId="0" fontId="1" fillId="0" borderId="5" xfId="0" applyFont="1" applyBorder="1">
      <alignment vertical="center"/>
    </xf>
    <xf numFmtId="0" fontId="31" fillId="0" borderId="0" xfId="0" applyFont="1" applyAlignment="1"/>
    <xf numFmtId="0" fontId="32" fillId="0" borderId="0" xfId="0" applyFont="1" applyAlignment="1"/>
    <xf numFmtId="0" fontId="1" fillId="0" borderId="0" xfId="0" applyFont="1">
      <alignment vertical="center"/>
    </xf>
    <xf numFmtId="0" fontId="55" fillId="4" borderId="40" xfId="24" applyNumberFormat="1" applyFont="1" applyFill="1" applyBorder="1"/>
    <xf numFmtId="165" fontId="18" fillId="0" borderId="0" xfId="0" applyNumberFormat="1" applyFont="1" applyAlignment="1">
      <alignment horizontal="right"/>
    </xf>
    <xf numFmtId="165" fontId="7" fillId="13" borderId="0" xfId="0" applyNumberFormat="1" applyFont="1" applyFill="1" applyAlignment="1">
      <alignment horizontal="right"/>
    </xf>
    <xf numFmtId="169" fontId="7" fillId="0" borderId="5" xfId="0" applyNumberFormat="1" applyFont="1" applyBorder="1" applyAlignment="1"/>
    <xf numFmtId="165" fontId="7" fillId="0" borderId="5" xfId="10" applyNumberFormat="1" applyFont="1" applyFill="1" applyBorder="1" applyAlignment="1">
      <alignment horizontal="right"/>
    </xf>
    <xf numFmtId="0" fontId="7" fillId="0" borderId="5" xfId="0" applyFont="1" applyBorder="1" applyAlignment="1">
      <alignment horizontal="right"/>
    </xf>
    <xf numFmtId="10" fontId="7" fillId="0" borderId="5" xfId="0" applyNumberFormat="1" applyFont="1" applyBorder="1" applyAlignment="1">
      <alignment horizontal="right"/>
    </xf>
    <xf numFmtId="173" fontId="7" fillId="13" borderId="0" xfId="0" applyNumberFormat="1" applyFont="1" applyFill="1" applyAlignment="1">
      <alignment horizontal="right" vertical="center"/>
    </xf>
    <xf numFmtId="10" fontId="30" fillId="6" borderId="0" xfId="10" applyNumberFormat="1" applyFont="1" applyFill="1" applyAlignment="1">
      <alignment horizontal="right"/>
    </xf>
    <xf numFmtId="168" fontId="30" fillId="6" borderId="0" xfId="10" applyNumberFormat="1" applyFont="1" applyFill="1" applyAlignment="1">
      <alignment horizontal="right"/>
    </xf>
    <xf numFmtId="168" fontId="30" fillId="13" borderId="0" xfId="10" applyNumberFormat="1" applyFont="1" applyFill="1" applyAlignment="1">
      <alignment horizontal="right"/>
    </xf>
    <xf numFmtId="165" fontId="18" fillId="16" borderId="0" xfId="0" applyNumberFormat="1" applyFont="1" applyFill="1">
      <alignment vertical="center"/>
    </xf>
    <xf numFmtId="0" fontId="11" fillId="13" borderId="41" xfId="0" applyFont="1" applyFill="1" applyBorder="1">
      <alignment vertical="center"/>
    </xf>
    <xf numFmtId="0" fontId="9" fillId="13" borderId="4" xfId="0" applyFont="1" applyFill="1" applyBorder="1" applyAlignment="1"/>
    <xf numFmtId="0" fontId="15" fillId="13" borderId="4" xfId="0" applyFont="1" applyFill="1" applyBorder="1">
      <alignment vertical="center"/>
    </xf>
    <xf numFmtId="165" fontId="15" fillId="13" borderId="4" xfId="0" applyNumberFormat="1" applyFont="1" applyFill="1" applyBorder="1">
      <alignment vertical="center"/>
    </xf>
    <xf numFmtId="169" fontId="9" fillId="13" borderId="0" xfId="0" applyNumberFormat="1" applyFont="1" applyFill="1" applyAlignment="1"/>
    <xf numFmtId="165" fontId="7" fillId="13" borderId="0" xfId="10" applyNumberFormat="1" applyFont="1" applyFill="1" applyAlignment="1"/>
    <xf numFmtId="168" fontId="142" fillId="13" borderId="0" xfId="10" applyNumberFormat="1" applyFont="1" applyFill="1" applyBorder="1" applyAlignment="1">
      <alignment horizontal="right" vertical="center"/>
    </xf>
    <xf numFmtId="169" fontId="15" fillId="13" borderId="0" xfId="0" applyNumberFormat="1" applyFont="1" applyFill="1" applyAlignment="1"/>
    <xf numFmtId="10" fontId="11" fillId="13" borderId="0" xfId="10" applyNumberFormat="1" applyFont="1" applyFill="1" applyAlignment="1">
      <alignment horizontal="right"/>
    </xf>
    <xf numFmtId="169" fontId="15" fillId="13" borderId="0" xfId="0" applyNumberFormat="1" applyFont="1" applyFill="1">
      <alignment vertical="center"/>
    </xf>
    <xf numFmtId="169" fontId="7" fillId="13" borderId="0" xfId="0" applyNumberFormat="1" applyFont="1" applyFill="1" applyAlignment="1"/>
    <xf numFmtId="170" fontId="7" fillId="13" borderId="0" xfId="0" applyNumberFormat="1" applyFont="1" applyFill="1">
      <alignment vertical="center"/>
    </xf>
    <xf numFmtId="168" fontId="11" fillId="13" borderId="4" xfId="10" applyNumberFormat="1" applyFont="1" applyFill="1" applyBorder="1" applyAlignment="1">
      <alignment horizontal="right"/>
    </xf>
    <xf numFmtId="170" fontId="7" fillId="13" borderId="0" xfId="0" applyNumberFormat="1" applyFont="1" applyFill="1" applyAlignment="1">
      <alignment horizontal="right"/>
    </xf>
    <xf numFmtId="165" fontId="5" fillId="13" borderId="0" xfId="0" applyNumberFormat="1" applyFont="1" applyFill="1" applyAlignment="1">
      <alignment horizontal="right" vertical="center"/>
    </xf>
    <xf numFmtId="0" fontId="7" fillId="13" borderId="0" xfId="0" applyFont="1" applyFill="1" applyAlignment="1">
      <alignment horizontal="right"/>
    </xf>
    <xf numFmtId="173" fontId="7" fillId="13" borderId="0" xfId="0" applyNumberFormat="1" applyFont="1" applyFill="1" applyAlignment="1">
      <alignment horizontal="right"/>
    </xf>
    <xf numFmtId="0" fontId="9" fillId="13" borderId="4" xfId="0" applyFont="1" applyFill="1" applyBorder="1" applyAlignment="1">
      <alignment horizontal="left"/>
    </xf>
    <xf numFmtId="173" fontId="7" fillId="13" borderId="0" xfId="29" applyNumberFormat="1" applyFont="1" applyFill="1" applyBorder="1" applyAlignment="1">
      <alignment horizontal="right"/>
    </xf>
    <xf numFmtId="173" fontId="15" fillId="13" borderId="0" xfId="29" applyNumberFormat="1" applyFont="1" applyFill="1" applyBorder="1" applyAlignment="1">
      <alignment horizontal="right"/>
    </xf>
    <xf numFmtId="173" fontId="15" fillId="13" borderId="0" xfId="0" applyNumberFormat="1" applyFont="1" applyFill="1" applyAlignment="1">
      <alignment horizontal="right"/>
    </xf>
    <xf numFmtId="173" fontId="25" fillId="13" borderId="0" xfId="0" applyNumberFormat="1" applyFont="1" applyFill="1" applyAlignment="1">
      <alignment horizontal="right"/>
    </xf>
    <xf numFmtId="170" fontId="9" fillId="13" borderId="0" xfId="0" applyNumberFormat="1" applyFont="1" applyFill="1">
      <alignment vertical="center"/>
    </xf>
    <xf numFmtId="0" fontId="16" fillId="0" borderId="0" xfId="0" applyFont="1">
      <alignment vertical="center"/>
    </xf>
    <xf numFmtId="0" fontId="16" fillId="13" borderId="0" xfId="0" applyFont="1" applyFill="1">
      <alignment vertical="center"/>
    </xf>
    <xf numFmtId="169" fontId="83" fillId="13" borderId="0" xfId="0" applyNumberFormat="1" applyFont="1" applyFill="1" applyAlignment="1"/>
    <xf numFmtId="169" fontId="15" fillId="13" borderId="0" xfId="0" applyNumberFormat="1" applyFont="1" applyFill="1" applyAlignment="1">
      <alignment horizontal="right"/>
    </xf>
    <xf numFmtId="164" fontId="89" fillId="0" borderId="11" xfId="29" applyFont="1" applyBorder="1" applyAlignment="1">
      <alignment horizontal="center"/>
    </xf>
    <xf numFmtId="165" fontId="5" fillId="0" borderId="0" xfId="10" applyNumberFormat="1" applyFont="1" applyBorder="1" applyAlignment="1">
      <alignment horizontal="right"/>
    </xf>
    <xf numFmtId="165" fontId="5" fillId="0" borderId="0" xfId="10" applyNumberFormat="1" applyFont="1" applyFill="1" applyBorder="1" applyAlignment="1">
      <alignment horizontal="right"/>
    </xf>
    <xf numFmtId="164" fontId="6" fillId="13" borderId="0" xfId="29" applyFont="1" applyFill="1" applyBorder="1" applyAlignment="1">
      <alignment horizontal="center"/>
    </xf>
    <xf numFmtId="0" fontId="7" fillId="0" borderId="8" xfId="0" applyFont="1" applyBorder="1" applyAlignment="1">
      <alignment horizontal="left"/>
    </xf>
    <xf numFmtId="0" fontId="7" fillId="0" borderId="9" xfId="0" applyFont="1" applyBorder="1" applyAlignment="1">
      <alignment horizontal="left"/>
    </xf>
    <xf numFmtId="0" fontId="141" fillId="0" borderId="0" xfId="0" applyFont="1" applyAlignment="1">
      <alignment horizontal="left"/>
    </xf>
    <xf numFmtId="165" fontId="5" fillId="0" borderId="8" xfId="10" applyNumberFormat="1" applyFont="1" applyFill="1" applyBorder="1" applyAlignment="1">
      <alignment horizontal="right"/>
    </xf>
    <xf numFmtId="10" fontId="5" fillId="0" borderId="9" xfId="10" applyNumberFormat="1" applyFont="1" applyFill="1" applyBorder="1" applyAlignment="1">
      <alignment horizontal="right"/>
    </xf>
    <xf numFmtId="0" fontId="5" fillId="0" borderId="6" xfId="0" applyFont="1" applyBorder="1" applyAlignment="1">
      <alignment horizontal="right"/>
    </xf>
    <xf numFmtId="10" fontId="44" fillId="0" borderId="0" xfId="10" applyNumberFormat="1" applyFont="1" applyBorder="1" applyAlignment="1">
      <alignment horizontal="right"/>
    </xf>
    <xf numFmtId="10" fontId="44" fillId="0" borderId="0" xfId="10" applyNumberFormat="1" applyFont="1" applyFill="1" applyBorder="1" applyAlignment="1">
      <alignment horizontal="right"/>
    </xf>
    <xf numFmtId="10" fontId="46" fillId="0" borderId="0" xfId="10" applyNumberFormat="1" applyFont="1" applyFill="1" applyBorder="1" applyAlignment="1">
      <alignment horizontal="right"/>
    </xf>
    <xf numFmtId="10" fontId="5" fillId="0" borderId="0" xfId="10" applyNumberFormat="1" applyFont="1" applyFill="1" applyBorder="1" applyAlignment="1">
      <alignment horizontal="right"/>
    </xf>
    <xf numFmtId="0" fontId="141" fillId="8" borderId="0" xfId="0" applyFont="1" applyFill="1" applyAlignment="1">
      <alignment horizontal="right"/>
    </xf>
    <xf numFmtId="0" fontId="153" fillId="8" borderId="0" xfId="0" applyFont="1" applyFill="1" applyAlignment="1">
      <alignment horizontal="center"/>
    </xf>
    <xf numFmtId="0" fontId="141" fillId="8" borderId="0" xfId="0" applyFont="1" applyFill="1" applyAlignment="1">
      <alignment horizontal="centerContinuous"/>
    </xf>
    <xf numFmtId="175" fontId="141" fillId="8" borderId="0" xfId="0" applyNumberFormat="1" applyFont="1" applyFill="1" applyAlignment="1">
      <alignment horizontal="right"/>
    </xf>
    <xf numFmtId="0" fontId="141" fillId="0" borderId="11" xfId="0" applyFont="1" applyBorder="1" applyAlignment="1">
      <alignment horizontal="center"/>
    </xf>
    <xf numFmtId="164" fontId="89" fillId="13" borderId="0" xfId="29" applyFont="1" applyFill="1" applyBorder="1" applyAlignment="1">
      <alignment horizontal="centerContinuous"/>
    </xf>
    <xf numFmtId="164" fontId="89" fillId="13" borderId="0" xfId="29" applyFont="1" applyFill="1" applyBorder="1" applyAlignment="1">
      <alignment horizontal="right"/>
    </xf>
    <xf numFmtId="0" fontId="9" fillId="0" borderId="0" xfId="0" applyFont="1" applyAlignment="1">
      <alignment horizontal="center"/>
    </xf>
    <xf numFmtId="164" fontId="89" fillId="0" borderId="0" xfId="29" applyFont="1" applyFill="1" applyBorder="1" applyAlignment="1">
      <alignment horizontal="right"/>
    </xf>
    <xf numFmtId="10" fontId="148" fillId="0" borderId="4" xfId="10" applyNumberFormat="1" applyFont="1" applyFill="1" applyBorder="1" applyAlignment="1">
      <alignment horizontal="right"/>
    </xf>
    <xf numFmtId="169" fontId="7" fillId="13" borderId="0" xfId="0" applyNumberFormat="1" applyFont="1" applyFill="1" applyAlignment="1">
      <alignment horizontal="right"/>
    </xf>
    <xf numFmtId="165" fontId="18" fillId="13" borderId="0" xfId="0" applyNumberFormat="1" applyFont="1" applyFill="1" applyAlignment="1">
      <alignment horizontal="right"/>
    </xf>
    <xf numFmtId="170" fontId="19" fillId="13" borderId="0" xfId="0" applyNumberFormat="1" applyFont="1" applyFill="1">
      <alignment vertical="center"/>
    </xf>
    <xf numFmtId="0" fontId="92" fillId="0" borderId="0" xfId="0" applyFont="1" applyAlignment="1">
      <alignment horizontal="center"/>
    </xf>
    <xf numFmtId="0" fontId="154" fillId="0" borderId="6" xfId="0" applyFont="1" applyBorder="1" applyAlignment="1">
      <alignment horizontal="center"/>
    </xf>
    <xf numFmtId="175" fontId="155" fillId="8" borderId="0" xfId="0" applyNumberFormat="1" applyFont="1" applyFill="1" applyAlignment="1">
      <alignment horizontal="right"/>
    </xf>
    <xf numFmtId="164" fontId="92" fillId="6" borderId="0" xfId="29" applyFont="1" applyFill="1" applyBorder="1" applyAlignment="1">
      <alignment horizontal="right"/>
    </xf>
    <xf numFmtId="164" fontId="92" fillId="0" borderId="0" xfId="29" applyFont="1" applyFill="1" applyBorder="1" applyAlignment="1">
      <alignment horizontal="right"/>
    </xf>
    <xf numFmtId="10" fontId="92" fillId="7" borderId="16" xfId="0" applyNumberFormat="1" applyFont="1" applyFill="1" applyBorder="1" applyAlignment="1">
      <alignment horizontal="right"/>
    </xf>
    <xf numFmtId="10" fontId="92" fillId="0" borderId="0" xfId="0" applyNumberFormat="1" applyFont="1" applyAlignment="1">
      <alignment horizontal="right"/>
    </xf>
    <xf numFmtId="0" fontId="92" fillId="0" borderId="8" xfId="0" applyFont="1" applyBorder="1" applyAlignment="1">
      <alignment horizontal="right"/>
    </xf>
    <xf numFmtId="0" fontId="92" fillId="0" borderId="0" xfId="0" applyFont="1" applyAlignment="1">
      <alignment horizontal="right"/>
    </xf>
    <xf numFmtId="0" fontId="92" fillId="0" borderId="6" xfId="0" applyFont="1" applyBorder="1" applyAlignment="1">
      <alignment horizontal="right"/>
    </xf>
    <xf numFmtId="175" fontId="156" fillId="8" borderId="0" xfId="0" applyNumberFormat="1" applyFont="1" applyFill="1" applyAlignment="1">
      <alignment horizontal="right"/>
    </xf>
    <xf numFmtId="173" fontId="92" fillId="0" borderId="9" xfId="0" applyNumberFormat="1" applyFont="1" applyBorder="1" applyAlignment="1">
      <alignment horizontal="right"/>
    </xf>
    <xf numFmtId="165" fontId="92" fillId="0" borderId="0" xfId="10" applyNumberFormat="1" applyFont="1" applyFill="1" applyBorder="1" applyAlignment="1">
      <alignment horizontal="right"/>
    </xf>
    <xf numFmtId="10" fontId="93" fillId="6" borderId="0" xfId="10" applyNumberFormat="1" applyFont="1" applyFill="1" applyBorder="1" applyAlignment="1">
      <alignment horizontal="right"/>
    </xf>
    <xf numFmtId="10" fontId="93" fillId="0" borderId="0" xfId="10" applyNumberFormat="1" applyFont="1" applyFill="1" applyBorder="1" applyAlignment="1">
      <alignment horizontal="right"/>
    </xf>
    <xf numFmtId="10" fontId="92" fillId="0" borderId="0" xfId="10" applyNumberFormat="1" applyFont="1" applyFill="1" applyBorder="1" applyAlignment="1">
      <alignment horizontal="right"/>
    </xf>
    <xf numFmtId="10" fontId="92" fillId="13" borderId="0" xfId="0" applyNumberFormat="1" applyFont="1" applyFill="1" applyAlignment="1">
      <alignment horizontal="right"/>
    </xf>
    <xf numFmtId="165" fontId="94" fillId="6" borderId="0" xfId="10" applyNumberFormat="1" applyFont="1" applyFill="1" applyBorder="1" applyAlignment="1"/>
    <xf numFmtId="10" fontId="92" fillId="0" borderId="9" xfId="0" applyNumberFormat="1" applyFont="1" applyBorder="1" applyAlignment="1">
      <alignment horizontal="right"/>
    </xf>
    <xf numFmtId="165" fontId="92" fillId="0" borderId="11" xfId="10" applyNumberFormat="1" applyFont="1" applyBorder="1" applyAlignment="1">
      <alignment horizontal="right"/>
    </xf>
    <xf numFmtId="165" fontId="95" fillId="0" borderId="11" xfId="10" applyNumberFormat="1" applyFont="1" applyFill="1" applyBorder="1" applyAlignment="1">
      <alignment horizontal="right"/>
    </xf>
    <xf numFmtId="165" fontId="92" fillId="0" borderId="42" xfId="10" applyNumberFormat="1" applyFont="1" applyFill="1" applyBorder="1" applyAlignment="1"/>
    <xf numFmtId="2" fontId="92" fillId="0" borderId="11" xfId="0" applyNumberFormat="1" applyFont="1" applyBorder="1" applyAlignment="1">
      <alignment horizontal="right"/>
    </xf>
    <xf numFmtId="0" fontId="92" fillId="0" borderId="9" xfId="0" applyFont="1" applyBorder="1" applyAlignment="1">
      <alignment horizontal="center"/>
    </xf>
    <xf numFmtId="0" fontId="92" fillId="0" borderId="11" xfId="0" applyFont="1" applyBorder="1" applyAlignment="1">
      <alignment horizontal="center"/>
    </xf>
    <xf numFmtId="170" fontId="12" fillId="13" borderId="0" xfId="0" applyNumberFormat="1" applyFont="1" applyFill="1" applyAlignment="1">
      <alignment horizontal="center"/>
    </xf>
    <xf numFmtId="170" fontId="7" fillId="13" borderId="0" xfId="0" applyNumberFormat="1" applyFont="1" applyFill="1" applyAlignment="1">
      <alignment horizontal="right" vertical="center"/>
    </xf>
    <xf numFmtId="170" fontId="13" fillId="13" borderId="0" xfId="0" applyNumberFormat="1" applyFont="1" applyFill="1" applyAlignment="1">
      <alignment horizontal="right"/>
    </xf>
    <xf numFmtId="170" fontId="14" fillId="13" borderId="0" xfId="0" applyNumberFormat="1" applyFont="1" applyFill="1" applyAlignment="1">
      <alignment horizontal="right" vertical="center"/>
    </xf>
    <xf numFmtId="0" fontId="98" fillId="0" borderId="0" xfId="0" applyFont="1" applyAlignment="1"/>
    <xf numFmtId="169" fontId="98" fillId="13" borderId="0" xfId="0" applyNumberFormat="1" applyFont="1" applyFill="1" applyAlignment="1"/>
    <xf numFmtId="0" fontId="98" fillId="13" borderId="0" xfId="0" applyFont="1" applyFill="1" applyAlignment="1"/>
    <xf numFmtId="169" fontId="98" fillId="0" borderId="0" xfId="0" applyNumberFormat="1" applyFont="1" applyAlignment="1"/>
    <xf numFmtId="0" fontId="7" fillId="13" borderId="0" xfId="0" applyFont="1" applyFill="1" applyAlignment="1">
      <alignment horizontal="center"/>
    </xf>
    <xf numFmtId="165" fontId="7" fillId="13" borderId="5" xfId="0" applyNumberFormat="1" applyFont="1" applyFill="1" applyBorder="1" applyAlignment="1">
      <alignment horizontal="right"/>
    </xf>
    <xf numFmtId="0" fontId="7" fillId="13" borderId="5" xfId="0" applyFont="1" applyFill="1" applyBorder="1" applyAlignment="1"/>
    <xf numFmtId="0" fontId="11" fillId="13" borderId="4" xfId="0" applyFont="1" applyFill="1" applyBorder="1" applyAlignment="1"/>
    <xf numFmtId="0" fontId="100" fillId="13" borderId="0" xfId="0" applyFont="1" applyFill="1" applyAlignment="1"/>
    <xf numFmtId="0" fontId="99" fillId="13" borderId="0" xfId="0" applyFont="1" applyFill="1" applyAlignment="1"/>
    <xf numFmtId="169" fontId="9" fillId="0" borderId="16" xfId="0" applyNumberFormat="1" applyFont="1" applyBorder="1" applyAlignment="1"/>
    <xf numFmtId="169" fontId="27" fillId="0" borderId="16" xfId="0" applyNumberFormat="1" applyFont="1" applyBorder="1" applyAlignment="1"/>
    <xf numFmtId="169" fontId="7" fillId="0" borderId="16" xfId="0" applyNumberFormat="1" applyFont="1" applyBorder="1" applyAlignment="1">
      <alignment horizontal="right"/>
    </xf>
    <xf numFmtId="165" fontId="7" fillId="0" borderId="16" xfId="0" applyNumberFormat="1" applyFont="1" applyBorder="1" applyAlignment="1">
      <alignment horizontal="right"/>
    </xf>
    <xf numFmtId="165" fontId="18" fillId="0" borderId="16" xfId="0" applyNumberFormat="1" applyFont="1" applyBorder="1" applyAlignment="1">
      <alignment horizontal="right"/>
    </xf>
    <xf numFmtId="0" fontId="7" fillId="0" borderId="0" xfId="0" applyFont="1" applyAlignment="1">
      <alignment horizontal="center" vertical="center"/>
    </xf>
    <xf numFmtId="0" fontId="23" fillId="0" borderId="15" xfId="0" applyFont="1" applyBorder="1" applyAlignment="1">
      <alignment horizontal="center"/>
    </xf>
    <xf numFmtId="0" fontId="21" fillId="0" borderId="15" xfId="0" applyFont="1" applyBorder="1" applyAlignment="1">
      <alignment horizontal="center"/>
    </xf>
    <xf numFmtId="175" fontId="21" fillId="0" borderId="15" xfId="0" applyNumberFormat="1" applyFont="1" applyBorder="1" applyAlignment="1">
      <alignment horizontal="center"/>
    </xf>
    <xf numFmtId="0" fontId="101" fillId="13" borderId="0" xfId="0" applyFont="1" applyFill="1" applyAlignment="1"/>
    <xf numFmtId="0" fontId="99" fillId="13" borderId="5" xfId="0" applyFont="1" applyFill="1" applyBorder="1" applyAlignment="1"/>
    <xf numFmtId="0" fontId="11" fillId="13" borderId="5" xfId="0" applyFont="1" applyFill="1" applyBorder="1">
      <alignment vertical="center"/>
    </xf>
    <xf numFmtId="165" fontId="18" fillId="6" borderId="5" xfId="10" applyNumberFormat="1" applyFont="1" applyFill="1" applyBorder="1" applyAlignment="1"/>
    <xf numFmtId="0" fontId="100" fillId="13" borderId="0" xfId="0" applyFont="1" applyFill="1">
      <alignment vertical="center"/>
    </xf>
    <xf numFmtId="0" fontId="99" fillId="13" borderId="0" xfId="0" applyFont="1" applyFill="1" applyAlignment="1">
      <alignment horizontal="left"/>
    </xf>
    <xf numFmtId="0" fontId="100" fillId="13" borderId="0" xfId="0" applyFont="1" applyFill="1" applyAlignment="1">
      <alignment horizontal="left"/>
    </xf>
    <xf numFmtId="9" fontId="30" fillId="6" borderId="0" xfId="10" applyFont="1" applyFill="1" applyAlignment="1">
      <alignment horizontal="center"/>
    </xf>
    <xf numFmtId="169" fontId="99" fillId="13" borderId="0" xfId="0" applyNumberFormat="1" applyFont="1" applyFill="1" applyAlignment="1"/>
    <xf numFmtId="169" fontId="100" fillId="13" borderId="0" xfId="0" applyNumberFormat="1" applyFont="1" applyFill="1" applyAlignment="1"/>
    <xf numFmtId="169" fontId="101" fillId="13" borderId="0" xfId="0" applyNumberFormat="1" applyFont="1" applyFill="1" applyAlignment="1"/>
    <xf numFmtId="169" fontId="98" fillId="13" borderId="0" xfId="29" applyNumberFormat="1" applyFont="1" applyFill="1" applyBorder="1" applyAlignment="1"/>
    <xf numFmtId="0" fontId="75" fillId="13" borderId="0" xfId="0" applyFont="1" applyFill="1" applyAlignment="1">
      <alignment horizontal="left"/>
    </xf>
    <xf numFmtId="165" fontId="18" fillId="13" borderId="4" xfId="0" applyNumberFormat="1" applyFont="1" applyFill="1" applyBorder="1" applyAlignment="1">
      <alignment horizontal="right" vertical="center"/>
    </xf>
    <xf numFmtId="165" fontId="142" fillId="13" borderId="4" xfId="0" applyNumberFormat="1" applyFont="1" applyFill="1" applyBorder="1" applyAlignment="1">
      <alignment horizontal="right" vertical="center"/>
    </xf>
    <xf numFmtId="0" fontId="102" fillId="13" borderId="0" xfId="0" applyFont="1" applyFill="1" applyAlignment="1"/>
    <xf numFmtId="165" fontId="18" fillId="6" borderId="0" xfId="10" applyNumberFormat="1" applyFont="1" applyFill="1" applyBorder="1" applyAlignment="1">
      <alignment horizontal="right"/>
    </xf>
    <xf numFmtId="0" fontId="36" fillId="13" borderId="4" xfId="0" applyFont="1" applyFill="1" applyBorder="1" applyAlignment="1"/>
    <xf numFmtId="0" fontId="157" fillId="0" borderId="0" xfId="0" applyFont="1" applyAlignment="1"/>
    <xf numFmtId="0" fontId="157" fillId="0" borderId="0" xfId="0" applyFont="1" applyAlignment="1">
      <alignment horizontal="left"/>
    </xf>
    <xf numFmtId="0" fontId="0" fillId="0" borderId="19" xfId="0" applyBorder="1">
      <alignment vertical="center"/>
    </xf>
    <xf numFmtId="0" fontId="103" fillId="0" borderId="19" xfId="0" applyFont="1" applyBorder="1">
      <alignment vertical="center"/>
    </xf>
    <xf numFmtId="10" fontId="30" fillId="13" borderId="0" xfId="10" applyNumberFormat="1" applyFont="1" applyFill="1" applyAlignment="1">
      <alignment horizontal="right"/>
    </xf>
    <xf numFmtId="168" fontId="7" fillId="13" borderId="0" xfId="0" applyNumberFormat="1" applyFont="1" applyFill="1">
      <alignment vertical="center"/>
    </xf>
    <xf numFmtId="164" fontId="7" fillId="13" borderId="0" xfId="29" applyFont="1" applyFill="1" applyBorder="1">
      <alignment vertical="center"/>
    </xf>
    <xf numFmtId="0" fontId="158" fillId="0" borderId="0" xfId="0" applyFont="1" applyAlignment="1"/>
    <xf numFmtId="0" fontId="158" fillId="0" borderId="0" xfId="0" applyFont="1" applyAlignment="1">
      <alignment horizontal="center"/>
    </xf>
    <xf numFmtId="164" fontId="158" fillId="0" borderId="0" xfId="29" applyFont="1" applyFill="1" applyBorder="1" applyAlignment="1">
      <alignment horizontal="right"/>
    </xf>
    <xf numFmtId="173" fontId="158" fillId="0" borderId="0" xfId="0" applyNumberFormat="1" applyFont="1" applyAlignment="1">
      <alignment horizontal="right"/>
    </xf>
    <xf numFmtId="0" fontId="158" fillId="0" borderId="0" xfId="0" applyFont="1">
      <alignment vertical="center"/>
    </xf>
    <xf numFmtId="0" fontId="159" fillId="0" borderId="0" xfId="0" applyFont="1" applyAlignment="1"/>
    <xf numFmtId="0" fontId="159" fillId="0" borderId="0" xfId="0" applyFont="1" applyAlignment="1">
      <alignment horizontal="center"/>
    </xf>
    <xf numFmtId="173" fontId="159" fillId="0" borderId="0" xfId="0" applyNumberFormat="1" applyFont="1" applyAlignment="1">
      <alignment horizontal="right"/>
    </xf>
    <xf numFmtId="169" fontId="157" fillId="0" borderId="0" xfId="29" applyNumberFormat="1" applyFont="1" applyFill="1" applyBorder="1" applyAlignment="1"/>
    <xf numFmtId="169" fontId="157" fillId="0" borderId="0" xfId="29" applyNumberFormat="1" applyFont="1" applyFill="1" applyBorder="1" applyAlignment="1">
      <alignment horizontal="center"/>
    </xf>
    <xf numFmtId="173" fontId="159" fillId="0" borderId="0" xfId="29" applyNumberFormat="1" applyFont="1" applyFill="1" applyBorder="1" applyAlignment="1">
      <alignment horizontal="right"/>
    </xf>
    <xf numFmtId="0" fontId="159" fillId="0" borderId="0" xfId="0" applyFont="1">
      <alignment vertical="center"/>
    </xf>
    <xf numFmtId="170" fontId="3" fillId="17" borderId="0" xfId="0" applyNumberFormat="1" applyFont="1" applyFill="1" applyAlignment="1">
      <alignment horizontal="right" vertical="center"/>
    </xf>
    <xf numFmtId="170" fontId="104" fillId="0" borderId="0" xfId="0" applyNumberFormat="1" applyFont="1">
      <alignment vertical="center"/>
    </xf>
    <xf numFmtId="164" fontId="158" fillId="13" borderId="0" xfId="29" applyFont="1" applyFill="1" applyBorder="1" applyAlignment="1">
      <alignment horizontal="right"/>
    </xf>
    <xf numFmtId="173" fontId="7" fillId="13" borderId="5" xfId="0" applyNumberFormat="1" applyFont="1" applyFill="1" applyBorder="1" applyAlignment="1">
      <alignment horizontal="right"/>
    </xf>
    <xf numFmtId="164" fontId="7" fillId="13" borderId="0" xfId="29" applyFont="1" applyFill="1" applyBorder="1" applyAlignment="1">
      <alignment horizontal="right"/>
    </xf>
    <xf numFmtId="173" fontId="7" fillId="13" borderId="5" xfId="29" applyNumberFormat="1" applyFont="1" applyFill="1" applyBorder="1" applyAlignment="1">
      <alignment horizontal="right"/>
    </xf>
    <xf numFmtId="173" fontId="15" fillId="13" borderId="15" xfId="29" applyNumberFormat="1" applyFont="1" applyFill="1" applyBorder="1" applyAlignment="1">
      <alignment horizontal="right"/>
    </xf>
    <xf numFmtId="173" fontId="15" fillId="13" borderId="15" xfId="0" applyNumberFormat="1" applyFont="1" applyFill="1" applyBorder="1" applyAlignment="1">
      <alignment horizontal="right"/>
    </xf>
    <xf numFmtId="173" fontId="7" fillId="0" borderId="0" xfId="29" applyNumberFormat="1" applyFont="1" applyFill="1" applyAlignment="1">
      <alignment horizontal="right"/>
    </xf>
    <xf numFmtId="169" fontId="105" fillId="13" borderId="0" xfId="29" applyNumberFormat="1" applyFont="1" applyFill="1" applyBorder="1" applyAlignment="1"/>
    <xf numFmtId="0" fontId="158" fillId="0" borderId="0" xfId="0" applyFont="1" applyAlignment="1">
      <alignment horizontal="right"/>
    </xf>
    <xf numFmtId="165" fontId="158" fillId="0" borderId="0" xfId="10" applyNumberFormat="1" applyFont="1" applyFill="1" applyBorder="1" applyAlignment="1">
      <alignment horizontal="right"/>
    </xf>
    <xf numFmtId="165" fontId="160" fillId="0" borderId="0" xfId="0" applyNumberFormat="1" applyFont="1" applyAlignment="1">
      <alignment horizontal="right"/>
    </xf>
    <xf numFmtId="0" fontId="160" fillId="0" borderId="0" xfId="0" applyFont="1">
      <alignment vertical="center"/>
    </xf>
    <xf numFmtId="170" fontId="7" fillId="13" borderId="5" xfId="0" applyNumberFormat="1" applyFont="1" applyFill="1" applyBorder="1" applyAlignment="1">
      <alignment horizontal="right"/>
    </xf>
    <xf numFmtId="0" fontId="0" fillId="13" borderId="0" xfId="0" applyFill="1">
      <alignment vertical="center"/>
    </xf>
    <xf numFmtId="170" fontId="161" fillId="13" borderId="8" xfId="0" applyNumberFormat="1" applyFont="1" applyFill="1" applyBorder="1">
      <alignment vertical="center"/>
    </xf>
    <xf numFmtId="0" fontId="14" fillId="13" borderId="8" xfId="0" applyFont="1" applyFill="1" applyBorder="1" applyAlignment="1">
      <alignment horizontal="center"/>
    </xf>
    <xf numFmtId="0" fontId="91" fillId="13" borderId="8" xfId="0" applyFont="1" applyFill="1" applyBorder="1" applyAlignment="1">
      <alignment horizontal="center"/>
    </xf>
    <xf numFmtId="10" fontId="30" fillId="13" borderId="0" xfId="10" applyNumberFormat="1" applyFont="1" applyFill="1" applyAlignment="1"/>
    <xf numFmtId="0" fontId="108" fillId="13" borderId="0" xfId="0" applyFont="1" applyFill="1">
      <alignment vertical="center"/>
    </xf>
    <xf numFmtId="165" fontId="7" fillId="15" borderId="0" xfId="0" applyNumberFormat="1" applyFont="1" applyFill="1" applyAlignment="1">
      <alignment horizontal="right" vertical="center"/>
    </xf>
    <xf numFmtId="9" fontId="30" fillId="13" borderId="0" xfId="10" applyFont="1" applyFill="1" applyAlignment="1">
      <alignment horizontal="center"/>
    </xf>
    <xf numFmtId="0" fontId="109" fillId="13" borderId="0" xfId="0" applyFont="1" applyFill="1" applyAlignment="1">
      <alignment horizontal="left"/>
    </xf>
    <xf numFmtId="0" fontId="162" fillId="13" borderId="0" xfId="0" applyFont="1" applyFill="1" applyAlignment="1">
      <alignment horizontal="left" vertical="top" wrapText="1"/>
    </xf>
    <xf numFmtId="0" fontId="110" fillId="13" borderId="0" xfId="0" applyFont="1" applyFill="1" applyAlignment="1"/>
    <xf numFmtId="169" fontId="110" fillId="13" borderId="0" xfId="0" applyNumberFormat="1" applyFont="1" applyFill="1" applyAlignment="1"/>
    <xf numFmtId="10" fontId="5" fillId="0" borderId="30" xfId="29" applyNumberFormat="1" applyFont="1" applyFill="1" applyBorder="1" applyAlignment="1">
      <alignment horizontal="right"/>
    </xf>
    <xf numFmtId="10" fontId="44" fillId="0" borderId="30" xfId="10" applyNumberFormat="1" applyFont="1" applyFill="1" applyBorder="1" applyAlignment="1">
      <alignment horizontal="right"/>
    </xf>
    <xf numFmtId="165" fontId="5" fillId="0" borderId="30" xfId="10" applyNumberFormat="1" applyFont="1" applyBorder="1" applyAlignment="1">
      <alignment horizontal="right"/>
    </xf>
    <xf numFmtId="2" fontId="92" fillId="0" borderId="8" xfId="0" applyNumberFormat="1" applyFont="1" applyBorder="1" applyAlignment="1">
      <alignment horizontal="right"/>
    </xf>
    <xf numFmtId="10" fontId="96" fillId="0" borderId="0" xfId="10" applyNumberFormat="1" applyFont="1" applyFill="1" applyBorder="1" applyAlignment="1">
      <alignment horizontal="right"/>
    </xf>
    <xf numFmtId="10" fontId="96" fillId="6" borderId="0" xfId="10" applyNumberFormat="1" applyFont="1" applyFill="1" applyBorder="1" applyAlignment="1">
      <alignment horizontal="right"/>
    </xf>
    <xf numFmtId="10" fontId="93" fillId="6" borderId="0" xfId="10" applyNumberFormat="1" applyFont="1" applyFill="1" applyBorder="1" applyAlignment="1"/>
    <xf numFmtId="165" fontId="92" fillId="13" borderId="0" xfId="10" applyNumberFormat="1" applyFont="1" applyFill="1" applyBorder="1" applyAlignment="1"/>
    <xf numFmtId="0" fontId="111" fillId="13" borderId="0" xfId="0" applyFont="1" applyFill="1" applyAlignment="1">
      <alignment horizontal="left"/>
    </xf>
    <xf numFmtId="0" fontId="111" fillId="13" borderId="0" xfId="0" applyFont="1" applyFill="1" applyAlignment="1"/>
    <xf numFmtId="0" fontId="111" fillId="0" borderId="0" xfId="0" applyFont="1" applyAlignment="1"/>
    <xf numFmtId="0" fontId="112" fillId="13" borderId="0" xfId="0" applyFont="1" applyFill="1" applyAlignment="1">
      <alignment horizontal="left"/>
    </xf>
    <xf numFmtId="0" fontId="112" fillId="0" borderId="4" xfId="0" applyFont="1" applyBorder="1" applyAlignment="1">
      <alignment horizontal="left"/>
    </xf>
    <xf numFmtId="165" fontId="18" fillId="14" borderId="4" xfId="0" applyNumberFormat="1" applyFont="1" applyFill="1" applyBorder="1" applyAlignment="1">
      <alignment horizontal="right" vertical="center"/>
    </xf>
    <xf numFmtId="173" fontId="105" fillId="13" borderId="0" xfId="0" applyNumberFormat="1" applyFont="1" applyFill="1" applyAlignment="1">
      <alignment horizontal="right"/>
    </xf>
    <xf numFmtId="0" fontId="113" fillId="0" borderId="0" xfId="0" applyFont="1" applyAlignment="1"/>
    <xf numFmtId="0" fontId="113" fillId="0" borderId="0" xfId="0" applyFont="1">
      <alignment vertical="center"/>
    </xf>
    <xf numFmtId="0" fontId="113" fillId="13" borderId="0" xfId="0" applyFont="1" applyFill="1" applyAlignment="1"/>
    <xf numFmtId="0" fontId="113" fillId="13" borderId="0" xfId="0" applyFont="1" applyFill="1">
      <alignment vertical="center"/>
    </xf>
    <xf numFmtId="173" fontId="106" fillId="13" borderId="0" xfId="0" applyNumberFormat="1" applyFont="1" applyFill="1" applyAlignment="1">
      <alignment horizontal="right"/>
    </xf>
    <xf numFmtId="0" fontId="98" fillId="13" borderId="0" xfId="0" applyFont="1" applyFill="1" applyAlignment="1">
      <alignment horizontal="left"/>
    </xf>
    <xf numFmtId="0" fontId="75" fillId="13" borderId="0" xfId="0" applyFont="1" applyFill="1" applyAlignment="1"/>
    <xf numFmtId="0" fontId="79" fillId="13" borderId="5" xfId="0" applyFont="1" applyFill="1" applyBorder="1" applyAlignment="1"/>
    <xf numFmtId="0" fontId="163" fillId="13" borderId="5" xfId="0" applyFont="1" applyFill="1" applyBorder="1">
      <alignment vertical="center"/>
    </xf>
    <xf numFmtId="169" fontId="79" fillId="13" borderId="0" xfId="29" applyNumberFormat="1" applyFont="1" applyFill="1" applyBorder="1" applyAlignment="1"/>
    <xf numFmtId="169" fontId="75" fillId="13" borderId="0" xfId="29" applyNumberFormat="1" applyFont="1" applyFill="1" applyBorder="1" applyAlignment="1"/>
    <xf numFmtId="169" fontId="9" fillId="13" borderId="5" xfId="29" applyNumberFormat="1" applyFont="1" applyFill="1" applyBorder="1" applyAlignment="1"/>
    <xf numFmtId="169" fontId="79" fillId="13" borderId="5" xfId="0" applyNumberFormat="1" applyFont="1" applyFill="1" applyBorder="1" applyAlignment="1"/>
    <xf numFmtId="0" fontId="115" fillId="13" borderId="0" xfId="0" applyFont="1" applyFill="1" applyAlignment="1"/>
    <xf numFmtId="0" fontId="114" fillId="13" borderId="0" xfId="0" applyFont="1" applyFill="1">
      <alignment vertical="center"/>
    </xf>
    <xf numFmtId="170" fontId="16" fillId="13" borderId="5" xfId="0" applyNumberFormat="1" applyFont="1" applyFill="1" applyBorder="1">
      <alignment vertical="center"/>
    </xf>
    <xf numFmtId="0" fontId="7" fillId="13" borderId="5" xfId="0" applyFont="1" applyFill="1" applyBorder="1" applyAlignment="1">
      <alignment horizontal="center"/>
    </xf>
    <xf numFmtId="0" fontId="17" fillId="13" borderId="7" xfId="0" applyFont="1" applyFill="1" applyBorder="1" applyAlignment="1">
      <alignment horizontal="center"/>
    </xf>
    <xf numFmtId="0" fontId="18" fillId="13" borderId="7" xfId="0" applyFont="1" applyFill="1" applyBorder="1" applyAlignment="1">
      <alignment horizontal="right"/>
    </xf>
    <xf numFmtId="0" fontId="7" fillId="13" borderId="8" xfId="0" applyFont="1" applyFill="1" applyBorder="1">
      <alignment vertical="center"/>
    </xf>
    <xf numFmtId="0" fontId="164" fillId="13" borderId="0" xfId="0" applyFont="1" applyFill="1" applyAlignment="1">
      <alignment horizontal="center" vertical="center"/>
    </xf>
    <xf numFmtId="0" fontId="165" fillId="13" borderId="0" xfId="0" applyFont="1" applyFill="1" applyAlignment="1">
      <alignment horizontal="center" vertical="center"/>
    </xf>
    <xf numFmtId="0" fontId="165" fillId="13" borderId="0" xfId="0" applyFont="1" applyFill="1">
      <alignment vertical="center"/>
    </xf>
    <xf numFmtId="0" fontId="166" fillId="13" borderId="0" xfId="0" applyFont="1" applyFill="1">
      <alignment vertical="center"/>
    </xf>
    <xf numFmtId="170" fontId="167" fillId="8" borderId="0" xfId="0" applyNumberFormat="1" applyFont="1" applyFill="1" applyAlignment="1">
      <alignment horizontal="center"/>
    </xf>
    <xf numFmtId="170" fontId="116" fillId="13" borderId="0" xfId="0" applyNumberFormat="1" applyFont="1" applyFill="1">
      <alignment vertical="center"/>
    </xf>
    <xf numFmtId="170" fontId="168" fillId="8" borderId="0" xfId="0" applyNumberFormat="1" applyFont="1" applyFill="1" applyAlignment="1">
      <alignment horizontal="center"/>
    </xf>
    <xf numFmtId="170" fontId="169" fillId="8" borderId="0" xfId="0" applyNumberFormat="1" applyFont="1" applyFill="1" applyAlignment="1">
      <alignment horizontal="left" vertical="center"/>
    </xf>
    <xf numFmtId="164" fontId="15" fillId="13" borderId="0" xfId="29" applyFont="1" applyFill="1" applyAlignment="1">
      <alignment horizontal="right"/>
    </xf>
    <xf numFmtId="0" fontId="117" fillId="13" borderId="0" xfId="0" applyFont="1" applyFill="1">
      <alignment vertical="center"/>
    </xf>
    <xf numFmtId="170" fontId="75" fillId="13" borderId="4" xfId="0" applyNumberFormat="1" applyFont="1" applyFill="1" applyBorder="1">
      <alignment vertical="center"/>
    </xf>
    <xf numFmtId="0" fontId="118" fillId="4" borderId="0" xfId="26" applyNumberFormat="1" applyFont="1" applyFill="1" applyAlignment="1" applyProtection="1">
      <alignment vertical="center"/>
    </xf>
    <xf numFmtId="0" fontId="119" fillId="4" borderId="0" xfId="25" applyNumberFormat="1" applyFont="1" applyFill="1" applyBorder="1" applyAlignment="1">
      <alignment vertical="center"/>
    </xf>
    <xf numFmtId="0" fontId="2" fillId="4" borderId="0" xfId="24" applyNumberFormat="1" applyFont="1" applyFill="1" applyAlignment="1" applyProtection="1">
      <alignment horizontal="left"/>
      <protection locked="0"/>
    </xf>
    <xf numFmtId="0" fontId="120" fillId="4" borderId="0" xfId="26" applyNumberFormat="1" applyFont="1" applyFill="1" applyAlignment="1" applyProtection="1">
      <alignment vertical="center"/>
    </xf>
    <xf numFmtId="0" fontId="140" fillId="4" borderId="0" xfId="24" applyNumberFormat="1" applyFont="1" applyFill="1" applyProtection="1">
      <protection locked="0"/>
    </xf>
    <xf numFmtId="0" fontId="140" fillId="4" borderId="0" xfId="24" applyNumberFormat="1" applyFont="1" applyFill="1" applyAlignment="1">
      <alignment horizontal="right" vertical="center"/>
    </xf>
    <xf numFmtId="0" fontId="140" fillId="4" borderId="0" xfId="24" applyNumberFormat="1" applyFont="1" applyFill="1" applyAlignment="1">
      <alignment vertical="center"/>
    </xf>
    <xf numFmtId="0" fontId="140" fillId="4" borderId="0" xfId="24" applyNumberFormat="1" applyFont="1" applyFill="1" applyAlignment="1">
      <alignment horizontal="center"/>
    </xf>
    <xf numFmtId="0" fontId="121" fillId="0" borderId="0" xfId="0" applyFont="1" applyAlignment="1"/>
    <xf numFmtId="0" fontId="122" fillId="0" borderId="0" xfId="0" applyFont="1" applyAlignment="1"/>
    <xf numFmtId="0" fontId="124" fillId="0" borderId="0" xfId="26" applyFont="1" applyAlignment="1" applyProtection="1">
      <alignment horizontal="left" vertical="center" readingOrder="1"/>
    </xf>
    <xf numFmtId="0" fontId="2" fillId="4" borderId="34" xfId="24" applyNumberFormat="1" applyFont="1" applyFill="1" applyBorder="1" applyProtection="1">
      <protection locked="0"/>
    </xf>
    <xf numFmtId="0" fontId="2" fillId="4" borderId="33" xfId="24" applyNumberFormat="1" applyFont="1" applyFill="1" applyBorder="1" applyProtection="1">
      <protection locked="0"/>
    </xf>
    <xf numFmtId="0" fontId="140" fillId="13" borderId="33" xfId="24" applyNumberFormat="1" applyFont="1" applyFill="1" applyBorder="1"/>
    <xf numFmtId="0" fontId="123" fillId="4" borderId="43" xfId="24" applyNumberFormat="1" applyFont="1" applyFill="1" applyBorder="1" applyAlignment="1">
      <alignment vertical="center"/>
    </xf>
    <xf numFmtId="0" fontId="123" fillId="4" borderId="44" xfId="24" applyNumberFormat="1" applyFont="1" applyFill="1" applyBorder="1" applyAlignment="1">
      <alignment vertical="center"/>
    </xf>
    <xf numFmtId="0" fontId="123" fillId="4" borderId="33" xfId="24" applyNumberFormat="1" applyFont="1" applyFill="1" applyBorder="1"/>
    <xf numFmtId="0" fontId="123" fillId="4" borderId="33" xfId="24" applyNumberFormat="1" applyFont="1" applyFill="1" applyBorder="1" applyAlignment="1">
      <alignment vertical="center"/>
    </xf>
    <xf numFmtId="0" fontId="123" fillId="4" borderId="0" xfId="24" applyNumberFormat="1" applyFont="1" applyFill="1" applyAlignment="1">
      <alignment vertical="center"/>
    </xf>
    <xf numFmtId="0" fontId="170" fillId="13" borderId="43" xfId="24" applyNumberFormat="1" applyFont="1" applyFill="1" applyBorder="1" applyAlignment="1">
      <alignment vertical="center"/>
    </xf>
    <xf numFmtId="0" fontId="125" fillId="4" borderId="32" xfId="24" applyNumberFormat="1" applyFont="1" applyFill="1" applyBorder="1" applyAlignment="1" applyProtection="1">
      <alignment horizontal="left" vertical="center"/>
      <protection locked="0"/>
    </xf>
    <xf numFmtId="0" fontId="125" fillId="4" borderId="43" xfId="24" applyNumberFormat="1" applyFont="1" applyFill="1" applyBorder="1" applyAlignment="1" applyProtection="1">
      <alignment horizontal="left" vertical="center"/>
      <protection locked="0"/>
    </xf>
    <xf numFmtId="0" fontId="140" fillId="11" borderId="0" xfId="24" applyNumberFormat="1" applyFont="1" applyFill="1" applyAlignment="1">
      <alignment horizontal="right" vertical="center"/>
    </xf>
    <xf numFmtId="0" fontId="126" fillId="4" borderId="6" xfId="0" applyFont="1" applyFill="1" applyBorder="1" applyAlignment="1">
      <alignment horizontal="center"/>
    </xf>
    <xf numFmtId="0" fontId="171" fillId="0" borderId="0" xfId="0" applyFont="1" applyAlignment="1"/>
    <xf numFmtId="169" fontId="172" fillId="0" borderId="0" xfId="29" applyNumberFormat="1" applyFont="1" applyFill="1" applyBorder="1" applyAlignment="1"/>
    <xf numFmtId="0" fontId="171" fillId="0" borderId="0" xfId="0" applyFont="1" applyAlignment="1">
      <alignment horizontal="center"/>
    </xf>
    <xf numFmtId="165" fontId="171" fillId="0" borderId="0" xfId="0" applyNumberFormat="1" applyFont="1" applyAlignment="1"/>
    <xf numFmtId="165" fontId="171" fillId="13" borderId="0" xfId="0" applyNumberFormat="1" applyFont="1" applyFill="1" applyAlignment="1"/>
    <xf numFmtId="165" fontId="171" fillId="0" borderId="0" xfId="0" applyNumberFormat="1" applyFont="1">
      <alignment vertical="center"/>
    </xf>
    <xf numFmtId="165" fontId="171" fillId="13" borderId="0" xfId="0" applyNumberFormat="1" applyFont="1" applyFill="1">
      <alignment vertical="center"/>
    </xf>
    <xf numFmtId="173" fontId="171" fillId="0" borderId="0" xfId="0" applyNumberFormat="1" applyFont="1" applyAlignment="1">
      <alignment horizontal="right"/>
    </xf>
    <xf numFmtId="0" fontId="171" fillId="0" borderId="0" xfId="0" applyFont="1">
      <alignment vertical="center"/>
    </xf>
    <xf numFmtId="169" fontId="171" fillId="0" borderId="0" xfId="29" applyNumberFormat="1" applyFont="1" applyFill="1" applyBorder="1" applyAlignment="1"/>
    <xf numFmtId="0" fontId="172" fillId="0" borderId="0" xfId="0" applyFont="1" applyAlignment="1"/>
    <xf numFmtId="171" fontId="171" fillId="0" borderId="0" xfId="0" applyNumberFormat="1" applyFont="1" applyAlignment="1"/>
    <xf numFmtId="171" fontId="171" fillId="13" borderId="0" xfId="0" applyNumberFormat="1" applyFont="1" applyFill="1" applyAlignment="1"/>
    <xf numFmtId="0" fontId="171" fillId="13" borderId="0" xfId="0" applyFont="1" applyFill="1">
      <alignment vertical="center"/>
    </xf>
    <xf numFmtId="173" fontId="171" fillId="0" borderId="0" xfId="0" applyNumberFormat="1" applyFont="1">
      <alignment vertical="center"/>
    </xf>
    <xf numFmtId="0" fontId="171" fillId="13" borderId="0" xfId="0" applyFont="1" applyFill="1" applyAlignment="1"/>
    <xf numFmtId="165" fontId="171" fillId="0" borderId="0" xfId="0" applyNumberFormat="1" applyFont="1" applyAlignment="1">
      <alignment horizontal="right"/>
    </xf>
    <xf numFmtId="170" fontId="171" fillId="0" borderId="0" xfId="0" applyNumberFormat="1" applyFont="1" applyAlignment="1">
      <alignment horizontal="right"/>
    </xf>
    <xf numFmtId="0" fontId="127" fillId="0" borderId="11" xfId="0" applyFont="1" applyBorder="1" applyAlignment="1">
      <alignment horizontal="left"/>
    </xf>
    <xf numFmtId="0" fontId="128" fillId="0" borderId="9" xfId="0" applyFont="1" applyBorder="1" applyAlignment="1">
      <alignment horizontal="left"/>
    </xf>
    <xf numFmtId="0" fontId="129" fillId="0" borderId="9" xfId="0" applyFont="1" applyBorder="1" applyAlignment="1">
      <alignment horizontal="left"/>
    </xf>
    <xf numFmtId="0" fontId="130" fillId="0" borderId="9" xfId="0" applyFont="1" applyBorder="1" applyAlignment="1">
      <alignment horizontal="left"/>
    </xf>
    <xf numFmtId="0" fontId="131" fillId="13" borderId="0" xfId="0" applyFont="1" applyFill="1" applyAlignment="1">
      <alignment horizontal="left"/>
    </xf>
    <xf numFmtId="0" fontId="172" fillId="13" borderId="0" xfId="0" applyFont="1" applyFill="1" applyAlignment="1"/>
    <xf numFmtId="0" fontId="141" fillId="13" borderId="6" xfId="0" applyFont="1" applyFill="1" applyBorder="1" applyAlignment="1">
      <alignment horizontal="right" vertical="center"/>
    </xf>
    <xf numFmtId="10" fontId="58" fillId="13" borderId="0" xfId="0" applyNumberFormat="1" applyFont="1" applyFill="1" applyAlignment="1">
      <alignment horizontal="right" vertical="center"/>
    </xf>
    <xf numFmtId="169" fontId="132" fillId="0" borderId="0" xfId="0" applyNumberFormat="1" applyFont="1" applyAlignment="1"/>
    <xf numFmtId="167" fontId="140" fillId="11" borderId="0" xfId="24" applyNumberFormat="1" applyFont="1" applyFill="1" applyAlignment="1">
      <alignment horizontal="right" vertical="center"/>
    </xf>
    <xf numFmtId="164" fontId="89" fillId="13" borderId="31" xfId="29" applyFont="1" applyFill="1" applyBorder="1" applyAlignment="1">
      <alignment horizontal="centerContinuous"/>
    </xf>
    <xf numFmtId="164" fontId="89" fillId="13" borderId="5" xfId="29" applyFont="1" applyFill="1" applyBorder="1" applyAlignment="1">
      <alignment horizontal="centerContinuous"/>
    </xf>
    <xf numFmtId="170" fontId="15" fillId="8" borderId="0" xfId="0" applyNumberFormat="1" applyFont="1" applyFill="1" applyAlignment="1">
      <alignment horizontal="center"/>
    </xf>
    <xf numFmtId="0" fontId="7" fillId="13" borderId="0" xfId="0" applyFont="1" applyFill="1" applyAlignment="1">
      <alignment horizontal="centerContinuous"/>
    </xf>
    <xf numFmtId="0" fontId="134" fillId="13" borderId="0" xfId="0" applyFont="1" applyFill="1">
      <alignment vertical="center"/>
    </xf>
    <xf numFmtId="0" fontId="133" fillId="13" borderId="0" xfId="0" applyFont="1" applyFill="1" applyAlignment="1">
      <alignment horizontal="left"/>
    </xf>
    <xf numFmtId="0" fontId="135" fillId="13" borderId="0" xfId="0" applyFont="1" applyFill="1" applyAlignment="1"/>
    <xf numFmtId="10" fontId="11" fillId="13" borderId="0" xfId="0" applyNumberFormat="1" applyFont="1" applyFill="1">
      <alignment vertical="center"/>
    </xf>
    <xf numFmtId="0" fontId="133" fillId="13" borderId="0" xfId="0" applyFont="1" applyFill="1" applyAlignment="1">
      <alignment horizontal="center"/>
    </xf>
    <xf numFmtId="0" fontId="141" fillId="13" borderId="0" xfId="0" applyFont="1" applyFill="1">
      <alignment vertical="center"/>
    </xf>
    <xf numFmtId="170" fontId="173" fillId="13" borderId="0" xfId="0" applyNumberFormat="1" applyFont="1" applyFill="1" applyAlignment="1">
      <alignment horizontal="center"/>
    </xf>
    <xf numFmtId="0" fontId="153" fillId="13" borderId="15" xfId="0" applyFont="1" applyFill="1" applyBorder="1" applyAlignment="1">
      <alignment horizontal="centerContinuous"/>
    </xf>
    <xf numFmtId="0" fontId="173" fillId="13" borderId="0" xfId="0" applyFont="1" applyFill="1">
      <alignment vertical="center"/>
    </xf>
    <xf numFmtId="0" fontId="174" fillId="13" borderId="0" xfId="0" applyFont="1" applyFill="1">
      <alignment vertical="center"/>
    </xf>
    <xf numFmtId="164" fontId="175" fillId="13" borderId="0" xfId="29" applyFont="1" applyFill="1" applyBorder="1" applyAlignment="1">
      <alignment horizontal="centerContinuous"/>
    </xf>
    <xf numFmtId="169" fontId="174" fillId="13" borderId="0" xfId="0" applyNumberFormat="1" applyFont="1" applyFill="1">
      <alignment vertical="center"/>
    </xf>
    <xf numFmtId="169" fontId="141" fillId="13" borderId="0" xfId="0" applyNumberFormat="1" applyFont="1" applyFill="1">
      <alignment vertical="center"/>
    </xf>
    <xf numFmtId="168" fontId="174" fillId="13" borderId="0" xfId="0" applyNumberFormat="1" applyFont="1" applyFill="1">
      <alignment vertical="center"/>
    </xf>
    <xf numFmtId="0" fontId="153" fillId="13" borderId="0" xfId="0" applyFont="1" applyFill="1" applyAlignment="1">
      <alignment horizontal="centerContinuous"/>
    </xf>
    <xf numFmtId="0" fontId="176" fillId="13" borderId="0" xfId="0" applyFont="1" applyFill="1">
      <alignment vertical="center"/>
    </xf>
    <xf numFmtId="164" fontId="175" fillId="13" borderId="5" xfId="29" applyFont="1" applyFill="1" applyBorder="1" applyAlignment="1">
      <alignment horizontal="centerContinuous"/>
    </xf>
    <xf numFmtId="0" fontId="174" fillId="13" borderId="4" xfId="0" applyFont="1" applyFill="1" applyBorder="1">
      <alignment vertical="center"/>
    </xf>
    <xf numFmtId="14" fontId="140" fillId="11" borderId="0" xfId="24" applyNumberFormat="1" applyFont="1" applyFill="1" applyAlignment="1">
      <alignment horizontal="right" vertical="center"/>
    </xf>
    <xf numFmtId="4" fontId="0" fillId="0" borderId="0" xfId="0" applyNumberFormat="1">
      <alignment vertical="center"/>
    </xf>
    <xf numFmtId="173" fontId="0" fillId="0" borderId="0" xfId="0" applyNumberFormat="1">
      <alignment vertical="center"/>
    </xf>
    <xf numFmtId="185" fontId="0" fillId="0" borderId="0" xfId="0" applyNumberFormat="1">
      <alignment vertical="center"/>
    </xf>
    <xf numFmtId="0" fontId="1" fillId="17" borderId="0" xfId="0" applyFont="1" applyFill="1">
      <alignment vertical="center"/>
    </xf>
    <xf numFmtId="0" fontId="0" fillId="0" borderId="0" xfId="0" applyAlignment="1">
      <alignment vertical="center" wrapText="1"/>
    </xf>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4" fontId="0" fillId="0" borderId="0" xfId="0" applyNumberFormat="1" applyAlignment="1">
      <alignment horizontal="center" vertical="center"/>
    </xf>
    <xf numFmtId="10" fontId="0" fillId="0" borderId="0" xfId="0" applyNumberFormat="1" applyAlignment="1">
      <alignment horizontal="center" vertical="center"/>
    </xf>
    <xf numFmtId="0" fontId="0" fillId="0" borderId="0" xfId="0" applyAlignment="1">
      <alignment horizontal="left" vertical="center"/>
    </xf>
    <xf numFmtId="0" fontId="1" fillId="0" borderId="0" xfId="0" applyFont="1" applyAlignment="1">
      <alignment horizontal="center" vertical="center"/>
    </xf>
    <xf numFmtId="0" fontId="1" fillId="0" borderId="0" xfId="0" applyFont="1" applyAlignment="1">
      <alignment horizontal="left" vertical="center" indent="1"/>
    </xf>
    <xf numFmtId="0" fontId="1" fillId="0" borderId="0" xfId="0" quotePrefix="1" applyFont="1" applyAlignment="1">
      <alignment horizontal="left" vertical="center" indent="1"/>
    </xf>
    <xf numFmtId="184" fontId="0" fillId="0" borderId="0" xfId="0" applyNumberFormat="1">
      <alignment vertical="center"/>
    </xf>
    <xf numFmtId="2" fontId="0" fillId="0" borderId="0" xfId="0" applyNumberFormat="1">
      <alignment vertical="center"/>
    </xf>
    <xf numFmtId="9" fontId="0" fillId="0" borderId="0" xfId="10" applyFont="1">
      <alignment vertical="center"/>
    </xf>
    <xf numFmtId="167" fontId="0" fillId="0" borderId="0" xfId="0" applyNumberFormat="1">
      <alignment vertical="center"/>
    </xf>
    <xf numFmtId="0" fontId="1" fillId="17" borderId="0" xfId="0" quotePrefix="1" applyFont="1" applyFill="1" applyAlignment="1">
      <alignment horizontal="left" vertical="center" indent="1"/>
    </xf>
    <xf numFmtId="183" fontId="0" fillId="0" borderId="0" xfId="0" applyNumberFormat="1">
      <alignment vertical="center"/>
    </xf>
    <xf numFmtId="10" fontId="177" fillId="0" borderId="0" xfId="10" applyNumberFormat="1" applyFont="1">
      <alignment vertical="center"/>
    </xf>
    <xf numFmtId="0" fontId="178" fillId="13" borderId="0" xfId="0" applyFont="1" applyFill="1" applyAlignment="1">
      <alignment horizontal="left"/>
    </xf>
    <xf numFmtId="9" fontId="179" fillId="13" borderId="0" xfId="10" applyFont="1" applyFill="1" applyBorder="1">
      <alignment vertical="center"/>
    </xf>
    <xf numFmtId="10" fontId="179" fillId="13" borderId="0" xfId="10" applyNumberFormat="1" applyFont="1" applyFill="1" applyAlignment="1">
      <alignment horizontal="right" vertical="center"/>
    </xf>
    <xf numFmtId="186" fontId="93" fillId="6" borderId="0" xfId="10" applyNumberFormat="1" applyFont="1" applyFill="1" applyBorder="1" applyAlignment="1">
      <alignment horizontal="right"/>
    </xf>
    <xf numFmtId="9" fontId="0" fillId="0" borderId="0" xfId="0" applyNumberFormat="1">
      <alignment vertical="center"/>
    </xf>
    <xf numFmtId="0" fontId="107" fillId="0" borderId="0" xfId="0" applyFont="1">
      <alignment vertical="center"/>
    </xf>
    <xf numFmtId="0" fontId="0" fillId="13" borderId="5" xfId="0" applyFill="1" applyBorder="1">
      <alignment vertical="center"/>
    </xf>
    <xf numFmtId="0" fontId="107" fillId="13" borderId="5" xfId="0" applyFont="1" applyFill="1" applyBorder="1">
      <alignment vertical="center"/>
    </xf>
    <xf numFmtId="164" fontId="89" fillId="0" borderId="0" xfId="29" applyFont="1" applyBorder="1" applyAlignment="1">
      <alignment horizontal="center"/>
    </xf>
    <xf numFmtId="0" fontId="141" fillId="0" borderId="0" xfId="0" applyFont="1" applyAlignment="1">
      <alignment horizontal="center"/>
    </xf>
    <xf numFmtId="9" fontId="92" fillId="6" borderId="0" xfId="29" applyNumberFormat="1" applyFont="1" applyFill="1" applyBorder="1" applyAlignment="1">
      <alignment horizontal="right"/>
    </xf>
    <xf numFmtId="3" fontId="0" fillId="13" borderId="0" xfId="0" applyNumberFormat="1" applyFill="1">
      <alignment vertical="center"/>
    </xf>
    <xf numFmtId="4" fontId="0" fillId="13" borderId="5" xfId="0" applyNumberFormat="1" applyFill="1" applyBorder="1">
      <alignment vertical="center"/>
    </xf>
    <xf numFmtId="9" fontId="92" fillId="0" borderId="0" xfId="29" applyNumberFormat="1" applyFont="1" applyFill="1" applyBorder="1" applyAlignment="1">
      <alignment horizontal="right"/>
    </xf>
    <xf numFmtId="187" fontId="92" fillId="6" borderId="0" xfId="29" applyNumberFormat="1" applyFont="1" applyFill="1" applyBorder="1" applyAlignment="1">
      <alignment horizontal="right"/>
    </xf>
    <xf numFmtId="177" fontId="7" fillId="0" borderId="0" xfId="0" applyNumberFormat="1" applyFont="1" applyAlignment="1">
      <alignment horizontal="right" vertical="center"/>
    </xf>
    <xf numFmtId="9" fontId="107" fillId="13" borderId="0" xfId="0" applyNumberFormat="1" applyFont="1" applyFill="1">
      <alignment vertical="center"/>
    </xf>
    <xf numFmtId="0" fontId="0" fillId="0" borderId="0" xfId="0" applyAlignment="1">
      <alignment horizontal="left" vertical="center" indent="1"/>
    </xf>
    <xf numFmtId="0" fontId="0" fillId="13" borderId="0" xfId="0" applyFill="1" applyAlignment="1">
      <alignment horizontal="left" vertical="center" indent="1"/>
    </xf>
    <xf numFmtId="0" fontId="0" fillId="13" borderId="0" xfId="0" applyFill="1" applyAlignment="1">
      <alignment horizontal="left" vertical="center" indent="3"/>
    </xf>
    <xf numFmtId="0" fontId="2" fillId="10" borderId="0" xfId="24" applyNumberFormat="1" applyFont="1" applyFill="1" applyAlignment="1">
      <alignment horizontal="center" vertical="center" wrapText="1"/>
    </xf>
    <xf numFmtId="0" fontId="180" fillId="4" borderId="43" xfId="24" applyNumberFormat="1" applyFont="1" applyFill="1" applyBorder="1" applyAlignment="1">
      <alignment horizontal="left" vertical="center"/>
    </xf>
    <xf numFmtId="0" fontId="180" fillId="4" borderId="33" xfId="24" applyNumberFormat="1" applyFont="1" applyFill="1" applyBorder="1" applyAlignment="1">
      <alignment horizontal="left" vertical="center"/>
    </xf>
    <xf numFmtId="0" fontId="180" fillId="4" borderId="44" xfId="24" applyNumberFormat="1" applyFont="1" applyFill="1" applyBorder="1" applyAlignment="1">
      <alignment horizontal="left" vertical="center"/>
    </xf>
    <xf numFmtId="0" fontId="180" fillId="4" borderId="35" xfId="24" applyNumberFormat="1" applyFont="1" applyFill="1" applyBorder="1" applyAlignment="1">
      <alignment horizontal="left" vertical="center"/>
    </xf>
    <xf numFmtId="0" fontId="0" fillId="0" borderId="0" xfId="0" applyAlignment="1">
      <alignment vertical="center"/>
    </xf>
    <xf numFmtId="49" fontId="92" fillId="6" borderId="0" xfId="29" applyNumberFormat="1" applyFont="1" applyFill="1" applyBorder="1" applyAlignment="1">
      <alignment horizontal="right"/>
    </xf>
  </cellXfs>
  <cellStyles count="33">
    <cellStyle name="Bookman Top Border" xfId="1" xr:uid="{00000000-0005-0000-0000-000000000000}"/>
    <cellStyle name="Calc_Title" xfId="2" xr:uid="{00000000-0005-0000-0000-000001000000}"/>
    <cellStyle name="Comma 2" xfId="3" xr:uid="{00000000-0005-0000-0000-000002000000}"/>
    <cellStyle name="Comma_Elecsam" xfId="4" xr:uid="{00000000-0005-0000-0000-000003000000}"/>
    <cellStyle name="Data_1dp" xfId="5" xr:uid="{00000000-0005-0000-0000-000004000000}"/>
    <cellStyle name="Info_Main" xfId="6" xr:uid="{00000000-0005-0000-0000-000005000000}"/>
    <cellStyle name="Normal 2" xfId="7" xr:uid="{00000000-0005-0000-0000-000006000000}"/>
    <cellStyle name="Normal_Elecsam" xfId="8" xr:uid="{00000000-0005-0000-0000-000007000000}"/>
    <cellStyle name="Percent 2" xfId="9" xr:uid="{00000000-0005-0000-0000-000008000000}"/>
    <cellStyle name="百分比" xfId="10" builtinId="5"/>
    <cellStyle name="百分比 2" xfId="11" xr:uid="{00000000-0005-0000-0000-00000A000000}"/>
    <cellStyle name="百分比 2 2" xfId="12" xr:uid="{00000000-0005-0000-0000-00000B000000}"/>
    <cellStyle name="百分比 3" xfId="13" xr:uid="{00000000-0005-0000-0000-00000C000000}"/>
    <cellStyle name="百分比_副本深圳天软科技DCF估值和DDM估值模版-破解" xfId="14" xr:uid="{00000000-0005-0000-0000-00000D000000}"/>
    <cellStyle name="常规 2" xfId="15" xr:uid="{00000000-0005-0000-0000-00000E000000}"/>
    <cellStyle name="常规 2 2" xfId="16" xr:uid="{00000000-0005-0000-0000-00000F000000}"/>
    <cellStyle name="常规 3" xfId="17" xr:uid="{00000000-0005-0000-0000-000010000000}"/>
    <cellStyle name="常规 4" xfId="18" xr:uid="{00000000-0005-0000-0000-000011000000}"/>
    <cellStyle name="常规 5" xfId="19" xr:uid="{00000000-0005-0000-0000-000012000000}"/>
    <cellStyle name="常规 6" xfId="20" xr:uid="{00000000-0005-0000-0000-000013000000}"/>
    <cellStyle name="常规 7" xfId="21" xr:uid="{00000000-0005-0000-0000-000014000000}"/>
    <cellStyle name="常规 8" xfId="22" xr:uid="{00000000-0005-0000-0000-000015000000}"/>
    <cellStyle name="常规_财务基础数据" xfId="23" xr:uid="{00000000-0005-0000-0000-000016000000}"/>
    <cellStyle name="常规_副本深圳天软科技DCF估值和DDM估值模版-破解" xfId="24" xr:uid="{00000000-0005-0000-0000-000017000000}"/>
    <cellStyle name="常规_新会计准则估值模型gtjanew" xfId="25" xr:uid="{00000000-0005-0000-0000-000018000000}"/>
    <cellStyle name="超連結" xfId="26" builtinId="8"/>
    <cellStyle name="超链接 2" xfId="27" xr:uid="{00000000-0005-0000-0000-00001A000000}"/>
    <cellStyle name="超链接 3" xfId="28" xr:uid="{00000000-0005-0000-0000-00001B000000}"/>
    <cellStyle name="千分位" xfId="29" builtinId="3"/>
    <cellStyle name="千位分隔 2" xfId="30" xr:uid="{00000000-0005-0000-0000-00001D000000}"/>
    <cellStyle name="千位分隔 3" xfId="31" xr:uid="{00000000-0005-0000-0000-00001E000000}"/>
    <cellStyle name="样式 1" xfId="32" xr:uid="{00000000-0005-0000-0000-00001F000000}"/>
    <cellStyle name="一般"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7E4F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517071</xdr:colOff>
          <xdr:row>2</xdr:row>
          <xdr:rowOff>5443</xdr:rowOff>
        </xdr:from>
        <xdr:to>
          <xdr:col>7</xdr:col>
          <xdr:colOff>315686</xdr:colOff>
          <xdr:row>3</xdr:row>
          <xdr:rowOff>0</xdr:rowOff>
        </xdr:to>
        <xdr:sp macro="" textlink="">
          <xdr:nvSpPr>
            <xdr:cNvPr id="65495041" name="Button 1" hidden="1">
              <a:extLst>
                <a:ext uri="{63B3BB69-23CF-44E3-9099-C40C66FF867C}">
                  <a14:compatExt spid="_x0000_s65495041"/>
                </a:ext>
                <a:ext uri="{FF2B5EF4-FFF2-40B4-BE49-F238E27FC236}">
                  <a16:creationId xmlns:a16="http://schemas.microsoft.com/office/drawing/2014/main" id="{00000000-0008-0000-0200-00000160E70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Hans-HK" altLang="en-US" sz="12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310243</xdr:colOff>
          <xdr:row>4</xdr:row>
          <xdr:rowOff>146957</xdr:rowOff>
        </xdr:from>
        <xdr:to>
          <xdr:col>8</xdr:col>
          <xdr:colOff>0</xdr:colOff>
          <xdr:row>8</xdr:row>
          <xdr:rowOff>119743</xdr:rowOff>
        </xdr:to>
        <xdr:sp macro="" textlink="">
          <xdr:nvSpPr>
            <xdr:cNvPr id="65495042" name="Button 2" hidden="1">
              <a:extLst>
                <a:ext uri="{63B3BB69-23CF-44E3-9099-C40C66FF867C}">
                  <a14:compatExt spid="_x0000_s65495042"/>
                </a:ext>
                <a:ext uri="{FF2B5EF4-FFF2-40B4-BE49-F238E27FC236}">
                  <a16:creationId xmlns:a16="http://schemas.microsoft.com/office/drawing/2014/main" id="{00000000-0008-0000-0200-00000260E70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Hans-HK" altLang="en-US" sz="1200" b="0" i="0" u="none" strike="noStrike" baseline="0">
                  <a:solidFill>
                    <a:srgbClr val="000000"/>
                  </a:solidFill>
                  <a:latin typeface="宋体"/>
                  <a:ea typeface="宋体"/>
                </a:rPr>
                <a:t>将压测结果</a:t>
              </a:r>
            </a:p>
            <a:p>
              <a:pPr algn="ctr" rtl="0">
                <a:defRPr sz="1000"/>
              </a:pPr>
              <a:r>
                <a:rPr lang="zh-Hans-HK" altLang="en-US" sz="1200" b="0" i="0" u="none" strike="noStrike" baseline="0">
                  <a:solidFill>
                    <a:srgbClr val="000000"/>
                  </a:solidFill>
                  <a:latin typeface="宋体"/>
                  <a:ea typeface="宋体"/>
                </a:rPr>
                <a:t>追加至</a:t>
              </a:r>
            </a:p>
            <a:p>
              <a:pPr algn="ctr" rtl="0">
                <a:defRPr sz="1000"/>
              </a:pPr>
              <a:r>
                <a:rPr lang="zh-Hans-HK" altLang="en-US" sz="1200" b="0" i="0" u="none" strike="noStrike" baseline="0">
                  <a:solidFill>
                    <a:srgbClr val="000000"/>
                  </a:solidFill>
                  <a:latin typeface="宋体"/>
                  <a:ea typeface="宋体"/>
                </a:rPr>
                <a:t>“压力测试 日志”Sheet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255814</xdr:colOff>
          <xdr:row>16</xdr:row>
          <xdr:rowOff>43543</xdr:rowOff>
        </xdr:from>
        <xdr:to>
          <xdr:col>4</xdr:col>
          <xdr:colOff>332014</xdr:colOff>
          <xdr:row>17</xdr:row>
          <xdr:rowOff>21771</xdr:rowOff>
        </xdr:to>
        <xdr:sp macro="" textlink="">
          <xdr:nvSpPr>
            <xdr:cNvPr id="5231" name="Predict_Input_1" hidden="1">
              <a:extLst>
                <a:ext uri="{63B3BB69-23CF-44E3-9099-C40C66FF867C}">
                  <a14:compatExt spid="_x0000_s5231"/>
                </a:ext>
                <a:ext uri="{FF2B5EF4-FFF2-40B4-BE49-F238E27FC236}">
                  <a16:creationId xmlns:a16="http://schemas.microsoft.com/office/drawing/2014/main" id="{00000000-0008-0000-07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255814</xdr:colOff>
          <xdr:row>19</xdr:row>
          <xdr:rowOff>5443</xdr:rowOff>
        </xdr:from>
        <xdr:to>
          <xdr:col>4</xdr:col>
          <xdr:colOff>332014</xdr:colOff>
          <xdr:row>19</xdr:row>
          <xdr:rowOff>212271</xdr:rowOff>
        </xdr:to>
        <xdr:sp macro="" textlink="">
          <xdr:nvSpPr>
            <xdr:cNvPr id="5232" name="Predict_Input_2" hidden="1">
              <a:extLst>
                <a:ext uri="{63B3BB69-23CF-44E3-9099-C40C66FF867C}">
                  <a14:compatExt spid="_x0000_s5232"/>
                </a:ext>
                <a:ext uri="{FF2B5EF4-FFF2-40B4-BE49-F238E27FC236}">
                  <a16:creationId xmlns:a16="http://schemas.microsoft.com/office/drawing/2014/main" id="{00000000-0008-0000-07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255814</xdr:colOff>
          <xdr:row>22</xdr:row>
          <xdr:rowOff>87086</xdr:rowOff>
        </xdr:from>
        <xdr:to>
          <xdr:col>4</xdr:col>
          <xdr:colOff>332014</xdr:colOff>
          <xdr:row>23</xdr:row>
          <xdr:rowOff>76200</xdr:rowOff>
        </xdr:to>
        <xdr:sp macro="" textlink="">
          <xdr:nvSpPr>
            <xdr:cNvPr id="5234" name="Predict_Input_3" hidden="1">
              <a:extLst>
                <a:ext uri="{63B3BB69-23CF-44E3-9099-C40C66FF867C}">
                  <a14:compatExt spid="_x0000_s5234"/>
                </a:ext>
                <a:ext uri="{FF2B5EF4-FFF2-40B4-BE49-F238E27FC236}">
                  <a16:creationId xmlns:a16="http://schemas.microsoft.com/office/drawing/2014/main" id="{00000000-0008-0000-07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179614</xdr:colOff>
          <xdr:row>42</xdr:row>
          <xdr:rowOff>70757</xdr:rowOff>
        </xdr:from>
        <xdr:to>
          <xdr:col>4</xdr:col>
          <xdr:colOff>255814</xdr:colOff>
          <xdr:row>43</xdr:row>
          <xdr:rowOff>59871</xdr:rowOff>
        </xdr:to>
        <xdr:sp macro="" textlink="">
          <xdr:nvSpPr>
            <xdr:cNvPr id="5237" name="Predict_Input_8" hidden="1">
              <a:extLst>
                <a:ext uri="{63B3BB69-23CF-44E3-9099-C40C66FF867C}">
                  <a14:compatExt spid="_x0000_s5237"/>
                </a:ext>
                <a:ext uri="{FF2B5EF4-FFF2-40B4-BE49-F238E27FC236}">
                  <a16:creationId xmlns:a16="http://schemas.microsoft.com/office/drawing/2014/main" id="{00000000-0008-0000-07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163286</xdr:colOff>
          <xdr:row>45</xdr:row>
          <xdr:rowOff>70757</xdr:rowOff>
        </xdr:from>
        <xdr:to>
          <xdr:col>4</xdr:col>
          <xdr:colOff>239486</xdr:colOff>
          <xdr:row>46</xdr:row>
          <xdr:rowOff>59871</xdr:rowOff>
        </xdr:to>
        <xdr:sp macro="" textlink="">
          <xdr:nvSpPr>
            <xdr:cNvPr id="5238" name="Predict_Input_9" hidden="1">
              <a:extLst>
                <a:ext uri="{63B3BB69-23CF-44E3-9099-C40C66FF867C}">
                  <a14:compatExt spid="_x0000_s5238"/>
                </a:ext>
                <a:ext uri="{FF2B5EF4-FFF2-40B4-BE49-F238E27FC236}">
                  <a16:creationId xmlns:a16="http://schemas.microsoft.com/office/drawing/2014/main" id="{00000000-0008-0000-07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25</xdr:row>
          <xdr:rowOff>43543</xdr:rowOff>
        </xdr:from>
        <xdr:to>
          <xdr:col>4</xdr:col>
          <xdr:colOff>304800</xdr:colOff>
          <xdr:row>26</xdr:row>
          <xdr:rowOff>32657</xdr:rowOff>
        </xdr:to>
        <xdr:sp macro="" textlink="">
          <xdr:nvSpPr>
            <xdr:cNvPr id="24898346" name="Predict_Input_4" hidden="1">
              <a:extLst>
                <a:ext uri="{63B3BB69-23CF-44E3-9099-C40C66FF867C}">
                  <a14:compatExt spid="_x0000_s24898346"/>
                </a:ext>
                <a:ext uri="{FF2B5EF4-FFF2-40B4-BE49-F238E27FC236}">
                  <a16:creationId xmlns:a16="http://schemas.microsoft.com/office/drawing/2014/main" id="{00000000-0008-0000-0700-00002AEB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28</xdr:row>
          <xdr:rowOff>43543</xdr:rowOff>
        </xdr:from>
        <xdr:to>
          <xdr:col>4</xdr:col>
          <xdr:colOff>304800</xdr:colOff>
          <xdr:row>29</xdr:row>
          <xdr:rowOff>32657</xdr:rowOff>
        </xdr:to>
        <xdr:sp macro="" textlink="">
          <xdr:nvSpPr>
            <xdr:cNvPr id="24898353" name="Predict_Input_5" hidden="1">
              <a:extLst>
                <a:ext uri="{63B3BB69-23CF-44E3-9099-C40C66FF867C}">
                  <a14:compatExt spid="_x0000_s24898353"/>
                </a:ext>
                <a:ext uri="{FF2B5EF4-FFF2-40B4-BE49-F238E27FC236}">
                  <a16:creationId xmlns:a16="http://schemas.microsoft.com/office/drawing/2014/main" id="{00000000-0008-0000-0700-000031EB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223157</xdr:colOff>
          <xdr:row>31</xdr:row>
          <xdr:rowOff>43543</xdr:rowOff>
        </xdr:from>
        <xdr:to>
          <xdr:col>4</xdr:col>
          <xdr:colOff>299357</xdr:colOff>
          <xdr:row>32</xdr:row>
          <xdr:rowOff>32657</xdr:rowOff>
        </xdr:to>
        <xdr:sp macro="" textlink="">
          <xdr:nvSpPr>
            <xdr:cNvPr id="24898354" name="Predict_Input_6" hidden="1">
              <a:extLst>
                <a:ext uri="{63B3BB69-23CF-44E3-9099-C40C66FF867C}">
                  <a14:compatExt spid="_x0000_s24898354"/>
                </a:ext>
                <a:ext uri="{FF2B5EF4-FFF2-40B4-BE49-F238E27FC236}">
                  <a16:creationId xmlns:a16="http://schemas.microsoft.com/office/drawing/2014/main" id="{00000000-0008-0000-0700-000032EB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34</xdr:row>
          <xdr:rowOff>70757</xdr:rowOff>
        </xdr:from>
        <xdr:to>
          <xdr:col>4</xdr:col>
          <xdr:colOff>277586</xdr:colOff>
          <xdr:row>35</xdr:row>
          <xdr:rowOff>59871</xdr:rowOff>
        </xdr:to>
        <xdr:sp macro="" textlink="">
          <xdr:nvSpPr>
            <xdr:cNvPr id="24898355" name="Predict_Input_7" hidden="1">
              <a:extLst>
                <a:ext uri="{63B3BB69-23CF-44E3-9099-C40C66FF867C}">
                  <a14:compatExt spid="_x0000_s24898355"/>
                </a:ext>
                <a:ext uri="{FF2B5EF4-FFF2-40B4-BE49-F238E27FC236}">
                  <a16:creationId xmlns:a16="http://schemas.microsoft.com/office/drawing/2014/main" id="{00000000-0008-0000-0700-000033EB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32657</xdr:colOff>
          <xdr:row>10</xdr:row>
          <xdr:rowOff>21771</xdr:rowOff>
        </xdr:from>
        <xdr:to>
          <xdr:col>6</xdr:col>
          <xdr:colOff>1344386</xdr:colOff>
          <xdr:row>11</xdr:row>
          <xdr:rowOff>65314</xdr:rowOff>
        </xdr:to>
        <xdr:sp macro="" textlink="">
          <xdr:nvSpPr>
            <xdr:cNvPr id="6764" name="Predict_Input_1" hidden="1">
              <a:extLst>
                <a:ext uri="{63B3BB69-23CF-44E3-9099-C40C66FF867C}">
                  <a14:compatExt spid="_x0000_s6764"/>
                </a:ext>
                <a:ext uri="{FF2B5EF4-FFF2-40B4-BE49-F238E27FC236}">
                  <a16:creationId xmlns:a16="http://schemas.microsoft.com/office/drawing/2014/main" id="{00000000-0008-0000-0800-00006C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6</xdr:col>
          <xdr:colOff>1311729</xdr:colOff>
          <xdr:row>19</xdr:row>
          <xdr:rowOff>21771</xdr:rowOff>
        </xdr:to>
        <xdr:sp macro="" textlink="">
          <xdr:nvSpPr>
            <xdr:cNvPr id="6765" name="Predict_Input_3" hidden="1">
              <a:extLst>
                <a:ext uri="{63B3BB69-23CF-44E3-9099-C40C66FF867C}">
                  <a14:compatExt spid="_x0000_s6765"/>
                </a:ext>
                <a:ext uri="{FF2B5EF4-FFF2-40B4-BE49-F238E27FC236}">
                  <a16:creationId xmlns:a16="http://schemas.microsoft.com/office/drawing/2014/main" id="{00000000-0008-0000-0800-00006D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6</xdr:col>
          <xdr:colOff>1306286</xdr:colOff>
          <xdr:row>22</xdr:row>
          <xdr:rowOff>27214</xdr:rowOff>
        </xdr:to>
        <xdr:sp macro="" textlink="">
          <xdr:nvSpPr>
            <xdr:cNvPr id="6766" name="Predict_Input_4" hidden="1">
              <a:extLst>
                <a:ext uri="{63B3BB69-23CF-44E3-9099-C40C66FF867C}">
                  <a14:compatExt spid="_x0000_s6766"/>
                </a:ext>
                <a:ext uri="{FF2B5EF4-FFF2-40B4-BE49-F238E27FC236}">
                  <a16:creationId xmlns:a16="http://schemas.microsoft.com/office/drawing/2014/main" id="{00000000-0008-0000-0800-00006E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6</xdr:col>
          <xdr:colOff>1311729</xdr:colOff>
          <xdr:row>26</xdr:row>
          <xdr:rowOff>21771</xdr:rowOff>
        </xdr:to>
        <xdr:sp macro="" textlink="">
          <xdr:nvSpPr>
            <xdr:cNvPr id="6767" name="Predict_Input_5" hidden="1">
              <a:extLst>
                <a:ext uri="{63B3BB69-23CF-44E3-9099-C40C66FF867C}">
                  <a14:compatExt spid="_x0000_s6767"/>
                </a:ext>
                <a:ext uri="{FF2B5EF4-FFF2-40B4-BE49-F238E27FC236}">
                  <a16:creationId xmlns:a16="http://schemas.microsoft.com/office/drawing/2014/main" id="{00000000-0008-0000-0800-00006F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6</xdr:col>
          <xdr:colOff>1306286</xdr:colOff>
          <xdr:row>30</xdr:row>
          <xdr:rowOff>27214</xdr:rowOff>
        </xdr:to>
        <xdr:sp macro="" textlink="">
          <xdr:nvSpPr>
            <xdr:cNvPr id="6768" name="Predict_Input_6" hidden="1">
              <a:extLst>
                <a:ext uri="{63B3BB69-23CF-44E3-9099-C40C66FF867C}">
                  <a14:compatExt spid="_x0000_s6768"/>
                </a:ext>
                <a:ext uri="{FF2B5EF4-FFF2-40B4-BE49-F238E27FC236}">
                  <a16:creationId xmlns:a16="http://schemas.microsoft.com/office/drawing/2014/main" id="{00000000-0008-0000-0800-000070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6</xdr:col>
          <xdr:colOff>1306286</xdr:colOff>
          <xdr:row>36</xdr:row>
          <xdr:rowOff>27214</xdr:rowOff>
        </xdr:to>
        <xdr:sp macro="" textlink="">
          <xdr:nvSpPr>
            <xdr:cNvPr id="6772" name="Predict_Input_7" hidden="1">
              <a:extLst>
                <a:ext uri="{63B3BB69-23CF-44E3-9099-C40C66FF867C}">
                  <a14:compatExt spid="_x0000_s6772"/>
                </a:ext>
                <a:ext uri="{FF2B5EF4-FFF2-40B4-BE49-F238E27FC236}">
                  <a16:creationId xmlns:a16="http://schemas.microsoft.com/office/drawing/2014/main" id="{00000000-0008-0000-0800-000074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6</xdr:col>
          <xdr:colOff>1311729</xdr:colOff>
          <xdr:row>40</xdr:row>
          <xdr:rowOff>10886</xdr:rowOff>
        </xdr:to>
        <xdr:sp macro="" textlink="">
          <xdr:nvSpPr>
            <xdr:cNvPr id="6773" name="Predict_Input_8" hidden="1">
              <a:extLst>
                <a:ext uri="{63B3BB69-23CF-44E3-9099-C40C66FF867C}">
                  <a14:compatExt spid="_x0000_s6773"/>
                </a:ext>
                <a:ext uri="{FF2B5EF4-FFF2-40B4-BE49-F238E27FC236}">
                  <a16:creationId xmlns:a16="http://schemas.microsoft.com/office/drawing/2014/main" id="{00000000-0008-0000-0800-000075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6</xdr:col>
          <xdr:colOff>1311729</xdr:colOff>
          <xdr:row>44</xdr:row>
          <xdr:rowOff>21771</xdr:rowOff>
        </xdr:to>
        <xdr:sp macro="" textlink="">
          <xdr:nvSpPr>
            <xdr:cNvPr id="6774" name="Predict_Input_9" hidden="1">
              <a:extLst>
                <a:ext uri="{63B3BB69-23CF-44E3-9099-C40C66FF867C}">
                  <a14:compatExt spid="_x0000_s6774"/>
                </a:ext>
                <a:ext uri="{FF2B5EF4-FFF2-40B4-BE49-F238E27FC236}">
                  <a16:creationId xmlns:a16="http://schemas.microsoft.com/office/drawing/2014/main" id="{00000000-0008-0000-0800-000076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1306286</xdr:colOff>
          <xdr:row>47</xdr:row>
          <xdr:rowOff>21771</xdr:rowOff>
        </xdr:to>
        <xdr:sp macro="" textlink="">
          <xdr:nvSpPr>
            <xdr:cNvPr id="6775" name="Predict_Input_10" hidden="1">
              <a:extLst>
                <a:ext uri="{63B3BB69-23CF-44E3-9099-C40C66FF867C}">
                  <a14:compatExt spid="_x0000_s6775"/>
                </a:ext>
                <a:ext uri="{FF2B5EF4-FFF2-40B4-BE49-F238E27FC236}">
                  <a16:creationId xmlns:a16="http://schemas.microsoft.com/office/drawing/2014/main" id="{00000000-0008-0000-0800-000077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6</xdr:col>
          <xdr:colOff>1311729</xdr:colOff>
          <xdr:row>50</xdr:row>
          <xdr:rowOff>21771</xdr:rowOff>
        </xdr:to>
        <xdr:sp macro="" textlink="">
          <xdr:nvSpPr>
            <xdr:cNvPr id="6776" name="Predict_Input_11" hidden="1">
              <a:extLst>
                <a:ext uri="{63B3BB69-23CF-44E3-9099-C40C66FF867C}">
                  <a14:compatExt spid="_x0000_s6776"/>
                </a:ext>
                <a:ext uri="{FF2B5EF4-FFF2-40B4-BE49-F238E27FC236}">
                  <a16:creationId xmlns:a16="http://schemas.microsoft.com/office/drawing/2014/main" id="{00000000-0008-0000-0800-000078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6</xdr:col>
          <xdr:colOff>1311729</xdr:colOff>
          <xdr:row>53</xdr:row>
          <xdr:rowOff>21771</xdr:rowOff>
        </xdr:to>
        <xdr:sp macro="" textlink="">
          <xdr:nvSpPr>
            <xdr:cNvPr id="6777" name="Predict_Input_12" hidden="1">
              <a:extLst>
                <a:ext uri="{63B3BB69-23CF-44E3-9099-C40C66FF867C}">
                  <a14:compatExt spid="_x0000_s6777"/>
                </a:ext>
                <a:ext uri="{FF2B5EF4-FFF2-40B4-BE49-F238E27FC236}">
                  <a16:creationId xmlns:a16="http://schemas.microsoft.com/office/drawing/2014/main" id="{00000000-0008-0000-0800-000079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48986</xdr:colOff>
          <xdr:row>114</xdr:row>
          <xdr:rowOff>0</xdr:rowOff>
        </xdr:from>
        <xdr:to>
          <xdr:col>6</xdr:col>
          <xdr:colOff>1360714</xdr:colOff>
          <xdr:row>115</xdr:row>
          <xdr:rowOff>32657</xdr:rowOff>
        </xdr:to>
        <xdr:sp macro="" textlink="">
          <xdr:nvSpPr>
            <xdr:cNvPr id="6778" name="Predict_Input_14" hidden="1">
              <a:extLst>
                <a:ext uri="{63B3BB69-23CF-44E3-9099-C40C66FF867C}">
                  <a14:compatExt spid="_x0000_s6778"/>
                </a:ext>
                <a:ext uri="{FF2B5EF4-FFF2-40B4-BE49-F238E27FC236}">
                  <a16:creationId xmlns:a16="http://schemas.microsoft.com/office/drawing/2014/main" id="{00000000-0008-0000-0800-00007A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118</xdr:row>
          <xdr:rowOff>0</xdr:rowOff>
        </xdr:from>
        <xdr:to>
          <xdr:col>6</xdr:col>
          <xdr:colOff>1322614</xdr:colOff>
          <xdr:row>119</xdr:row>
          <xdr:rowOff>27214</xdr:rowOff>
        </xdr:to>
        <xdr:sp macro="" textlink="">
          <xdr:nvSpPr>
            <xdr:cNvPr id="6779" name="Predict_Input_15" hidden="1">
              <a:extLst>
                <a:ext uri="{63B3BB69-23CF-44E3-9099-C40C66FF867C}">
                  <a14:compatExt spid="_x0000_s6779"/>
                </a:ext>
                <a:ext uri="{FF2B5EF4-FFF2-40B4-BE49-F238E27FC236}">
                  <a16:creationId xmlns:a16="http://schemas.microsoft.com/office/drawing/2014/main" id="{00000000-0008-0000-0800-00007B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48986</xdr:colOff>
          <xdr:row>131</xdr:row>
          <xdr:rowOff>0</xdr:rowOff>
        </xdr:from>
        <xdr:to>
          <xdr:col>6</xdr:col>
          <xdr:colOff>1360714</xdr:colOff>
          <xdr:row>132</xdr:row>
          <xdr:rowOff>32657</xdr:rowOff>
        </xdr:to>
        <xdr:sp macro="" textlink="">
          <xdr:nvSpPr>
            <xdr:cNvPr id="6780" name="Predict_Input_17" hidden="1">
              <a:extLst>
                <a:ext uri="{63B3BB69-23CF-44E3-9099-C40C66FF867C}">
                  <a14:compatExt spid="_x0000_s6780"/>
                </a:ext>
                <a:ext uri="{FF2B5EF4-FFF2-40B4-BE49-F238E27FC236}">
                  <a16:creationId xmlns:a16="http://schemas.microsoft.com/office/drawing/2014/main" id="{00000000-0008-0000-0800-00007C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48986</xdr:colOff>
          <xdr:row>139</xdr:row>
          <xdr:rowOff>0</xdr:rowOff>
        </xdr:from>
        <xdr:to>
          <xdr:col>6</xdr:col>
          <xdr:colOff>1360714</xdr:colOff>
          <xdr:row>140</xdr:row>
          <xdr:rowOff>27214</xdr:rowOff>
        </xdr:to>
        <xdr:sp macro="" textlink="">
          <xdr:nvSpPr>
            <xdr:cNvPr id="6781" name="Predict_Input_18" hidden="1">
              <a:extLst>
                <a:ext uri="{63B3BB69-23CF-44E3-9099-C40C66FF867C}">
                  <a14:compatExt spid="_x0000_s6781"/>
                </a:ext>
                <a:ext uri="{FF2B5EF4-FFF2-40B4-BE49-F238E27FC236}">
                  <a16:creationId xmlns:a16="http://schemas.microsoft.com/office/drawing/2014/main" id="{00000000-0008-0000-0800-00007D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151</xdr:row>
          <xdr:rowOff>0</xdr:rowOff>
        </xdr:from>
        <xdr:to>
          <xdr:col>6</xdr:col>
          <xdr:colOff>1306286</xdr:colOff>
          <xdr:row>152</xdr:row>
          <xdr:rowOff>21771</xdr:rowOff>
        </xdr:to>
        <xdr:sp macro="" textlink="">
          <xdr:nvSpPr>
            <xdr:cNvPr id="6782" name="Predict_Input_21" hidden="1">
              <a:extLst>
                <a:ext uri="{63B3BB69-23CF-44E3-9099-C40C66FF867C}">
                  <a14:compatExt spid="_x0000_s6782"/>
                </a:ext>
                <a:ext uri="{FF2B5EF4-FFF2-40B4-BE49-F238E27FC236}">
                  <a16:creationId xmlns:a16="http://schemas.microsoft.com/office/drawing/2014/main" id="{00000000-0008-0000-0800-00007E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143</xdr:row>
          <xdr:rowOff>0</xdr:rowOff>
        </xdr:from>
        <xdr:to>
          <xdr:col>6</xdr:col>
          <xdr:colOff>1322614</xdr:colOff>
          <xdr:row>144</xdr:row>
          <xdr:rowOff>21771</xdr:rowOff>
        </xdr:to>
        <xdr:sp macro="" textlink="">
          <xdr:nvSpPr>
            <xdr:cNvPr id="1425498" name="Predict_Input_19" hidden="1">
              <a:extLst>
                <a:ext uri="{63B3BB69-23CF-44E3-9099-C40C66FF867C}">
                  <a14:compatExt spid="_x0000_s1425498"/>
                </a:ext>
                <a:ext uri="{FF2B5EF4-FFF2-40B4-BE49-F238E27FC236}">
                  <a16:creationId xmlns:a16="http://schemas.microsoft.com/office/drawing/2014/main" id="{00000000-0008-0000-0800-00005AC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32657</xdr:colOff>
          <xdr:row>14</xdr:row>
          <xdr:rowOff>0</xdr:rowOff>
        </xdr:from>
        <xdr:to>
          <xdr:col>6</xdr:col>
          <xdr:colOff>1344386</xdr:colOff>
          <xdr:row>15</xdr:row>
          <xdr:rowOff>54429</xdr:rowOff>
        </xdr:to>
        <xdr:sp macro="" textlink="">
          <xdr:nvSpPr>
            <xdr:cNvPr id="64743424" name="Predict_Input_2" hidden="1">
              <a:extLst>
                <a:ext uri="{63B3BB69-23CF-44E3-9099-C40C66FF867C}">
                  <a14:compatExt spid="_x0000_s64743424"/>
                </a:ext>
                <a:ext uri="{FF2B5EF4-FFF2-40B4-BE49-F238E27FC236}">
                  <a16:creationId xmlns:a16="http://schemas.microsoft.com/office/drawing/2014/main" id="{00000000-0008-0000-0800-000000E8D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16329</xdr:rowOff>
        </xdr:from>
        <xdr:to>
          <xdr:col>6</xdr:col>
          <xdr:colOff>1311729</xdr:colOff>
          <xdr:row>56</xdr:row>
          <xdr:rowOff>38100</xdr:rowOff>
        </xdr:to>
        <xdr:sp macro="" textlink="">
          <xdr:nvSpPr>
            <xdr:cNvPr id="64743427" name="Predict_Input_13" hidden="1">
              <a:extLst>
                <a:ext uri="{63B3BB69-23CF-44E3-9099-C40C66FF867C}">
                  <a14:compatExt spid="_x0000_s64743427"/>
                </a:ext>
                <a:ext uri="{FF2B5EF4-FFF2-40B4-BE49-F238E27FC236}">
                  <a16:creationId xmlns:a16="http://schemas.microsoft.com/office/drawing/2014/main" id="{00000000-0008-0000-0800-000003E8D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122</xdr:row>
          <xdr:rowOff>0</xdr:rowOff>
        </xdr:from>
        <xdr:to>
          <xdr:col>6</xdr:col>
          <xdr:colOff>1322614</xdr:colOff>
          <xdr:row>123</xdr:row>
          <xdr:rowOff>32657</xdr:rowOff>
        </xdr:to>
        <xdr:sp macro="" textlink="">
          <xdr:nvSpPr>
            <xdr:cNvPr id="64743447" name="Predict_Input_16" hidden="1">
              <a:extLst>
                <a:ext uri="{63B3BB69-23CF-44E3-9099-C40C66FF867C}">
                  <a14:compatExt spid="_x0000_s64743447"/>
                </a:ext>
                <a:ext uri="{FF2B5EF4-FFF2-40B4-BE49-F238E27FC236}">
                  <a16:creationId xmlns:a16="http://schemas.microsoft.com/office/drawing/2014/main" id="{00000000-0008-0000-0800-000017E8D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1322614</xdr:colOff>
          <xdr:row>148</xdr:row>
          <xdr:rowOff>27214</xdr:rowOff>
        </xdr:to>
        <xdr:sp macro="" textlink="">
          <xdr:nvSpPr>
            <xdr:cNvPr id="64743449" name="Predict_Input_20" hidden="1">
              <a:extLst>
                <a:ext uri="{63B3BB69-23CF-44E3-9099-C40C66FF867C}">
                  <a14:compatExt spid="_x0000_s64743449"/>
                </a:ext>
                <a:ext uri="{FF2B5EF4-FFF2-40B4-BE49-F238E27FC236}">
                  <a16:creationId xmlns:a16="http://schemas.microsoft.com/office/drawing/2014/main" id="{00000000-0008-0000-0800-000019E8D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167</xdr:row>
          <xdr:rowOff>0</xdr:rowOff>
        </xdr:from>
        <xdr:to>
          <xdr:col>6</xdr:col>
          <xdr:colOff>1306286</xdr:colOff>
          <xdr:row>168</xdr:row>
          <xdr:rowOff>21771</xdr:rowOff>
        </xdr:to>
        <xdr:sp macro="" textlink="">
          <xdr:nvSpPr>
            <xdr:cNvPr id="64743451" name="Predict_Input_22" hidden="1">
              <a:extLst>
                <a:ext uri="{63B3BB69-23CF-44E3-9099-C40C66FF867C}">
                  <a14:compatExt spid="_x0000_s64743451"/>
                </a:ext>
                <a:ext uri="{FF2B5EF4-FFF2-40B4-BE49-F238E27FC236}">
                  <a16:creationId xmlns:a16="http://schemas.microsoft.com/office/drawing/2014/main" id="{00000000-0008-0000-0800-00001BE8D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12099/Desktop/&#23454;&#20064;/&#24503;&#37030;&#35777;&#21048;/&#27169;&#26495;/Sinitek_Model/&#25968;&#25454;/&#30000;&#23195;/&#20113;&#20272;&#20540;&#27169;&#22411;/&#27169;&#22411;&#29256;&#26412;/&#26032;&#20250;&#35745;&#20934;&#21017;&#27169;&#22411;&#29256;&#26412;/&#26032;&#24314;&#25991;&#20214;&#22841;/work/sirm_dev_tool/trunk/ExcelModel/&#22522;&#26412;&#29256;/&#32858;&#28304;/&#28023;&#36890;&#35777;&#21048;&#26032;&#20250;&#35745;&#20934;&#21017;&#20272;&#20540;&#27169;&#22411;V2.1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onnecthkuhk-my.sharepoint.com/personal/u3588064_connect_hku_hk/Documents/&#30740;&#31350;/&#39118;&#38505;/&#39118;&#38505;&#27169;&#22411;/&#21387;&#21147;&#27979;&#35797;-&#22522;&#20110;&#19977;&#24352;&#34920;-&#19978;&#20132;.xlsm" TargetMode="External"/><Relationship Id="rId1" Type="http://schemas.openxmlformats.org/officeDocument/2006/relationships/externalLinkPath" Target="&#21387;&#21147;&#27979;&#35797;-&#22522;&#20110;&#19977;&#24352;&#34920;-&#19978;&#201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财务报表输出_海通证券"/>
      <sheetName val="目录"/>
      <sheetName val="销售预测"/>
      <sheetName val="资产预测"/>
      <sheetName val="主要财务摘要"/>
      <sheetName val="模板输出"/>
      <sheetName val="图表输出-各种增长率对比图表"/>
      <sheetName val="杜邦分析"/>
      <sheetName val="图表输出"/>
      <sheetName val="报表摘要"/>
      <sheetName val="西式报表"/>
      <sheetName val="财务基础数据"/>
      <sheetName val="财务基础数据（一季报）"/>
      <sheetName val="财务基础数据（中报）"/>
      <sheetName val="财务基础数据（三季报）"/>
      <sheetName val="财务基础数据（年报）"/>
      <sheetName val="资产负债表"/>
      <sheetName val="Sheet1"/>
      <sheetName val="利润表"/>
      <sheetName val="现金流量表"/>
      <sheetName val="财务分析"/>
      <sheetName val="季报分析"/>
      <sheetName val="现金流"/>
      <sheetName val="估值"/>
      <sheetName val="敏感性APV"/>
      <sheetName val="敏感性WACC"/>
      <sheetName val="敏感性FCFE"/>
      <sheetName val="敏感性AE"/>
      <sheetName val="敏感性DDM"/>
      <sheetName val="敏感性EVA"/>
      <sheetName val="模型导入"/>
    </sheetNames>
    <sheetDataSet>
      <sheetData sheetId="0"/>
      <sheetData sheetId="1"/>
      <sheetData sheetId="2"/>
      <sheetData sheetId="3"/>
      <sheetData sheetId="4"/>
      <sheetData sheetId="5"/>
      <sheetData sheetId="6">
        <row r="2">
          <cell r="B2">
            <v>2011</v>
          </cell>
          <cell r="C2">
            <v>2012</v>
          </cell>
          <cell r="D2" t="str">
            <v>2013E</v>
          </cell>
          <cell r="E2">
            <v>2014</v>
          </cell>
          <cell r="F2">
            <v>2015</v>
          </cell>
        </row>
        <row r="3">
          <cell r="G3">
            <v>1</v>
          </cell>
        </row>
        <row r="7">
          <cell r="M7" t="str">
            <v>—</v>
          </cell>
          <cell r="N7" t="str">
            <v>—</v>
          </cell>
          <cell r="O7">
            <v>10</v>
          </cell>
          <cell r="P7" t="str">
            <v>—</v>
          </cell>
          <cell r="Q7" t="str">
            <v>—</v>
          </cell>
        </row>
        <row r="8">
          <cell r="M8" t="str">
            <v>—</v>
          </cell>
          <cell r="N8" t="str">
            <v>—</v>
          </cell>
          <cell r="O8">
            <v>10</v>
          </cell>
          <cell r="P8" t="str">
            <v>—</v>
          </cell>
          <cell r="Q8" t="str">
            <v>—</v>
          </cell>
        </row>
        <row r="44">
          <cell r="M44" t="str">
            <v>—</v>
          </cell>
          <cell r="N44" t="str">
            <v>—</v>
          </cell>
          <cell r="O44" t="str">
            <v>—</v>
          </cell>
          <cell r="P44" t="str">
            <v>—</v>
          </cell>
          <cell r="Q44" t="str">
            <v>—</v>
          </cell>
        </row>
        <row r="45">
          <cell r="M45" t="str">
            <v>—</v>
          </cell>
          <cell r="N45" t="str">
            <v>—</v>
          </cell>
          <cell r="O45" t="str">
            <v>—</v>
          </cell>
          <cell r="P45" t="str">
            <v>—</v>
          </cell>
          <cell r="Q45" t="str">
            <v>—</v>
          </cell>
        </row>
        <row r="46">
          <cell r="M46" t="str">
            <v>—</v>
          </cell>
          <cell r="N46" t="str">
            <v>—</v>
          </cell>
          <cell r="O46" t="str">
            <v>—</v>
          </cell>
          <cell r="P46" t="str">
            <v>—</v>
          </cell>
          <cell r="Q46" t="str">
            <v>—</v>
          </cell>
        </row>
        <row r="82">
          <cell r="M82" t="str">
            <v>—</v>
          </cell>
          <cell r="N82" t="str">
            <v>—</v>
          </cell>
          <cell r="O82">
            <v>10</v>
          </cell>
          <cell r="P82" t="str">
            <v>—</v>
          </cell>
          <cell r="Q82" t="str">
            <v>—</v>
          </cell>
        </row>
        <row r="83">
          <cell r="M83" t="str">
            <v>—</v>
          </cell>
          <cell r="N83" t="str">
            <v>—</v>
          </cell>
          <cell r="O83">
            <v>10</v>
          </cell>
          <cell r="P83" t="str">
            <v>—</v>
          </cell>
          <cell r="Q83" t="str">
            <v>—</v>
          </cell>
        </row>
        <row r="84">
          <cell r="M84" t="str">
            <v>—</v>
          </cell>
          <cell r="N84" t="str">
            <v>—</v>
          </cell>
          <cell r="O84" t="str">
            <v>—</v>
          </cell>
          <cell r="P84" t="str">
            <v>—</v>
          </cell>
          <cell r="Q84" t="str">
            <v>—</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目录"/>
      <sheetName val="折旧摊销测算"/>
      <sheetName val="压力测试"/>
      <sheetName val="压力测试 日志"/>
      <sheetName val="财务基础数据"/>
      <sheetName val="财务附注数据"/>
      <sheetName val="收入成本"/>
      <sheetName val="销售预测"/>
      <sheetName val="资产预测"/>
      <sheetName val="资产负债表"/>
      <sheetName val="利润表"/>
      <sheetName val="现金流量表"/>
    </sheetNames>
    <sheetDataSet>
      <sheetData sheetId="0">
        <row r="5">
          <cell r="D5" t="str">
            <v>港元</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2.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6.xml"/><Relationship Id="rId18" Type="http://schemas.openxmlformats.org/officeDocument/2006/relationships/control" Target="../activeX/activeX19.xml"/><Relationship Id="rId26" Type="http://schemas.openxmlformats.org/officeDocument/2006/relationships/control" Target="../activeX/activeX25.xml"/><Relationship Id="rId3" Type="http://schemas.openxmlformats.org/officeDocument/2006/relationships/vmlDrawing" Target="../drawings/vmlDrawing4.vml"/><Relationship Id="rId21" Type="http://schemas.openxmlformats.org/officeDocument/2006/relationships/image" Target="../media/image8.emf"/><Relationship Id="rId34" Type="http://schemas.openxmlformats.org/officeDocument/2006/relationships/control" Target="../activeX/activeX31.xml"/><Relationship Id="rId7" Type="http://schemas.openxmlformats.org/officeDocument/2006/relationships/image" Target="../media/image4.emf"/><Relationship Id="rId12" Type="http://schemas.openxmlformats.org/officeDocument/2006/relationships/control" Target="../activeX/activeX15.xml"/><Relationship Id="rId17" Type="http://schemas.openxmlformats.org/officeDocument/2006/relationships/image" Target="../media/image7.emf"/><Relationship Id="rId25" Type="http://schemas.openxmlformats.org/officeDocument/2006/relationships/control" Target="../activeX/activeX24.xml"/><Relationship Id="rId33" Type="http://schemas.openxmlformats.org/officeDocument/2006/relationships/control" Target="../activeX/activeX30.xml"/><Relationship Id="rId2" Type="http://schemas.openxmlformats.org/officeDocument/2006/relationships/drawing" Target="../drawings/drawing3.xml"/><Relationship Id="rId16" Type="http://schemas.openxmlformats.org/officeDocument/2006/relationships/control" Target="../activeX/activeX18.xml"/><Relationship Id="rId20" Type="http://schemas.openxmlformats.org/officeDocument/2006/relationships/control" Target="../activeX/activeX21.xml"/><Relationship Id="rId29" Type="http://schemas.openxmlformats.org/officeDocument/2006/relationships/control" Target="../activeX/activeX27.xml"/><Relationship Id="rId1" Type="http://schemas.openxmlformats.org/officeDocument/2006/relationships/printerSettings" Target="../printerSettings/printerSettings5.bin"/><Relationship Id="rId6" Type="http://schemas.openxmlformats.org/officeDocument/2006/relationships/control" Target="../activeX/activeX11.xml"/><Relationship Id="rId11" Type="http://schemas.openxmlformats.org/officeDocument/2006/relationships/control" Target="../activeX/activeX14.xml"/><Relationship Id="rId24" Type="http://schemas.openxmlformats.org/officeDocument/2006/relationships/control" Target="../activeX/activeX23.xml"/><Relationship Id="rId32" Type="http://schemas.openxmlformats.org/officeDocument/2006/relationships/control" Target="../activeX/activeX29.xml"/><Relationship Id="rId5" Type="http://schemas.openxmlformats.org/officeDocument/2006/relationships/image" Target="../media/image3.emf"/><Relationship Id="rId15" Type="http://schemas.openxmlformats.org/officeDocument/2006/relationships/control" Target="../activeX/activeX17.xml"/><Relationship Id="rId23" Type="http://schemas.openxmlformats.org/officeDocument/2006/relationships/image" Target="../media/image9.emf"/><Relationship Id="rId28" Type="http://schemas.openxmlformats.org/officeDocument/2006/relationships/image" Target="../media/image10.emf"/><Relationship Id="rId10" Type="http://schemas.openxmlformats.org/officeDocument/2006/relationships/control" Target="../activeX/activeX13.xml"/><Relationship Id="rId19" Type="http://schemas.openxmlformats.org/officeDocument/2006/relationships/control" Target="../activeX/activeX20.xml"/><Relationship Id="rId31" Type="http://schemas.openxmlformats.org/officeDocument/2006/relationships/control" Target="../activeX/activeX28.xml"/><Relationship Id="rId4" Type="http://schemas.openxmlformats.org/officeDocument/2006/relationships/control" Target="../activeX/activeX10.xml"/><Relationship Id="rId9" Type="http://schemas.openxmlformats.org/officeDocument/2006/relationships/image" Target="../media/image5.emf"/><Relationship Id="rId14" Type="http://schemas.openxmlformats.org/officeDocument/2006/relationships/image" Target="../media/image6.emf"/><Relationship Id="rId22" Type="http://schemas.openxmlformats.org/officeDocument/2006/relationships/control" Target="../activeX/activeX22.xml"/><Relationship Id="rId27" Type="http://schemas.openxmlformats.org/officeDocument/2006/relationships/control" Target="../activeX/activeX26.xml"/><Relationship Id="rId30" Type="http://schemas.openxmlformats.org/officeDocument/2006/relationships/image" Target="../media/image11.emf"/><Relationship Id="rId35" Type="http://schemas.openxmlformats.org/officeDocument/2006/relationships/comments" Target="../comments2.xml"/><Relationship Id="rId8"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1"/>
  <sheetViews>
    <sheetView topLeftCell="A28" workbookViewId="0">
      <selection activeCell="B6" sqref="B6"/>
    </sheetView>
  </sheetViews>
  <sheetFormatPr defaultColWidth="6" defaultRowHeight="16" customHeight="1"/>
  <cols>
    <col min="1" max="1" width="3" style="201" customWidth="1"/>
    <col min="2" max="2" width="26.35546875" style="205" customWidth="1"/>
    <col min="3" max="3" width="25" style="198" customWidth="1"/>
    <col min="4" max="4" width="6.5703125" style="198" customWidth="1"/>
    <col min="5" max="5" width="20.5703125" style="198" customWidth="1"/>
    <col min="6" max="6" width="20.85546875" style="198" customWidth="1"/>
    <col min="7" max="7" width="6" style="198" customWidth="1"/>
    <col min="8" max="8" width="36.640625" style="198" customWidth="1"/>
    <col min="9" max="9" width="24.140625" style="201" customWidth="1"/>
    <col min="10" max="12" width="10.140625" style="201" bestFit="1" customWidth="1"/>
    <col min="13" max="16384" width="6" style="201"/>
  </cols>
  <sheetData>
    <row r="1" spans="2:9" ht="16" customHeight="1">
      <c r="B1" s="687"/>
      <c r="C1" s="215"/>
      <c r="D1" s="689"/>
    </row>
    <row r="2" spans="2:9" ht="20.25" customHeight="1">
      <c r="B2" s="705"/>
      <c r="C2" s="696"/>
      <c r="D2" s="690" t="s">
        <v>1242</v>
      </c>
      <c r="E2" s="250"/>
      <c r="F2" s="707"/>
      <c r="G2" s="201"/>
      <c r="I2" s="200"/>
    </row>
    <row r="3" spans="2:9" ht="20.25" customHeight="1">
      <c r="B3" s="706"/>
      <c r="C3" s="697"/>
      <c r="D3" s="691">
        <v>3</v>
      </c>
      <c r="E3" s="250"/>
      <c r="F3" s="707"/>
      <c r="G3" s="201"/>
      <c r="H3" s="388"/>
      <c r="I3" s="202"/>
    </row>
    <row r="4" spans="2:9" ht="20.25" customHeight="1">
      <c r="B4" s="706"/>
      <c r="C4" s="697"/>
      <c r="D4" s="691">
        <v>3</v>
      </c>
      <c r="E4" s="250"/>
      <c r="F4" s="707"/>
      <c r="G4" s="201"/>
      <c r="H4" s="388"/>
      <c r="I4" s="203"/>
    </row>
    <row r="5" spans="2:9" ht="20.25" customHeight="1">
      <c r="B5" s="706" t="s">
        <v>1223</v>
      </c>
      <c r="C5" s="697" t="s">
        <v>1370</v>
      </c>
      <c r="D5" s="690" t="str">
        <f>C5</f>
        <v>港元</v>
      </c>
      <c r="E5" s="251"/>
      <c r="F5" s="759"/>
      <c r="G5" s="201"/>
      <c r="H5" s="388"/>
      <c r="I5" s="203"/>
    </row>
    <row r="6" spans="2:9" ht="20.25" customHeight="1">
      <c r="B6" s="704" t="s">
        <v>1222</v>
      </c>
      <c r="C6" s="698"/>
      <c r="D6" s="691">
        <v>9.9999999999999995E-7</v>
      </c>
      <c r="E6" s="250"/>
      <c r="F6" s="707"/>
      <c r="G6" s="201"/>
      <c r="H6" s="388"/>
    </row>
    <row r="7" spans="2:9" ht="20.25" customHeight="1">
      <c r="B7" s="803"/>
      <c r="C7" s="804"/>
      <c r="D7" s="691">
        <f>IF(D4&gt;10,10,D4)</f>
        <v>3</v>
      </c>
      <c r="E7" s="250"/>
      <c r="F7" s="736"/>
      <c r="G7" s="201"/>
      <c r="H7" s="388"/>
    </row>
    <row r="8" spans="2:9" ht="20.25" customHeight="1">
      <c r="B8" s="803"/>
      <c r="C8" s="804"/>
      <c r="D8" s="691"/>
      <c r="E8" s="250"/>
      <c r="F8" s="736"/>
      <c r="G8" s="201"/>
      <c r="H8" s="388"/>
    </row>
    <row r="9" spans="2:9" ht="20.25" customHeight="1">
      <c r="B9" s="805"/>
      <c r="C9" s="806"/>
      <c r="D9" s="692">
        <v>0</v>
      </c>
      <c r="E9" s="250"/>
      <c r="F9" s="759"/>
      <c r="G9" s="201"/>
      <c r="H9" s="695"/>
    </row>
    <row r="10" spans="2:9" ht="16" customHeight="1">
      <c r="D10" s="692"/>
      <c r="I10" s="387"/>
    </row>
    <row r="11" spans="2:9" ht="16" customHeight="1">
      <c r="D11" s="692"/>
    </row>
    <row r="12" spans="2:9" ht="16" customHeight="1">
      <c r="B12" s="252" t="s">
        <v>335</v>
      </c>
      <c r="C12" s="254"/>
      <c r="D12" s="200"/>
      <c r="E12" s="257" t="s">
        <v>842</v>
      </c>
      <c r="F12" s="250"/>
      <c r="G12" s="390"/>
      <c r="H12" s="250"/>
      <c r="I12" s="388"/>
    </row>
    <row r="13" spans="2:9" ht="16" customHeight="1">
      <c r="B13" s="699" t="s">
        <v>1225</v>
      </c>
      <c r="C13" s="701"/>
      <c r="D13" s="200"/>
      <c r="E13" s="699" t="s">
        <v>1228</v>
      </c>
      <c r="F13" s="699"/>
      <c r="G13" s="699"/>
      <c r="H13" s="702"/>
      <c r="I13" s="389"/>
    </row>
    <row r="14" spans="2:9" ht="16" customHeight="1">
      <c r="B14" s="699" t="s">
        <v>1224</v>
      </c>
      <c r="C14" s="255"/>
      <c r="D14" s="200"/>
      <c r="E14" s="699" t="s">
        <v>1229</v>
      </c>
      <c r="F14" s="206"/>
      <c r="G14" s="201"/>
      <c r="H14" s="253"/>
      <c r="I14" s="388"/>
    </row>
    <row r="15" spans="2:9" ht="16" customHeight="1">
      <c r="B15" s="699" t="s">
        <v>832</v>
      </c>
      <c r="C15" s="255"/>
      <c r="D15" s="200"/>
      <c r="E15" s="699" t="s">
        <v>1230</v>
      </c>
      <c r="F15" s="206"/>
      <c r="G15" s="201"/>
      <c r="H15" s="253"/>
    </row>
    <row r="16" spans="2:9" ht="16" customHeight="1">
      <c r="B16" s="699" t="s">
        <v>1226</v>
      </c>
      <c r="C16" s="702"/>
      <c r="D16" s="200"/>
      <c r="E16" s="699" t="s">
        <v>834</v>
      </c>
      <c r="F16" s="207"/>
      <c r="G16" s="201"/>
      <c r="H16" s="253"/>
      <c r="I16" s="388"/>
    </row>
    <row r="17" spans="1:10" ht="16" customHeight="1">
      <c r="B17" s="699" t="s">
        <v>833</v>
      </c>
      <c r="C17" s="255"/>
      <c r="D17" s="200"/>
      <c r="E17" s="699" t="s">
        <v>512</v>
      </c>
      <c r="F17" s="703"/>
      <c r="G17" s="201"/>
      <c r="H17" s="253"/>
    </row>
    <row r="18" spans="1:10" ht="16" customHeight="1">
      <c r="B18" s="700" t="s">
        <v>1227</v>
      </c>
      <c r="C18" s="256"/>
      <c r="D18" s="200"/>
      <c r="E18" s="700" t="s">
        <v>1231</v>
      </c>
      <c r="F18" s="461"/>
      <c r="G18" s="461"/>
      <c r="H18" s="256"/>
      <c r="I18" s="388"/>
    </row>
    <row r="19" spans="1:10" ht="16" customHeight="1">
      <c r="B19" s="204"/>
    </row>
    <row r="20" spans="1:10" s="206" customFormat="1" ht="16" customHeight="1">
      <c r="B20" s="208" t="s">
        <v>102</v>
      </c>
      <c r="C20" s="200" t="s">
        <v>98</v>
      </c>
      <c r="D20" s="209"/>
      <c r="E20" s="210" t="s">
        <v>99</v>
      </c>
      <c r="F20" s="211" t="s">
        <v>849</v>
      </c>
      <c r="G20" s="802" t="s">
        <v>100</v>
      </c>
      <c r="H20" s="802"/>
      <c r="I20" s="199"/>
      <c r="J20" s="199"/>
    </row>
    <row r="21" spans="1:10" s="206" customFormat="1" ht="16" customHeight="1">
      <c r="B21" s="685" t="s">
        <v>1220</v>
      </c>
      <c r="C21" s="200" t="s">
        <v>98</v>
      </c>
      <c r="D21" s="209"/>
      <c r="E21" s="210" t="s">
        <v>99</v>
      </c>
      <c r="F21" s="211" t="s">
        <v>849</v>
      </c>
      <c r="G21" s="217"/>
      <c r="H21" s="217"/>
      <c r="I21" s="199"/>
      <c r="J21" s="199"/>
    </row>
    <row r="22" spans="1:10" s="206" customFormat="1" ht="16" customHeight="1">
      <c r="B22" s="208" t="s">
        <v>670</v>
      </c>
      <c r="C22" s="200" t="s">
        <v>98</v>
      </c>
      <c r="D22" s="212"/>
      <c r="E22" s="210" t="s">
        <v>99</v>
      </c>
      <c r="F22" s="211" t="s">
        <v>849</v>
      </c>
      <c r="G22" s="802" t="s">
        <v>100</v>
      </c>
      <c r="H22" s="802"/>
    </row>
    <row r="23" spans="1:10" s="206" customFormat="1" ht="16" customHeight="1">
      <c r="B23" s="208" t="s">
        <v>103</v>
      </c>
      <c r="C23" s="202" t="s">
        <v>972</v>
      </c>
      <c r="D23" s="213"/>
      <c r="E23" s="200"/>
      <c r="F23" s="211" t="s">
        <v>849</v>
      </c>
    </row>
    <row r="24" spans="1:10" s="206" customFormat="1" ht="16" customHeight="1">
      <c r="B24" s="208" t="s">
        <v>671</v>
      </c>
      <c r="C24" s="202" t="s">
        <v>973</v>
      </c>
      <c r="D24" s="200"/>
      <c r="E24" s="200"/>
      <c r="F24" s="200"/>
    </row>
    <row r="25" spans="1:10" s="206" customFormat="1" ht="16" customHeight="1">
      <c r="B25" s="208" t="s">
        <v>672</v>
      </c>
      <c r="C25" s="686" t="s">
        <v>974</v>
      </c>
      <c r="D25" s="200"/>
      <c r="E25" s="200"/>
      <c r="F25" s="200"/>
    </row>
    <row r="26" spans="1:10" s="206" customFormat="1" ht="16" customHeight="1">
      <c r="B26" s="208" t="s">
        <v>44</v>
      </c>
      <c r="C26" s="200" t="s">
        <v>98</v>
      </c>
      <c r="D26" s="200"/>
      <c r="E26" s="210" t="s">
        <v>99</v>
      </c>
      <c r="F26" s="200"/>
    </row>
    <row r="27" spans="1:10" s="206" customFormat="1" ht="16" customHeight="1">
      <c r="B27" s="208" t="s">
        <v>73</v>
      </c>
      <c r="C27" s="200" t="s">
        <v>98</v>
      </c>
      <c r="D27" s="200"/>
      <c r="E27" s="210" t="s">
        <v>99</v>
      </c>
      <c r="F27" s="211" t="s">
        <v>850</v>
      </c>
    </row>
    <row r="28" spans="1:10" s="206" customFormat="1" ht="16" customHeight="1">
      <c r="B28" s="208" t="s">
        <v>513</v>
      </c>
      <c r="C28" s="200" t="s">
        <v>98</v>
      </c>
      <c r="D28" s="200"/>
      <c r="E28" s="210" t="s">
        <v>99</v>
      </c>
      <c r="F28" s="200"/>
    </row>
    <row r="29" spans="1:10" ht="16" customHeight="1">
      <c r="A29" s="206"/>
      <c r="B29" s="208" t="s">
        <v>971</v>
      </c>
      <c r="C29" s="200" t="s">
        <v>98</v>
      </c>
      <c r="D29" s="200"/>
      <c r="G29" s="201"/>
      <c r="H29" s="201"/>
    </row>
    <row r="30" spans="1:10" s="206" customFormat="1" ht="16" customHeight="1">
      <c r="B30" s="208" t="s">
        <v>191</v>
      </c>
      <c r="C30" s="200" t="s">
        <v>98</v>
      </c>
      <c r="D30" s="200"/>
      <c r="E30" s="200"/>
      <c r="F30" s="214" t="s">
        <v>101</v>
      </c>
    </row>
    <row r="31" spans="1:10" s="206" customFormat="1" ht="16" customHeight="1">
      <c r="B31" s="688" t="s">
        <v>1221</v>
      </c>
      <c r="C31" s="200" t="s">
        <v>98</v>
      </c>
      <c r="D31" s="200"/>
      <c r="E31" s="200"/>
      <c r="F31" s="214" t="s">
        <v>101</v>
      </c>
    </row>
  </sheetData>
  <mergeCells count="5">
    <mergeCell ref="G20:H20"/>
    <mergeCell ref="G22:H22"/>
    <mergeCell ref="B7:C7"/>
    <mergeCell ref="B8:C8"/>
    <mergeCell ref="B9:C9"/>
  </mergeCells>
  <phoneticPr fontId="2" type="noConversion"/>
  <hyperlinks>
    <hyperlink ref="B22" location="资产预测!A1" display="资产预测" xr:uid="{00000000-0004-0000-0000-000000000000}"/>
    <hyperlink ref="B23" location="主要财务摘要!A1" display="主要财务摘要" xr:uid="{00000000-0004-0000-0000-000001000000}"/>
    <hyperlink ref="B24" location="图表输出!A1" display="图表输出" xr:uid="{00000000-0004-0000-0000-000002000000}"/>
    <hyperlink ref="B25" location="报表摘要!A1" display="报表摘要" xr:uid="{00000000-0004-0000-0000-000003000000}"/>
    <hyperlink ref="B26" location="资产负债表!A1" display="资产负债表" xr:uid="{00000000-0004-0000-0000-000004000000}"/>
    <hyperlink ref="B27" location="利润表!A1" display="利润表" xr:uid="{00000000-0004-0000-0000-000005000000}"/>
    <hyperlink ref="B28" location="现金流量表!A1" display="现金流量表" xr:uid="{00000000-0004-0000-0000-000006000000}"/>
    <hyperlink ref="B31" location="估值!A1" display="估值" xr:uid="{00000000-0004-0000-0000-000007000000}"/>
    <hyperlink ref="B30" location="现金流!A1" display="现金流" xr:uid="{00000000-0004-0000-0000-000008000000}"/>
    <hyperlink ref="B20" location="销售预测!A1" display="销售预测" xr:uid="{00000000-0004-0000-0000-000009000000}"/>
    <hyperlink ref="B29" location="财务分析!A1" display="估值" xr:uid="{00000000-0004-0000-0000-00000A000000}"/>
    <hyperlink ref="B21" location="销售预测!A1" display="销售预测" xr:uid="{00000000-0004-0000-0000-00000B000000}"/>
  </hyperlinks>
  <pageMargins left="0.7" right="0.7" top="0.75" bottom="0.75" header="0.3" footer="0.3"/>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D25F7-3B76-4DCB-9B09-B4752FE3ADC3}">
  <sheetPr codeName="工作表2"/>
  <dimension ref="A1:A8"/>
  <sheetViews>
    <sheetView tabSelected="1" workbookViewId="0">
      <selection activeCell="C9" sqref="C9"/>
    </sheetView>
  </sheetViews>
  <sheetFormatPr defaultRowHeight="15"/>
  <sheetData>
    <row r="1" spans="1:1">
      <c r="A1" t="s">
        <v>1476</v>
      </c>
    </row>
    <row r="3" spans="1:1">
      <c r="A3" t="s">
        <v>1483</v>
      </c>
    </row>
    <row r="4" spans="1:1">
      <c r="A4" t="s">
        <v>1481</v>
      </c>
    </row>
    <row r="5" spans="1:1">
      <c r="A5" t="s">
        <v>1480</v>
      </c>
    </row>
    <row r="6" spans="1:1">
      <c r="A6" t="s">
        <v>1484</v>
      </c>
    </row>
    <row r="7" spans="1:1">
      <c r="A7" s="807" t="s">
        <v>1482</v>
      </c>
    </row>
    <row r="8" spans="1:1">
      <c r="A8" s="807" t="s">
        <v>1485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
  <dimension ref="A1:K78"/>
  <sheetViews>
    <sheetView workbookViewId="0">
      <selection activeCell="K5" sqref="K5"/>
    </sheetView>
  </sheetViews>
  <sheetFormatPr defaultRowHeight="15"/>
  <cols>
    <col min="1" max="1" width="2.78515625" customWidth="1"/>
    <col min="2" max="2" width="19.140625" bestFit="1" customWidth="1"/>
    <col min="8" max="8" width="7.92578125" customWidth="1"/>
  </cols>
  <sheetData>
    <row r="1" spans="1:11">
      <c r="B1" t="s">
        <v>1478</v>
      </c>
      <c r="D1" s="808" t="s">
        <v>1486</v>
      </c>
    </row>
    <row r="2" spans="1:11">
      <c r="A2" s="787" t="s">
        <v>1361</v>
      </c>
      <c r="D2" t="s">
        <v>1358</v>
      </c>
      <c r="E2" t="s">
        <v>1359</v>
      </c>
      <c r="F2" t="s">
        <v>1360</v>
      </c>
    </row>
    <row r="3" spans="1:11">
      <c r="B3" t="s">
        <v>1436</v>
      </c>
    </row>
    <row r="4" spans="1:11">
      <c r="B4" t="s">
        <v>1418</v>
      </c>
      <c r="D4" s="786">
        <v>1</v>
      </c>
      <c r="E4" s="786">
        <v>1</v>
      </c>
      <c r="F4" s="786">
        <v>1</v>
      </c>
    </row>
    <row r="5" spans="1:11">
      <c r="B5" t="s">
        <v>1419</v>
      </c>
      <c r="D5" s="792">
        <v>1</v>
      </c>
      <c r="E5" s="792">
        <v>1</v>
      </c>
      <c r="F5" s="792">
        <v>1</v>
      </c>
      <c r="I5" s="786"/>
      <c r="J5" s="786"/>
      <c r="K5" s="786"/>
    </row>
    <row r="6" spans="1:11">
      <c r="B6" t="s">
        <v>1420</v>
      </c>
      <c r="D6" s="786">
        <v>1</v>
      </c>
      <c r="E6" s="786">
        <v>1</v>
      </c>
      <c r="F6" s="786">
        <v>1</v>
      </c>
    </row>
    <row r="7" spans="1:11">
      <c r="B7" t="s">
        <v>1432</v>
      </c>
      <c r="D7" s="792">
        <v>0</v>
      </c>
      <c r="E7" s="792">
        <v>0</v>
      </c>
      <c r="F7" s="792">
        <v>0</v>
      </c>
      <c r="I7" s="786"/>
      <c r="J7" s="786"/>
      <c r="K7" s="786"/>
    </row>
    <row r="8" spans="1:11">
      <c r="B8" t="s">
        <v>1421</v>
      </c>
      <c r="D8" s="792">
        <v>0</v>
      </c>
      <c r="E8" s="792">
        <v>0</v>
      </c>
      <c r="F8" s="792">
        <v>0</v>
      </c>
      <c r="I8" s="786"/>
      <c r="J8" s="786"/>
      <c r="K8" s="786"/>
    </row>
    <row r="9" spans="1:11">
      <c r="B9" t="s">
        <v>1422</v>
      </c>
      <c r="D9" s="792">
        <v>0</v>
      </c>
      <c r="E9" s="792">
        <v>0</v>
      </c>
      <c r="F9" s="792">
        <v>0</v>
      </c>
      <c r="I9" s="786"/>
      <c r="J9" s="786"/>
      <c r="K9" s="786"/>
    </row>
    <row r="10" spans="1:11">
      <c r="B10" t="s">
        <v>1423</v>
      </c>
      <c r="D10">
        <v>0</v>
      </c>
      <c r="E10">
        <v>0</v>
      </c>
      <c r="F10">
        <v>0</v>
      </c>
    </row>
    <row r="11" spans="1:11">
      <c r="B11" t="s">
        <v>1434</v>
      </c>
      <c r="D11" s="796">
        <v>0</v>
      </c>
      <c r="E11" s="796">
        <v>0</v>
      </c>
      <c r="F11" s="796">
        <v>0</v>
      </c>
    </row>
    <row r="12" spans="1:11">
      <c r="B12" s="799" t="s">
        <v>1435</v>
      </c>
      <c r="D12" s="786">
        <f>D11+收入成本!E20</f>
        <v>0</v>
      </c>
      <c r="E12" s="786">
        <f>E11+D12</f>
        <v>0</v>
      </c>
      <c r="F12" s="786">
        <f>F11+E12</f>
        <v>0</v>
      </c>
    </row>
    <row r="14" spans="1:11">
      <c r="A14" s="787" t="s">
        <v>1362</v>
      </c>
    </row>
    <row r="15" spans="1:11">
      <c r="B15" t="s">
        <v>1475</v>
      </c>
    </row>
    <row r="17" spans="1:6">
      <c r="A17" s="787" t="s">
        <v>1363</v>
      </c>
      <c r="C17" t="s">
        <v>1412</v>
      </c>
      <c r="D17" t="s">
        <v>1358</v>
      </c>
      <c r="E17" t="s">
        <v>1359</v>
      </c>
      <c r="F17" t="s">
        <v>1360</v>
      </c>
    </row>
    <row r="18" spans="1:6">
      <c r="A18" s="787" t="s">
        <v>1365</v>
      </c>
    </row>
    <row r="19" spans="1:6">
      <c r="B19" s="559" t="s">
        <v>1032</v>
      </c>
      <c r="D19">
        <f>VLOOKUP($B19,利润表!$B:$AN,37,FALSE)</f>
        <v>0</v>
      </c>
      <c r="E19">
        <f>VLOOKUP($B19,利润表!$B:$AN,38,FALSE)</f>
        <v>0</v>
      </c>
      <c r="F19">
        <f>VLOOKUP($B19,利润表!$B:$AN,39,FALSE)</f>
        <v>0</v>
      </c>
    </row>
    <row r="20" spans="1:6">
      <c r="B20" s="735" t="s">
        <v>1240</v>
      </c>
      <c r="D20">
        <f>VLOOKUP($B20,利润表!$B:$AN,37,FALSE)</f>
        <v>0</v>
      </c>
      <c r="E20">
        <f>VLOOKUP($B20,利润表!$B:$AN,38,FALSE)</f>
        <v>0</v>
      </c>
      <c r="F20">
        <f>VLOOKUP($B20,利润表!$B:$AN,39,FALSE)</f>
        <v>0</v>
      </c>
    </row>
    <row r="21" spans="1:6">
      <c r="A21" s="787" t="s">
        <v>1404</v>
      </c>
    </row>
    <row r="22" spans="1:6">
      <c r="A22" s="787"/>
      <c r="B22" t="s">
        <v>1424</v>
      </c>
    </row>
    <row r="23" spans="1:6">
      <c r="A23" s="787"/>
      <c r="B23" t="s">
        <v>1425</v>
      </c>
    </row>
    <row r="24" spans="1:6">
      <c r="A24" s="787"/>
      <c r="B24" t="s">
        <v>1381</v>
      </c>
    </row>
    <row r="25" spans="1:6">
      <c r="A25" s="787"/>
      <c r="B25" t="s">
        <v>1426</v>
      </c>
    </row>
    <row r="26" spans="1:6">
      <c r="A26" s="787"/>
      <c r="B26" t="s">
        <v>1427</v>
      </c>
    </row>
    <row r="27" spans="1:6">
      <c r="B27" s="416" t="s">
        <v>704</v>
      </c>
      <c r="D27" t="e">
        <f>VLOOKUP($B27,销售预测!$B:$AN,21,FALSE)</f>
        <v>#DIV/0!</v>
      </c>
      <c r="E27" t="e">
        <f>VLOOKUP($B27,销售预测!$B:$AN,22,FALSE)</f>
        <v>#DIV/0!</v>
      </c>
      <c r="F27" t="e">
        <f>VLOOKUP($B27,销售预测!$B:$AN,23,FALSE)</f>
        <v>#DIV/0!</v>
      </c>
    </row>
    <row r="28" spans="1:6">
      <c r="B28" s="416" t="s">
        <v>705</v>
      </c>
      <c r="D28">
        <f>VLOOKUP($B28,销售预测!$B:$AN,21,FALSE)</f>
        <v>0</v>
      </c>
      <c r="E28">
        <f>VLOOKUP($B28,销售预测!$B:$AN,22,FALSE)</f>
        <v>0</v>
      </c>
      <c r="F28">
        <f>VLOOKUP($B28,销售预测!$B:$AN,23,FALSE)</f>
        <v>0</v>
      </c>
    </row>
    <row r="29" spans="1:6">
      <c r="B29" s="416" t="s">
        <v>846</v>
      </c>
      <c r="C29" s="786"/>
      <c r="D29">
        <f>VLOOKUP($B29,销售预测!$B:$AN,21,FALSE)</f>
        <v>0</v>
      </c>
      <c r="E29">
        <f>VLOOKUP($B29,销售预测!$B:$AN,22,FALSE)</f>
        <v>0</v>
      </c>
      <c r="F29">
        <f>VLOOKUP($B29,销售预测!$B:$AN,23,FALSE)</f>
        <v>0</v>
      </c>
    </row>
    <row r="30" spans="1:6">
      <c r="B30" s="416" t="s">
        <v>838</v>
      </c>
      <c r="D30">
        <f>VLOOKUP($B30,销售预测!$B:$AN,21,FALSE)</f>
        <v>0</v>
      </c>
      <c r="E30">
        <f>VLOOKUP($B30,销售预测!$B:$AN,22,FALSE)</f>
        <v>0</v>
      </c>
      <c r="F30">
        <f>VLOOKUP($B30,销售预测!$B:$AN,23,FALSE)</f>
        <v>0</v>
      </c>
    </row>
    <row r="31" spans="1:6">
      <c r="B31" s="416" t="s">
        <v>837</v>
      </c>
      <c r="D31">
        <f>VLOOKUP($B31,销售预测!$B:$AN,21,FALSE)</f>
        <v>0</v>
      </c>
      <c r="E31">
        <f>VLOOKUP($B31,销售预测!$B:$AN,22,FALSE)</f>
        <v>0</v>
      </c>
      <c r="F31">
        <f>VLOOKUP($B31,销售预测!$B:$AN,23,FALSE)</f>
        <v>0</v>
      </c>
    </row>
    <row r="32" spans="1:6">
      <c r="B32" s="416" t="s">
        <v>932</v>
      </c>
      <c r="D32">
        <f>VLOOKUP($B32,销售预测!$B:$AN,21,FALSE)</f>
        <v>0</v>
      </c>
      <c r="E32">
        <f>VLOOKUP($B32,销售预测!$B:$AN,22,FALSE)</f>
        <v>0</v>
      </c>
      <c r="F32">
        <f>VLOOKUP($B32,销售预测!$B:$AN,23,FALSE)</f>
        <v>0</v>
      </c>
    </row>
    <row r="33" spans="1:6">
      <c r="B33" s="416" t="s">
        <v>1236</v>
      </c>
      <c r="D33">
        <f>VLOOKUP($B33,销售预测!$B:$AN,21,FALSE)</f>
        <v>0</v>
      </c>
      <c r="E33">
        <f>VLOOKUP($B33,销售预测!$B:$AN,22,FALSE)</f>
        <v>0</v>
      </c>
      <c r="F33">
        <f>VLOOKUP($B33,销售预测!$B:$AN,23,FALSE)</f>
        <v>0</v>
      </c>
    </row>
    <row r="34" spans="1:6">
      <c r="B34" s="416" t="s">
        <v>1237</v>
      </c>
      <c r="D34">
        <f>VLOOKUP($B34,销售预测!$B:$AN,21,FALSE)</f>
        <v>0</v>
      </c>
      <c r="E34">
        <f>VLOOKUP($B34,销售预测!$B:$AN,22,FALSE)</f>
        <v>0</v>
      </c>
      <c r="F34">
        <f>VLOOKUP($B34,销售预测!$B:$AN,23,FALSE)</f>
        <v>0</v>
      </c>
    </row>
    <row r="35" spans="1:6">
      <c r="B35" s="416" t="s">
        <v>1238</v>
      </c>
      <c r="D35">
        <f>VLOOKUP($B35,销售预测!$B:$AN,21,FALSE)</f>
        <v>0</v>
      </c>
      <c r="E35">
        <f>VLOOKUP($B35,销售预测!$B:$AN,22,FALSE)</f>
        <v>0</v>
      </c>
      <c r="F35">
        <f>VLOOKUP($B35,销售预测!$B:$AN,23,FALSE)</f>
        <v>0</v>
      </c>
    </row>
    <row r="36" spans="1:6">
      <c r="B36" s="416" t="s">
        <v>696</v>
      </c>
      <c r="D36">
        <f>VLOOKUP($B36,销售预测!$B:$AN,21,FALSE)</f>
        <v>0</v>
      </c>
      <c r="E36">
        <f>VLOOKUP($B36,销售预测!$B:$AN,22,FALSE)</f>
        <v>0</v>
      </c>
      <c r="F36">
        <f>VLOOKUP($B36,销售预测!$B:$AN,23,FALSE)</f>
        <v>0</v>
      </c>
    </row>
    <row r="37" spans="1:6">
      <c r="B37" s="416" t="s">
        <v>697</v>
      </c>
      <c r="D37">
        <f>VLOOKUP($B37,销售预测!$B:$AN,21,FALSE)</f>
        <v>0</v>
      </c>
      <c r="E37">
        <f>VLOOKUP($B37,销售预测!$B:$AN,22,FALSE)</f>
        <v>0</v>
      </c>
      <c r="F37">
        <f>VLOOKUP($B37,销售预测!$B:$AN,23,FALSE)</f>
        <v>0</v>
      </c>
    </row>
    <row r="38" spans="1:6">
      <c r="B38" s="416" t="s">
        <v>1234</v>
      </c>
      <c r="D38">
        <f>VLOOKUP($B38,销售预测!$B:$AN,21,FALSE)</f>
        <v>0</v>
      </c>
      <c r="E38">
        <f>VLOOKUP($B38,销售预测!$B:$AN,22,FALSE)</f>
        <v>0</v>
      </c>
      <c r="F38">
        <f>VLOOKUP($B38,销售预测!$B:$AN,23,FALSE)</f>
        <v>0</v>
      </c>
    </row>
    <row r="39" spans="1:6">
      <c r="B39" s="105" t="s">
        <v>848</v>
      </c>
      <c r="D39">
        <f>VLOOKUP($B39,销售预测!$B:$AN,21,FALSE)</f>
        <v>0</v>
      </c>
      <c r="E39">
        <f>VLOOKUP($B39,销售预测!$B:$AN,22,FALSE)</f>
        <v>0</v>
      </c>
      <c r="F39">
        <f>VLOOKUP($B39,销售预测!$B:$AN,23,FALSE)</f>
        <v>0</v>
      </c>
    </row>
    <row r="40" spans="1:6">
      <c r="A40" s="787" t="s">
        <v>1364</v>
      </c>
    </row>
    <row r="41" spans="1:6">
      <c r="B41" s="42" t="s">
        <v>169</v>
      </c>
      <c r="D41">
        <f>VLOOKUP($B41,现金流量表!$B:$AN,37,FALSE)</f>
        <v>0</v>
      </c>
      <c r="E41">
        <f>VLOOKUP($B41,现金流量表!$B:$AN,38,FALSE)</f>
        <v>0</v>
      </c>
      <c r="F41">
        <f>VLOOKUP($B41,现金流量表!$B:$AN,39,FALSE)</f>
        <v>0</v>
      </c>
    </row>
    <row r="42" spans="1:6">
      <c r="A42" s="787" t="s">
        <v>1402</v>
      </c>
    </row>
    <row r="43" spans="1:6">
      <c r="B43" s="559" t="s">
        <v>1018</v>
      </c>
      <c r="D43">
        <f>VLOOKUP($B43,资产负债表!$B:$AN,37,FALSE)</f>
        <v>0</v>
      </c>
      <c r="E43">
        <f>VLOOKUP($B43,资产负债表!$B:$AN,38,FALSE)</f>
        <v>0</v>
      </c>
      <c r="F43">
        <f>VLOOKUP($B43,资产负债表!$B:$AN,39,FALSE)</f>
        <v>0</v>
      </c>
    </row>
    <row r="44" spans="1:6">
      <c r="B44" s="559" t="s">
        <v>828</v>
      </c>
      <c r="D44">
        <f>VLOOKUP($B44,资产负债表!$B:$AN,37,FALSE)</f>
        <v>0</v>
      </c>
      <c r="E44">
        <f>VLOOKUP($B44,资产负债表!$B:$AN,38,FALSE)</f>
        <v>0</v>
      </c>
      <c r="F44">
        <f>VLOOKUP($B44,资产负债表!$B:$AN,39,FALSE)</f>
        <v>0</v>
      </c>
    </row>
    <row r="45" spans="1:6">
      <c r="B45" s="559" t="s">
        <v>423</v>
      </c>
      <c r="D45">
        <f>VLOOKUP($B45,资产负债表!$B:$AN,37,FALSE)</f>
        <v>0</v>
      </c>
      <c r="E45">
        <f>VLOOKUP($B45,资产负债表!$B:$AN,38,FALSE)</f>
        <v>0</v>
      </c>
      <c r="F45">
        <f>VLOOKUP($B45,资产负债表!$B:$AN,39,FALSE)</f>
        <v>0</v>
      </c>
    </row>
    <row r="46" spans="1:6">
      <c r="B46" s="559" t="s">
        <v>873</v>
      </c>
      <c r="D46">
        <f>VLOOKUP($B46,资产负债表!$B:$AN,37,FALSE)</f>
        <v>0</v>
      </c>
      <c r="E46">
        <f>VLOOKUP($B46,资产负债表!$B:$AN,38,FALSE)</f>
        <v>0</v>
      </c>
      <c r="F46">
        <f>VLOOKUP($B46,资产负债表!$B:$AN,39,FALSE)</f>
        <v>0</v>
      </c>
    </row>
    <row r="47" spans="1:6">
      <c r="B47" s="559" t="s">
        <v>875</v>
      </c>
      <c r="D47">
        <f>VLOOKUP($B47,资产负债表!$B:$AN,37,FALSE)</f>
        <v>0</v>
      </c>
      <c r="E47">
        <f>VLOOKUP($B47,资产负债表!$B:$AN,38,FALSE)</f>
        <v>0</v>
      </c>
      <c r="F47">
        <f>VLOOKUP($B47,资产负债表!$B:$AN,39,FALSE)</f>
        <v>0</v>
      </c>
    </row>
    <row r="48" spans="1:6">
      <c r="B48" s="559" t="s">
        <v>876</v>
      </c>
      <c r="D48">
        <f>VLOOKUP($B48,资产负债表!$B:$AN,37,FALSE)</f>
        <v>0</v>
      </c>
      <c r="E48">
        <f>VLOOKUP($B48,资产负债表!$B:$AN,38,FALSE)</f>
        <v>0</v>
      </c>
      <c r="F48">
        <f>VLOOKUP($B48,资产负债表!$B:$AN,39,FALSE)</f>
        <v>0</v>
      </c>
    </row>
    <row r="49" spans="2:6">
      <c r="B49" s="559" t="s">
        <v>877</v>
      </c>
      <c r="D49">
        <f>VLOOKUP($B49,资产负债表!$B:$AN,37,FALSE)</f>
        <v>0</v>
      </c>
      <c r="E49">
        <f>VLOOKUP($B49,资产负债表!$B:$AN,38,FALSE)</f>
        <v>0</v>
      </c>
      <c r="F49">
        <f>VLOOKUP($B49,资产负债表!$B:$AN,39,FALSE)</f>
        <v>0</v>
      </c>
    </row>
    <row r="50" spans="2:6">
      <c r="B50" s="559" t="s">
        <v>882</v>
      </c>
      <c r="D50">
        <f>VLOOKUP($B50,资产负债表!$B:$AN,37,FALSE)</f>
        <v>0</v>
      </c>
      <c r="E50">
        <f>VLOOKUP($B50,资产负债表!$B:$AN,38,FALSE)</f>
        <v>0</v>
      </c>
      <c r="F50">
        <f>VLOOKUP($B50,资产负债表!$B:$AN,39,FALSE)</f>
        <v>0</v>
      </c>
    </row>
    <row r="51" spans="2:6">
      <c r="B51" s="559" t="s">
        <v>883</v>
      </c>
      <c r="D51">
        <f>VLOOKUP($B51,资产负债表!$B:$AN,37,FALSE)</f>
        <v>0</v>
      </c>
      <c r="E51">
        <f>VLOOKUP($B51,资产负债表!$B:$AN,38,FALSE)</f>
        <v>0</v>
      </c>
      <c r="F51">
        <f>VLOOKUP($B51,资产负债表!$B:$AN,39,FALSE)</f>
        <v>0</v>
      </c>
    </row>
    <row r="52" spans="2:6">
      <c r="B52" s="559" t="s">
        <v>829</v>
      </c>
      <c r="D52">
        <f>VLOOKUP($B52,资产负债表!$B:$AN,37,FALSE)</f>
        <v>0</v>
      </c>
      <c r="E52">
        <f>VLOOKUP($B52,资产负债表!$B:$AN,38,FALSE)</f>
        <v>0</v>
      </c>
      <c r="F52">
        <f>VLOOKUP($B52,资产负债表!$B:$AN,39,FALSE)</f>
        <v>0</v>
      </c>
    </row>
    <row r="53" spans="2:6">
      <c r="B53" s="559" t="s">
        <v>384</v>
      </c>
      <c r="D53">
        <f>VLOOKUP($B53,资产负债表!$B:$AN,37,FALSE)</f>
        <v>0</v>
      </c>
      <c r="E53">
        <f>VLOOKUP($B53,资产负债表!$B:$AN,38,FALSE)</f>
        <v>0</v>
      </c>
      <c r="F53">
        <f>VLOOKUP($B53,资产负债表!$B:$AN,39,FALSE)</f>
        <v>0</v>
      </c>
    </row>
    <row r="54" spans="2:6">
      <c r="B54" s="559" t="s">
        <v>1024</v>
      </c>
      <c r="D54">
        <f>VLOOKUP($B54,资产负债表!$B:$AN,37,FALSE)</f>
        <v>0</v>
      </c>
      <c r="E54">
        <f>VLOOKUP($B54,资产负债表!$B:$AN,38,FALSE)</f>
        <v>0</v>
      </c>
      <c r="F54">
        <f>VLOOKUP($B54,资产负债表!$B:$AN,39,FALSE)</f>
        <v>0</v>
      </c>
    </row>
    <row r="55" spans="2:6">
      <c r="B55" s="559" t="s">
        <v>889</v>
      </c>
      <c r="D55">
        <f>VLOOKUP($B55,资产负债表!$B:$AN,37,FALSE)</f>
        <v>0</v>
      </c>
      <c r="E55">
        <f>VLOOKUP($B55,资产负债表!$B:$AN,38,FALSE)</f>
        <v>0</v>
      </c>
      <c r="F55">
        <f>VLOOKUP($B55,资产负债表!$B:$AN,39,FALSE)</f>
        <v>0</v>
      </c>
    </row>
    <row r="56" spans="2:6">
      <c r="B56" s="559" t="s">
        <v>890</v>
      </c>
      <c r="D56">
        <f>VLOOKUP($B56,资产负债表!$B:$AN,37,FALSE)</f>
        <v>0</v>
      </c>
      <c r="E56">
        <f>VLOOKUP($B56,资产负债表!$B:$AN,38,FALSE)</f>
        <v>0</v>
      </c>
      <c r="F56">
        <f>VLOOKUP($B56,资产负债表!$B:$AN,39,FALSE)</f>
        <v>0</v>
      </c>
    </row>
    <row r="57" spans="2:6">
      <c r="B57" s="559" t="s">
        <v>891</v>
      </c>
      <c r="D57">
        <f>VLOOKUP($B57,资产负债表!$B:$AN,37,FALSE)</f>
        <v>0</v>
      </c>
      <c r="E57">
        <f>VLOOKUP($B57,资产负债表!$B:$AN,38,FALSE)</f>
        <v>0</v>
      </c>
      <c r="F57">
        <f>VLOOKUP($B57,资产负债表!$B:$AN,39,FALSE)</f>
        <v>0</v>
      </c>
    </row>
    <row r="58" spans="2:6">
      <c r="B58" s="559" t="s">
        <v>892</v>
      </c>
      <c r="D58">
        <f>VLOOKUP($B58,资产负债表!$B:$AN,37,FALSE)</f>
        <v>0</v>
      </c>
      <c r="E58">
        <f>VLOOKUP($B58,资产负债表!$B:$AN,38,FALSE)</f>
        <v>0</v>
      </c>
      <c r="F58">
        <f>VLOOKUP($B58,资产负债表!$B:$AN,39,FALSE)</f>
        <v>0</v>
      </c>
    </row>
    <row r="59" spans="2:6">
      <c r="B59" s="559" t="s">
        <v>26</v>
      </c>
      <c r="D59">
        <f>VLOOKUP($B59,资产负债表!$B:$AN,37,FALSE)</f>
        <v>0</v>
      </c>
      <c r="E59">
        <f>VLOOKUP($B59,资产负债表!$B:$AN,38,FALSE)</f>
        <v>0</v>
      </c>
      <c r="F59">
        <f>VLOOKUP($B59,资产负债表!$B:$AN,39,FALSE)</f>
        <v>0</v>
      </c>
    </row>
    <row r="60" spans="2:6">
      <c r="B60" s="559" t="s">
        <v>821</v>
      </c>
      <c r="D60">
        <f>VLOOKUP($B60,资产负债表!$B:$AN,37,FALSE)</f>
        <v>0</v>
      </c>
      <c r="E60">
        <f>VLOOKUP($B60,资产负债表!$B:$AN,38,FALSE)</f>
        <v>0</v>
      </c>
      <c r="F60">
        <f>VLOOKUP($B60,资产负债表!$B:$AN,39,FALSE)</f>
        <v>0</v>
      </c>
    </row>
    <row r="61" spans="2:6">
      <c r="B61" s="559" t="s">
        <v>807</v>
      </c>
      <c r="D61">
        <f>VLOOKUP($B61,资产负债表!$B:$AN,37,FALSE)</f>
        <v>0</v>
      </c>
      <c r="E61">
        <f>VLOOKUP($B61,资产负债表!$B:$AN,38,FALSE)</f>
        <v>0</v>
      </c>
      <c r="F61">
        <f>VLOOKUP($B61,资产负债表!$B:$AN,39,FALSE)</f>
        <v>0</v>
      </c>
    </row>
    <row r="62" spans="2:6">
      <c r="B62" s="559" t="s">
        <v>806</v>
      </c>
      <c r="D62">
        <f>VLOOKUP($B62,资产负债表!$B:$AN,37,FALSE)</f>
        <v>0</v>
      </c>
      <c r="E62">
        <f>VLOOKUP($B62,资产负债表!$B:$AN,38,FALSE)</f>
        <v>0</v>
      </c>
      <c r="F62">
        <f>VLOOKUP($B62,资产负债表!$B:$AN,39,FALSE)</f>
        <v>0</v>
      </c>
    </row>
    <row r="63" spans="2:6">
      <c r="B63" s="559" t="s">
        <v>51</v>
      </c>
      <c r="D63">
        <f>VLOOKUP($B63,资产负债表!$B:$AN,37,FALSE)</f>
        <v>0</v>
      </c>
      <c r="E63">
        <f>VLOOKUP($B63,资产负债表!$B:$AN,38,FALSE)</f>
        <v>0</v>
      </c>
      <c r="F63">
        <f>VLOOKUP($B63,资产负债表!$B:$AN,39,FALSE)</f>
        <v>0</v>
      </c>
    </row>
    <row r="65" spans="1:6">
      <c r="A65" s="787" t="s">
        <v>1403</v>
      </c>
    </row>
    <row r="66" spans="1:6">
      <c r="B66" t="s">
        <v>504</v>
      </c>
      <c r="C66" t="s">
        <v>1405</v>
      </c>
      <c r="D66">
        <f>INDEX(资产预测!$B:$AN,MATCH($B66,资产预测!$B:$B,0)+1,15)</f>
        <v>0</v>
      </c>
      <c r="E66">
        <f>INDEX(资产预测!$B:$AN,MATCH($B66,资产预测!$B:$B,0)+1,16)</f>
        <v>0</v>
      </c>
      <c r="F66">
        <f>INDEX(资产预测!$B:$AN,MATCH($B66,资产预测!$B:$B,0)+1,17)</f>
        <v>0</v>
      </c>
    </row>
    <row r="67" spans="1:6">
      <c r="B67" t="s">
        <v>1406</v>
      </c>
      <c r="C67" t="s">
        <v>1405</v>
      </c>
      <c r="D67">
        <f>INDEX(资产预测!$B:$AN,MATCH($B67,资产预测!$B:$B,0)+1,15)</f>
        <v>0</v>
      </c>
      <c r="E67">
        <f>INDEX(资产预测!$B:$AN,MATCH($B67,资产预测!$B:$B,0)+1,16)</f>
        <v>0</v>
      </c>
      <c r="F67">
        <f>INDEX(资产预测!$B:$AN,MATCH($B67,资产预测!$B:$B,0)+1,17)</f>
        <v>0</v>
      </c>
    </row>
    <row r="68" spans="1:6">
      <c r="B68" t="s">
        <v>510</v>
      </c>
      <c r="C68" t="s">
        <v>1415</v>
      </c>
      <c r="D68">
        <f>INDEX(资产预测!$B:$AN,MATCH($B68,资产预测!$B:$B,0)+1,15)</f>
        <v>0</v>
      </c>
      <c r="E68">
        <f>INDEX(资产预测!$B:$AN,MATCH($B68,资产预测!$B:$B,0)+1,16)</f>
        <v>0</v>
      </c>
      <c r="F68">
        <f>INDEX(资产预测!$B:$AN,MATCH($B68,资产预测!$B:$B,0)+1,17)</f>
        <v>0</v>
      </c>
    </row>
    <row r="69" spans="1:6">
      <c r="B69" t="s">
        <v>508</v>
      </c>
      <c r="C69" t="s">
        <v>1414</v>
      </c>
      <c r="D69">
        <f>INDEX(资产预测!$B:$AN,MATCH($B69,资产预测!$B:$B,0)+1,15)</f>
        <v>0</v>
      </c>
      <c r="E69">
        <f>INDEX(资产预测!$B:$AN,MATCH($B69,资产预测!$B:$B,0)+1,16)</f>
        <v>0</v>
      </c>
      <c r="F69">
        <f>INDEX(资产预测!$B:$AN,MATCH($B69,资产预测!$B:$B,0)+1,17)</f>
        <v>0</v>
      </c>
    </row>
    <row r="70" spans="1:6">
      <c r="B70" t="s">
        <v>580</v>
      </c>
      <c r="C70" t="s">
        <v>1413</v>
      </c>
      <c r="D70">
        <f>INDEX(资产预测!$B:$AN,MATCH($B70,资产预测!$B:$B,0)+1,15)</f>
        <v>0</v>
      </c>
      <c r="E70">
        <f>INDEX(资产预测!$B:$AN,MATCH($B70,资产预测!$B:$B,0)+1,16)</f>
        <v>0</v>
      </c>
      <c r="F70">
        <f>INDEX(资产预测!$B:$AN,MATCH($B70,资产预测!$B:$B,0)+1,17)</f>
        <v>0</v>
      </c>
    </row>
    <row r="71" spans="1:6">
      <c r="B71" t="s">
        <v>1407</v>
      </c>
      <c r="C71" t="s">
        <v>1414</v>
      </c>
      <c r="D71">
        <f>INDEX(资产预测!$B:$AN,MATCH($B71,资产预测!$B:$B,0)+1,15)</f>
        <v>0</v>
      </c>
      <c r="E71">
        <f>INDEX(资产预测!$B:$AN,MATCH($B71,资产预测!$B:$B,0)+1,16)</f>
        <v>0</v>
      </c>
      <c r="F71">
        <f>INDEX(资产预测!$B:$AN,MATCH($B71,资产预测!$B:$B,0)+1,17)</f>
        <v>0</v>
      </c>
    </row>
    <row r="72" spans="1:6">
      <c r="B72" t="s">
        <v>554</v>
      </c>
      <c r="C72" t="s">
        <v>1413</v>
      </c>
      <c r="D72">
        <f>INDEX(资产预测!$B:$AN,MATCH($B72,资产预测!$B:$B,0)+1,15)</f>
        <v>0</v>
      </c>
      <c r="E72">
        <f>INDEX(资产预测!$B:$AN,MATCH($B72,资产预测!$B:$B,0)+1,16)</f>
        <v>0</v>
      </c>
      <c r="F72">
        <f>INDEX(资产预测!$B:$AN,MATCH($B72,资产预测!$B:$B,0)+1,17)</f>
        <v>0</v>
      </c>
    </row>
    <row r="73" spans="1:6">
      <c r="B73" t="s">
        <v>1408</v>
      </c>
      <c r="C73" t="s">
        <v>1413</v>
      </c>
      <c r="D73">
        <f>INDEX(资产预测!$B:$AN,MATCH($B73,资产预测!$B:$B,0)+1,15)</f>
        <v>0</v>
      </c>
      <c r="E73">
        <f>INDEX(资产预测!$B:$AN,MATCH($B73,资产预测!$B:$B,0)+1,16)</f>
        <v>0</v>
      </c>
      <c r="F73">
        <f>INDEX(资产预测!$B:$AN,MATCH($B73,资产预测!$B:$B,0)+1,17)</f>
        <v>0</v>
      </c>
    </row>
    <row r="74" spans="1:6">
      <c r="B74" t="s">
        <v>1266</v>
      </c>
      <c r="C74" t="s">
        <v>1414</v>
      </c>
      <c r="D74">
        <f>INDEX(资产预测!$B:$AN,MATCH($B74,资产预测!$B:$B,0)+1,15)</f>
        <v>0</v>
      </c>
      <c r="E74">
        <f>INDEX(资产预测!$B:$AN,MATCH($B74,资产预测!$B:$B,0)+1,16)</f>
        <v>0</v>
      </c>
      <c r="F74">
        <f>INDEX(资产预测!$B:$AN,MATCH($B74,资产预测!$B:$B,0)+1,17)</f>
        <v>0</v>
      </c>
    </row>
    <row r="75" spans="1:6">
      <c r="B75" t="s">
        <v>1409</v>
      </c>
      <c r="C75" t="s">
        <v>1415</v>
      </c>
      <c r="D75">
        <f>INDEX(资产预测!$B:$AN,MATCH($B75,资产预测!$B:$B,0)+1,15)</f>
        <v>0</v>
      </c>
      <c r="E75">
        <f>INDEX(资产预测!$B:$AN,MATCH($B75,资产预测!$B:$B,0)+1,16)</f>
        <v>0</v>
      </c>
      <c r="F75">
        <f>INDEX(资产预测!$B:$AN,MATCH($B75,资产预测!$B:$B,0)+1,17)</f>
        <v>0</v>
      </c>
    </row>
    <row r="76" spans="1:6">
      <c r="B76" t="s">
        <v>1410</v>
      </c>
      <c r="C76" t="s">
        <v>1413</v>
      </c>
      <c r="D76">
        <f>INDEX(资产预测!$B:$AN,MATCH($B76,资产预测!$B:$B,0)+1,15)</f>
        <v>0</v>
      </c>
      <c r="E76">
        <f>INDEX(资产预测!$B:$AN,MATCH($B76,资产预测!$B:$B,0)+1,16)</f>
        <v>0</v>
      </c>
      <c r="F76">
        <f>INDEX(资产预测!$B:$AN,MATCH($B76,资产预测!$B:$B,0)+1,17)</f>
        <v>0</v>
      </c>
    </row>
    <row r="77" spans="1:6">
      <c r="B77" t="s">
        <v>1411</v>
      </c>
      <c r="C77" t="s">
        <v>1416</v>
      </c>
      <c r="D77">
        <f>INDEX(资产预测!$B:$AN,MATCH($B77,资产预测!$B:$B,0)+1,15)</f>
        <v>0</v>
      </c>
      <c r="E77">
        <f>INDEX(资产预测!$B:$AN,MATCH($B77,资产预测!$B:$B,0)+1,16)</f>
        <v>0</v>
      </c>
      <c r="F77">
        <f>INDEX(资产预测!$B:$AN,MATCH($B77,资产预测!$B:$B,0)+1,17)</f>
        <v>0</v>
      </c>
    </row>
    <row r="78" spans="1:6">
      <c r="B78" t="s">
        <v>563</v>
      </c>
      <c r="C78" t="s">
        <v>1415</v>
      </c>
      <c r="D78">
        <f>INDEX(资产预测!$B:$AN,MATCH($B78,资产预测!$B:$B,0)+1,15)</f>
        <v>0</v>
      </c>
      <c r="E78">
        <f>INDEX(资产预测!$B:$AN,MATCH($B78,资产预测!$B:$B,0)+1,16)</f>
        <v>0</v>
      </c>
      <c r="F78">
        <f>INDEX(资产预测!$B:$AN,MATCH($B78,资产预测!$B:$B,0)+1,17)</f>
        <v>0</v>
      </c>
    </row>
  </sheetData>
  <phoneticPr fontId="13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495041" r:id="rId3" name="Button 1">
              <controlPr defaultSize="0" print="0" autoFill="0" autoPict="0" macro="[0]!归零">
                <anchor moveWithCells="1" sizeWithCells="1">
                  <from>
                    <xdr:col>6</xdr:col>
                    <xdr:colOff>517071</xdr:colOff>
                    <xdr:row>2</xdr:row>
                    <xdr:rowOff>5443</xdr:rowOff>
                  </from>
                  <to>
                    <xdr:col>7</xdr:col>
                    <xdr:colOff>315686</xdr:colOff>
                    <xdr:row>3</xdr:row>
                    <xdr:rowOff>0</xdr:rowOff>
                  </to>
                </anchor>
              </controlPr>
            </control>
          </mc:Choice>
        </mc:AlternateContent>
        <mc:AlternateContent xmlns:mc="http://schemas.openxmlformats.org/markup-compatibility/2006">
          <mc:Choice Requires="x14">
            <control shapeId="65495042" r:id="rId4" name="Button 2">
              <controlPr defaultSize="0" print="0" autoFill="0" autoPict="0" macro="[0]!_xludf.log">
                <anchor moveWithCells="1" sizeWithCells="1">
                  <from>
                    <xdr:col>6</xdr:col>
                    <xdr:colOff>310243</xdr:colOff>
                    <xdr:row>4</xdr:row>
                    <xdr:rowOff>146957</xdr:rowOff>
                  </from>
                  <to>
                    <xdr:col>8</xdr:col>
                    <xdr:colOff>0</xdr:colOff>
                    <xdr:row>8</xdr:row>
                    <xdr:rowOff>119743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6"/>
  <dimension ref="A1:F78"/>
  <sheetViews>
    <sheetView workbookViewId="0">
      <pane xSplit="3" ySplit="2" topLeftCell="D3" activePane="bottomRight" state="frozen"/>
      <selection pane="topRight" activeCell="D1" sqref="D1"/>
      <selection pane="bottomLeft" activeCell="A3" sqref="A3"/>
      <selection pane="bottomRight" activeCell="I8" sqref="I8"/>
    </sheetView>
  </sheetViews>
  <sheetFormatPr defaultRowHeight="15"/>
  <cols>
    <col min="2" max="2" width="29.35546875" customWidth="1"/>
  </cols>
  <sheetData>
    <row r="1" spans="1:6">
      <c r="B1" t="s">
        <v>1478</v>
      </c>
      <c r="D1" t="s">
        <v>1479</v>
      </c>
    </row>
    <row r="2" spans="1:6">
      <c r="A2" t="s">
        <v>1361</v>
      </c>
      <c r="B2" t="s">
        <v>1465</v>
      </c>
      <c r="C2" t="s">
        <v>1465</v>
      </c>
      <c r="D2" t="s">
        <v>1358</v>
      </c>
      <c r="E2" t="s">
        <v>1359</v>
      </c>
      <c r="F2" t="s">
        <v>1360</v>
      </c>
    </row>
    <row r="3" spans="1:6">
      <c r="B3" t="s">
        <v>1436</v>
      </c>
    </row>
    <row r="4" spans="1:6">
      <c r="B4" t="s">
        <v>1418</v>
      </c>
      <c r="D4">
        <v>1</v>
      </c>
      <c r="E4">
        <v>1</v>
      </c>
      <c r="F4">
        <v>1</v>
      </c>
    </row>
    <row r="5" spans="1:6">
      <c r="B5" t="s">
        <v>1419</v>
      </c>
      <c r="D5">
        <v>1</v>
      </c>
      <c r="E5">
        <v>1</v>
      </c>
      <c r="F5">
        <v>1</v>
      </c>
    </row>
    <row r="6" spans="1:6">
      <c r="B6" t="s">
        <v>1420</v>
      </c>
      <c r="D6">
        <v>1</v>
      </c>
      <c r="E6">
        <v>1</v>
      </c>
      <c r="F6">
        <v>1</v>
      </c>
    </row>
    <row r="7" spans="1:6">
      <c r="B7" t="s">
        <v>1432</v>
      </c>
      <c r="D7">
        <v>0</v>
      </c>
      <c r="E7">
        <v>0</v>
      </c>
      <c r="F7">
        <v>0</v>
      </c>
    </row>
    <row r="8" spans="1:6">
      <c r="B8" t="s">
        <v>1421</v>
      </c>
      <c r="D8">
        <v>0</v>
      </c>
      <c r="E8">
        <v>0</v>
      </c>
      <c r="F8">
        <v>0</v>
      </c>
    </row>
    <row r="9" spans="1:6">
      <c r="B9" t="s">
        <v>1422</v>
      </c>
      <c r="D9">
        <v>0</v>
      </c>
      <c r="E9">
        <v>0</v>
      </c>
      <c r="F9">
        <v>0</v>
      </c>
    </row>
    <row r="10" spans="1:6">
      <c r="B10" t="s">
        <v>1423</v>
      </c>
      <c r="D10">
        <v>0</v>
      </c>
      <c r="E10">
        <v>0</v>
      </c>
      <c r="F10">
        <v>0</v>
      </c>
    </row>
    <row r="11" spans="1:6">
      <c r="B11" t="s">
        <v>1434</v>
      </c>
      <c r="D11">
        <v>0</v>
      </c>
      <c r="E11">
        <v>0</v>
      </c>
      <c r="F11">
        <v>0</v>
      </c>
    </row>
    <row r="12" spans="1:6">
      <c r="B12" t="s">
        <v>1435</v>
      </c>
      <c r="D12">
        <v>0</v>
      </c>
      <c r="E12">
        <v>0</v>
      </c>
      <c r="F12">
        <v>0</v>
      </c>
    </row>
    <row r="14" spans="1:6">
      <c r="A14" t="s">
        <v>1362</v>
      </c>
    </row>
    <row r="15" spans="1:6">
      <c r="B15" t="s">
        <v>1475</v>
      </c>
    </row>
    <row r="17" spans="1:6">
      <c r="A17" t="s">
        <v>1363</v>
      </c>
      <c r="C17" t="s">
        <v>1412</v>
      </c>
      <c r="D17" t="s">
        <v>1358</v>
      </c>
      <c r="E17" t="s">
        <v>1359</v>
      </c>
      <c r="F17" t="s">
        <v>1360</v>
      </c>
    </row>
    <row r="18" spans="1:6">
      <c r="A18" t="s">
        <v>1365</v>
      </c>
    </row>
    <row r="19" spans="1:6">
      <c r="B19" t="s">
        <v>1437</v>
      </c>
      <c r="D19">
        <v>0</v>
      </c>
      <c r="E19">
        <v>0</v>
      </c>
      <c r="F19">
        <v>0</v>
      </c>
    </row>
    <row r="20" spans="1:6">
      <c r="B20" t="s">
        <v>1438</v>
      </c>
      <c r="D20">
        <v>0</v>
      </c>
      <c r="E20">
        <v>0</v>
      </c>
      <c r="F20">
        <v>0</v>
      </c>
    </row>
    <row r="21" spans="1:6">
      <c r="A21" t="s">
        <v>1404</v>
      </c>
    </row>
    <row r="22" spans="1:6">
      <c r="B22" t="s">
        <v>1424</v>
      </c>
    </row>
    <row r="23" spans="1:6">
      <c r="B23" t="s">
        <v>1425</v>
      </c>
    </row>
    <row r="24" spans="1:6">
      <c r="B24" t="s">
        <v>1381</v>
      </c>
    </row>
    <row r="25" spans="1:6">
      <c r="B25" t="s">
        <v>1426</v>
      </c>
    </row>
    <row r="26" spans="1:6">
      <c r="B26" t="s">
        <v>1427</v>
      </c>
    </row>
    <row r="27" spans="1:6">
      <c r="B27" t="s">
        <v>1439</v>
      </c>
      <c r="D27" t="e">
        <v>#DIV/0!</v>
      </c>
      <c r="E27" t="e">
        <v>#DIV/0!</v>
      </c>
      <c r="F27" t="e">
        <v>#DIV/0!</v>
      </c>
    </row>
    <row r="28" spans="1:6">
      <c r="B28" t="s">
        <v>1440</v>
      </c>
      <c r="D28">
        <v>0</v>
      </c>
      <c r="E28">
        <v>0</v>
      </c>
      <c r="F28">
        <v>0</v>
      </c>
    </row>
    <row r="29" spans="1:6">
      <c r="B29" t="s">
        <v>1441</v>
      </c>
      <c r="D29">
        <v>0</v>
      </c>
      <c r="E29">
        <v>0</v>
      </c>
      <c r="F29">
        <v>0</v>
      </c>
    </row>
    <row r="30" spans="1:6">
      <c r="B30" t="s">
        <v>1442</v>
      </c>
      <c r="D30">
        <v>0</v>
      </c>
      <c r="E30">
        <v>0</v>
      </c>
      <c r="F30">
        <v>0</v>
      </c>
    </row>
    <row r="31" spans="1:6">
      <c r="B31" t="s">
        <v>1443</v>
      </c>
      <c r="D31">
        <v>0</v>
      </c>
      <c r="E31">
        <v>0</v>
      </c>
      <c r="F31">
        <v>0</v>
      </c>
    </row>
    <row r="32" spans="1:6">
      <c r="B32" t="s">
        <v>1444</v>
      </c>
      <c r="D32">
        <v>0</v>
      </c>
      <c r="E32">
        <v>0</v>
      </c>
      <c r="F32">
        <v>0</v>
      </c>
    </row>
    <row r="33" spans="1:6">
      <c r="B33" t="s">
        <v>1445</v>
      </c>
      <c r="D33">
        <v>0</v>
      </c>
      <c r="E33">
        <v>0</v>
      </c>
      <c r="F33">
        <v>0</v>
      </c>
    </row>
    <row r="34" spans="1:6">
      <c r="B34" t="s">
        <v>1446</v>
      </c>
      <c r="D34">
        <v>0</v>
      </c>
      <c r="E34">
        <v>0</v>
      </c>
      <c r="F34">
        <v>0</v>
      </c>
    </row>
    <row r="35" spans="1:6">
      <c r="B35" t="s">
        <v>1447</v>
      </c>
      <c r="D35">
        <v>0</v>
      </c>
      <c r="E35">
        <v>0</v>
      </c>
      <c r="F35">
        <v>0</v>
      </c>
    </row>
    <row r="36" spans="1:6">
      <c r="B36" t="s">
        <v>375</v>
      </c>
      <c r="D36">
        <v>0</v>
      </c>
      <c r="E36">
        <v>0</v>
      </c>
      <c r="F36">
        <v>0</v>
      </c>
    </row>
    <row r="37" spans="1:6">
      <c r="B37" t="s">
        <v>1448</v>
      </c>
      <c r="D37">
        <v>0</v>
      </c>
      <c r="E37">
        <v>0</v>
      </c>
      <c r="F37">
        <v>0</v>
      </c>
    </row>
    <row r="38" spans="1:6">
      <c r="B38" t="s">
        <v>1449</v>
      </c>
      <c r="D38">
        <v>0</v>
      </c>
      <c r="E38">
        <v>0</v>
      </c>
      <c r="F38">
        <v>0</v>
      </c>
    </row>
    <row r="39" spans="1:6">
      <c r="B39" t="s">
        <v>1450</v>
      </c>
      <c r="D39">
        <v>0</v>
      </c>
      <c r="E39">
        <v>0</v>
      </c>
      <c r="F39">
        <v>0</v>
      </c>
    </row>
    <row r="40" spans="1:6">
      <c r="A40" t="s">
        <v>1364</v>
      </c>
    </row>
    <row r="41" spans="1:6">
      <c r="B41" t="s">
        <v>169</v>
      </c>
      <c r="D41">
        <v>0</v>
      </c>
      <c r="E41">
        <v>0</v>
      </c>
      <c r="F41">
        <v>0</v>
      </c>
    </row>
    <row r="42" spans="1:6">
      <c r="A42" t="s">
        <v>1402</v>
      </c>
    </row>
    <row r="43" spans="1:6">
      <c r="B43" t="s">
        <v>1103</v>
      </c>
      <c r="D43">
        <v>0</v>
      </c>
      <c r="E43">
        <v>0</v>
      </c>
      <c r="F43">
        <v>0</v>
      </c>
    </row>
    <row r="44" spans="1:6">
      <c r="B44" t="s">
        <v>828</v>
      </c>
      <c r="D44">
        <v>0</v>
      </c>
      <c r="E44">
        <v>0</v>
      </c>
      <c r="F44">
        <v>0</v>
      </c>
    </row>
    <row r="45" spans="1:6">
      <c r="B45" t="s">
        <v>1451</v>
      </c>
      <c r="D45">
        <v>0</v>
      </c>
      <c r="E45">
        <v>0</v>
      </c>
      <c r="F45">
        <v>0</v>
      </c>
    </row>
    <row r="46" spans="1:6">
      <c r="B46" t="s">
        <v>1452</v>
      </c>
      <c r="D46">
        <v>0</v>
      </c>
      <c r="E46">
        <v>0</v>
      </c>
      <c r="F46">
        <v>0</v>
      </c>
    </row>
    <row r="47" spans="1:6">
      <c r="B47" t="s">
        <v>1453</v>
      </c>
      <c r="D47">
        <v>0</v>
      </c>
      <c r="E47">
        <v>0</v>
      </c>
      <c r="F47">
        <v>0</v>
      </c>
    </row>
    <row r="48" spans="1:6">
      <c r="B48" t="s">
        <v>1454</v>
      </c>
      <c r="D48">
        <v>0</v>
      </c>
      <c r="E48">
        <v>0</v>
      </c>
      <c r="F48">
        <v>0</v>
      </c>
    </row>
    <row r="49" spans="2:6">
      <c r="B49" t="s">
        <v>1455</v>
      </c>
      <c r="D49">
        <v>0</v>
      </c>
      <c r="E49">
        <v>0</v>
      </c>
      <c r="F49">
        <v>0</v>
      </c>
    </row>
    <row r="50" spans="2:6">
      <c r="B50" t="s">
        <v>1456</v>
      </c>
      <c r="D50">
        <v>0</v>
      </c>
      <c r="E50">
        <v>0</v>
      </c>
      <c r="F50">
        <v>0</v>
      </c>
    </row>
    <row r="51" spans="2:6">
      <c r="B51" t="s">
        <v>1457</v>
      </c>
      <c r="D51">
        <v>0</v>
      </c>
      <c r="E51">
        <v>0</v>
      </c>
      <c r="F51">
        <v>0</v>
      </c>
    </row>
    <row r="52" spans="2:6">
      <c r="B52" t="s">
        <v>829</v>
      </c>
      <c r="D52">
        <v>0</v>
      </c>
      <c r="E52">
        <v>0</v>
      </c>
      <c r="F52">
        <v>0</v>
      </c>
    </row>
    <row r="53" spans="2:6">
      <c r="B53" t="s">
        <v>1458</v>
      </c>
      <c r="D53">
        <v>0</v>
      </c>
      <c r="E53">
        <v>0</v>
      </c>
      <c r="F53">
        <v>0</v>
      </c>
    </row>
    <row r="54" spans="2:6">
      <c r="B54" t="s">
        <v>1106</v>
      </c>
      <c r="D54">
        <v>0</v>
      </c>
      <c r="E54">
        <v>0</v>
      </c>
      <c r="F54">
        <v>0</v>
      </c>
    </row>
    <row r="55" spans="2:6">
      <c r="B55" t="s">
        <v>570</v>
      </c>
      <c r="D55">
        <v>0</v>
      </c>
      <c r="E55">
        <v>0</v>
      </c>
      <c r="F55">
        <v>0</v>
      </c>
    </row>
    <row r="56" spans="2:6">
      <c r="B56" t="s">
        <v>565</v>
      </c>
      <c r="D56">
        <v>0</v>
      </c>
      <c r="E56">
        <v>0</v>
      </c>
      <c r="F56">
        <v>0</v>
      </c>
    </row>
    <row r="57" spans="2:6">
      <c r="B57" t="s">
        <v>927</v>
      </c>
      <c r="D57">
        <v>0</v>
      </c>
      <c r="E57">
        <v>0</v>
      </c>
      <c r="F57">
        <v>0</v>
      </c>
    </row>
    <row r="58" spans="2:6">
      <c r="B58" t="s">
        <v>1459</v>
      </c>
      <c r="D58">
        <v>0</v>
      </c>
      <c r="E58">
        <v>0</v>
      </c>
      <c r="F58">
        <v>0</v>
      </c>
    </row>
    <row r="59" spans="2:6">
      <c r="B59" t="s">
        <v>1460</v>
      </c>
      <c r="D59">
        <v>0</v>
      </c>
      <c r="E59">
        <v>0</v>
      </c>
      <c r="F59">
        <v>0</v>
      </c>
    </row>
    <row r="60" spans="2:6">
      <c r="B60" t="s">
        <v>1461</v>
      </c>
      <c r="D60">
        <v>0</v>
      </c>
      <c r="E60">
        <v>0</v>
      </c>
      <c r="F60">
        <v>0</v>
      </c>
    </row>
    <row r="61" spans="2:6">
      <c r="B61" t="s">
        <v>1462</v>
      </c>
      <c r="D61">
        <v>0</v>
      </c>
      <c r="E61">
        <v>0</v>
      </c>
      <c r="F61">
        <v>0</v>
      </c>
    </row>
    <row r="62" spans="2:6">
      <c r="B62" t="s">
        <v>1463</v>
      </c>
      <c r="D62">
        <v>0</v>
      </c>
      <c r="E62">
        <v>0</v>
      </c>
      <c r="F62">
        <v>0</v>
      </c>
    </row>
    <row r="63" spans="2:6">
      <c r="B63" t="s">
        <v>1464</v>
      </c>
      <c r="D63">
        <v>0</v>
      </c>
      <c r="E63">
        <v>0</v>
      </c>
      <c r="F63">
        <v>0</v>
      </c>
    </row>
    <row r="65" spans="1:6">
      <c r="A65" t="s">
        <v>1403</v>
      </c>
    </row>
    <row r="66" spans="1:6">
      <c r="B66" t="s">
        <v>504</v>
      </c>
      <c r="C66" t="s">
        <v>1405</v>
      </c>
      <c r="D66">
        <v>0</v>
      </c>
      <c r="E66">
        <v>0</v>
      </c>
      <c r="F66">
        <v>0</v>
      </c>
    </row>
    <row r="67" spans="1:6">
      <c r="B67" t="s">
        <v>1406</v>
      </c>
      <c r="C67" t="s">
        <v>1405</v>
      </c>
      <c r="D67">
        <v>0</v>
      </c>
      <c r="E67">
        <v>0</v>
      </c>
      <c r="F67">
        <v>0</v>
      </c>
    </row>
    <row r="68" spans="1:6">
      <c r="B68" t="s">
        <v>510</v>
      </c>
      <c r="C68" t="s">
        <v>1415</v>
      </c>
      <c r="D68">
        <v>0</v>
      </c>
      <c r="E68">
        <v>0</v>
      </c>
      <c r="F68">
        <v>0</v>
      </c>
    </row>
    <row r="69" spans="1:6">
      <c r="B69" t="s">
        <v>508</v>
      </c>
      <c r="C69" t="s">
        <v>1414</v>
      </c>
      <c r="D69">
        <v>0</v>
      </c>
      <c r="E69">
        <v>0</v>
      </c>
      <c r="F69">
        <v>0</v>
      </c>
    </row>
    <row r="70" spans="1:6">
      <c r="B70" t="s">
        <v>580</v>
      </c>
      <c r="C70" t="s">
        <v>1413</v>
      </c>
      <c r="D70">
        <v>0</v>
      </c>
      <c r="E70">
        <v>0</v>
      </c>
      <c r="F70">
        <v>0</v>
      </c>
    </row>
    <row r="71" spans="1:6">
      <c r="B71" t="s">
        <v>1407</v>
      </c>
      <c r="C71" t="s">
        <v>1414</v>
      </c>
      <c r="D71">
        <v>0</v>
      </c>
      <c r="E71">
        <v>0</v>
      </c>
      <c r="F71">
        <v>0</v>
      </c>
    </row>
    <row r="72" spans="1:6">
      <c r="B72" t="s">
        <v>554</v>
      </c>
      <c r="C72" t="s">
        <v>1413</v>
      </c>
      <c r="D72">
        <v>0</v>
      </c>
      <c r="E72">
        <v>0</v>
      </c>
      <c r="F72">
        <v>0</v>
      </c>
    </row>
    <row r="73" spans="1:6">
      <c r="B73" t="s">
        <v>1408</v>
      </c>
      <c r="C73" t="s">
        <v>1413</v>
      </c>
      <c r="D73">
        <v>0</v>
      </c>
      <c r="E73">
        <v>0</v>
      </c>
      <c r="F73">
        <v>0</v>
      </c>
    </row>
    <row r="74" spans="1:6">
      <c r="B74" t="s">
        <v>1266</v>
      </c>
      <c r="C74" t="s">
        <v>1414</v>
      </c>
      <c r="D74">
        <v>0</v>
      </c>
      <c r="E74">
        <v>0</v>
      </c>
      <c r="F74">
        <v>0</v>
      </c>
    </row>
    <row r="75" spans="1:6">
      <c r="B75" t="s">
        <v>1409</v>
      </c>
      <c r="C75" t="s">
        <v>1415</v>
      </c>
      <c r="D75">
        <v>0</v>
      </c>
      <c r="E75">
        <v>0</v>
      </c>
      <c r="F75">
        <v>0</v>
      </c>
    </row>
    <row r="76" spans="1:6">
      <c r="B76" t="s">
        <v>1410</v>
      </c>
      <c r="C76" t="s">
        <v>1413</v>
      </c>
      <c r="D76">
        <v>0</v>
      </c>
      <c r="E76">
        <v>0</v>
      </c>
      <c r="F76">
        <v>0</v>
      </c>
    </row>
    <row r="77" spans="1:6">
      <c r="B77" t="s">
        <v>1411</v>
      </c>
      <c r="C77" t="s">
        <v>1416</v>
      </c>
      <c r="D77">
        <v>0</v>
      </c>
      <c r="E77">
        <v>0</v>
      </c>
      <c r="F77">
        <v>0</v>
      </c>
    </row>
    <row r="78" spans="1:6">
      <c r="B78" t="s">
        <v>563</v>
      </c>
      <c r="C78" t="s">
        <v>1415</v>
      </c>
      <c r="D78">
        <v>0</v>
      </c>
      <c r="E78">
        <v>0</v>
      </c>
      <c r="F7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AQ367"/>
  <sheetViews>
    <sheetView workbookViewId="0">
      <selection activeCell="E13" sqref="E13"/>
    </sheetView>
  </sheetViews>
  <sheetFormatPr defaultColWidth="9" defaultRowHeight="13.75"/>
  <cols>
    <col min="1" max="1" width="12.35546875" style="3" customWidth="1"/>
    <col min="2" max="2" width="47.35546875" style="3" hidden="1" customWidth="1"/>
    <col min="3" max="3" width="41.0703125" style="3" customWidth="1"/>
    <col min="4" max="4" width="16.640625" style="3" customWidth="1"/>
    <col min="5" max="5" width="16.0703125" style="3" customWidth="1"/>
    <col min="6" max="6" width="14.35546875" style="182" hidden="1" customWidth="1"/>
    <col min="7" max="29" width="15.5703125" style="182" hidden="1" customWidth="1"/>
    <col min="30" max="30" width="15.5703125" style="182" customWidth="1"/>
    <col min="31" max="33" width="15.5703125" style="182" hidden="1" customWidth="1"/>
    <col min="34" max="34" width="13.7109375" style="182" bestFit="1" customWidth="1"/>
    <col min="35" max="37" width="13.7109375" style="182" hidden="1" customWidth="1"/>
    <col min="38" max="38" width="15.5703125" style="182" customWidth="1"/>
    <col min="39" max="39" width="15.5703125" style="182" hidden="1" customWidth="1"/>
    <col min="40" max="40" width="15.640625" style="182" hidden="1" customWidth="1"/>
    <col min="41" max="41" width="16" style="182" hidden="1" customWidth="1"/>
    <col min="42" max="42" width="6.78515625" style="182" bestFit="1" customWidth="1"/>
    <col min="43" max="43" width="33.640625" style="3" customWidth="1"/>
    <col min="44" max="44" width="27.0703125" style="3" customWidth="1"/>
    <col min="45" max="16384" width="9" style="3"/>
  </cols>
  <sheetData>
    <row r="1" spans="1:42" s="169" customFormat="1">
      <c r="A1" s="226"/>
      <c r="B1" s="227"/>
      <c r="C1" s="228"/>
      <c r="D1" s="228"/>
      <c r="E1" s="228"/>
      <c r="F1" s="229"/>
      <c r="G1" s="229"/>
      <c r="H1" s="229"/>
      <c r="I1" s="229"/>
      <c r="J1" s="229"/>
      <c r="K1" s="229"/>
      <c r="L1" s="229"/>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30"/>
      <c r="AM1" s="182"/>
      <c r="AN1" s="182"/>
      <c r="AO1" s="182"/>
      <c r="AP1" s="182"/>
    </row>
    <row r="2" spans="1:42" s="169" customFormat="1" ht="33" hidden="1" customHeight="1">
      <c r="A2" s="3"/>
      <c r="B2" s="3"/>
      <c r="C2" s="3"/>
      <c r="D2" s="3"/>
      <c r="E2" s="3"/>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row>
    <row r="3" spans="1:42" s="168" customFormat="1" ht="14.25" customHeight="1">
      <c r="A3" s="159"/>
      <c r="B3" s="160" t="s">
        <v>34</v>
      </c>
      <c r="C3" s="154" t="s">
        <v>1366</v>
      </c>
      <c r="D3" s="154"/>
      <c r="E3" s="154"/>
      <c r="F3" s="183"/>
      <c r="G3" s="183"/>
      <c r="H3" s="183"/>
      <c r="I3" s="183"/>
      <c r="J3" s="183"/>
      <c r="K3" s="183"/>
      <c r="L3" s="183"/>
      <c r="M3" s="183"/>
      <c r="N3" s="183"/>
      <c r="O3" s="183"/>
      <c r="P3" s="183"/>
      <c r="Q3" s="183"/>
      <c r="R3" s="183"/>
      <c r="S3" s="183"/>
      <c r="T3" s="183"/>
      <c r="U3" s="183"/>
      <c r="V3" s="183"/>
      <c r="W3" s="183"/>
      <c r="X3" s="184"/>
      <c r="Y3" s="184"/>
      <c r="Z3" s="184"/>
      <c r="AA3" s="184"/>
      <c r="AB3" s="185"/>
      <c r="AC3" s="185"/>
      <c r="AD3" s="185"/>
      <c r="AE3" s="185"/>
      <c r="AF3" s="185"/>
      <c r="AG3" s="185"/>
      <c r="AH3" s="185"/>
      <c r="AI3" s="183"/>
      <c r="AJ3" s="183"/>
      <c r="AK3" s="183"/>
      <c r="AL3" s="183"/>
      <c r="AM3" s="183"/>
      <c r="AN3" s="183"/>
      <c r="AO3" s="183"/>
      <c r="AP3" s="183"/>
    </row>
    <row r="4" spans="1:42" s="170" customFormat="1" ht="14.15">
      <c r="A4" s="7"/>
      <c r="B4" s="7">
        <v>1464.7524759999999</v>
      </c>
      <c r="C4" s="708"/>
      <c r="D4" s="395"/>
      <c r="E4" s="395"/>
      <c r="F4" s="186"/>
      <c r="G4" s="186"/>
      <c r="H4" s="187"/>
      <c r="I4" s="186"/>
      <c r="J4" s="186"/>
      <c r="K4" s="186"/>
      <c r="L4" s="187"/>
      <c r="M4" s="186"/>
      <c r="N4" s="186"/>
      <c r="O4" s="186"/>
      <c r="P4" s="187"/>
      <c r="Q4" s="186"/>
      <c r="R4" s="186"/>
      <c r="S4" s="186"/>
      <c r="T4" s="187"/>
      <c r="U4" s="187"/>
      <c r="V4" s="187"/>
      <c r="W4" s="187"/>
      <c r="X4" s="187"/>
      <c r="Y4" s="187"/>
      <c r="Z4" s="187"/>
      <c r="AA4" s="187"/>
      <c r="AB4" s="187"/>
      <c r="AC4" s="187"/>
      <c r="AD4" s="187"/>
      <c r="AE4" s="187"/>
      <c r="AF4" s="187"/>
      <c r="AG4" s="187"/>
      <c r="AH4" s="187"/>
      <c r="AI4" s="187"/>
      <c r="AJ4" s="187"/>
      <c r="AK4" s="187"/>
      <c r="AL4" s="187"/>
      <c r="AM4" s="258">
        <v>1</v>
      </c>
      <c r="AN4" s="187"/>
      <c r="AO4" s="187"/>
      <c r="AP4" s="187"/>
    </row>
    <row r="5" spans="1:42" s="171" customFormat="1" ht="14.15" thickBot="1">
      <c r="A5" s="9" t="s">
        <v>35</v>
      </c>
      <c r="B5" s="9"/>
      <c r="C5" s="9" t="s">
        <v>234</v>
      </c>
      <c r="D5" s="9"/>
      <c r="E5" s="9"/>
      <c r="F5" s="114">
        <v>2012</v>
      </c>
      <c r="G5" s="114" t="s">
        <v>1189</v>
      </c>
      <c r="H5" s="114" t="s">
        <v>1188</v>
      </c>
      <c r="I5" s="114" t="s">
        <v>1187</v>
      </c>
      <c r="J5" s="114">
        <v>2013</v>
      </c>
      <c r="K5" s="114" t="s">
        <v>1186</v>
      </c>
      <c r="L5" s="114" t="s">
        <v>1185</v>
      </c>
      <c r="M5" s="114" t="s">
        <v>1184</v>
      </c>
      <c r="N5" s="114">
        <v>2014</v>
      </c>
      <c r="O5" s="114" t="s">
        <v>1183</v>
      </c>
      <c r="P5" s="114" t="s">
        <v>1182</v>
      </c>
      <c r="Q5" s="114" t="s">
        <v>1181</v>
      </c>
      <c r="R5" s="114">
        <v>2015</v>
      </c>
      <c r="S5" s="114" t="s">
        <v>1180</v>
      </c>
      <c r="T5" s="114" t="s">
        <v>1179</v>
      </c>
      <c r="U5" s="114" t="s">
        <v>1178</v>
      </c>
      <c r="V5" s="114">
        <v>2016</v>
      </c>
      <c r="W5" s="114" t="s">
        <v>1177</v>
      </c>
      <c r="X5" s="114" t="s">
        <v>1176</v>
      </c>
      <c r="Y5" s="114" t="s">
        <v>1175</v>
      </c>
      <c r="Z5" s="114">
        <v>2017</v>
      </c>
      <c r="AA5" s="114" t="s">
        <v>1174</v>
      </c>
      <c r="AB5" s="114" t="s">
        <v>1173</v>
      </c>
      <c r="AC5" s="114" t="s">
        <v>1172</v>
      </c>
      <c r="AD5" s="114">
        <v>2021</v>
      </c>
      <c r="AE5" s="114" t="s">
        <v>1171</v>
      </c>
      <c r="AF5" s="114" t="s">
        <v>1170</v>
      </c>
      <c r="AG5" s="114" t="s">
        <v>1169</v>
      </c>
      <c r="AH5" s="114">
        <v>2022</v>
      </c>
      <c r="AI5" s="114" t="s">
        <v>1265</v>
      </c>
      <c r="AJ5" s="114" t="s">
        <v>1264</v>
      </c>
      <c r="AK5" s="114" t="s">
        <v>1263</v>
      </c>
      <c r="AL5" s="114">
        <v>2023</v>
      </c>
      <c r="AM5" s="114" t="s">
        <v>1417</v>
      </c>
      <c r="AN5" s="114" t="s">
        <v>1262</v>
      </c>
      <c r="AO5" s="114" t="s">
        <v>1261</v>
      </c>
      <c r="AP5" s="114" t="s">
        <v>1477</v>
      </c>
    </row>
    <row r="6" spans="1:42" s="166" customFormat="1" ht="15">
      <c r="A6" s="11">
        <v>1</v>
      </c>
      <c r="B6" s="12" t="s">
        <v>411</v>
      </c>
      <c r="C6" s="13" t="s">
        <v>72</v>
      </c>
      <c r="D6" s="13"/>
      <c r="E6" s="13"/>
      <c r="F6" s="188"/>
      <c r="G6" s="188"/>
      <c r="H6" s="188"/>
      <c r="I6" s="188"/>
      <c r="J6" s="188"/>
      <c r="K6" s="188"/>
      <c r="L6" s="188"/>
      <c r="M6" s="188"/>
      <c r="N6" s="188"/>
      <c r="O6" s="188"/>
      <c r="P6" s="188"/>
      <c r="Q6" s="188"/>
      <c r="R6" s="188"/>
      <c r="S6" s="188"/>
      <c r="T6" s="188"/>
      <c r="U6" s="188"/>
      <c r="V6" s="188"/>
      <c r="W6" s="189"/>
      <c r="X6" s="189"/>
      <c r="Y6" s="189"/>
      <c r="Z6" s="189"/>
      <c r="AA6" s="189">
        <v>3369965694.4499998</v>
      </c>
      <c r="AB6" s="189">
        <v>6420333520.4300003</v>
      </c>
      <c r="AC6" s="189">
        <v>9262895777.4400005</v>
      </c>
      <c r="AD6" s="189"/>
      <c r="AE6" s="189"/>
      <c r="AF6" s="189"/>
      <c r="AG6" s="189"/>
      <c r="AH6" s="189"/>
      <c r="AI6" s="189"/>
      <c r="AJ6" s="189"/>
      <c r="AK6" s="189"/>
      <c r="AL6" s="189"/>
      <c r="AM6" s="189"/>
      <c r="AN6" s="189"/>
      <c r="AO6" s="189"/>
      <c r="AP6" s="189"/>
    </row>
    <row r="7" spans="1:42" s="166" customFormat="1" ht="15">
      <c r="A7" s="11">
        <f t="shared" ref="A7:A38" si="0">A6+1</f>
        <v>2</v>
      </c>
      <c r="B7" s="12" t="s">
        <v>413</v>
      </c>
      <c r="C7" s="13" t="s">
        <v>372</v>
      </c>
      <c r="D7" s="13"/>
      <c r="E7" s="13"/>
      <c r="F7" s="188"/>
      <c r="G7" s="188"/>
      <c r="H7" s="188"/>
      <c r="I7" s="188"/>
      <c r="J7" s="188"/>
      <c r="K7" s="188"/>
      <c r="L7" s="188"/>
      <c r="M7" s="188"/>
      <c r="N7" s="188"/>
      <c r="O7" s="188"/>
      <c r="P7" s="188"/>
      <c r="Q7" s="188"/>
      <c r="R7" s="188"/>
      <c r="S7" s="188"/>
      <c r="T7" s="188"/>
      <c r="U7" s="189"/>
      <c r="V7" s="189"/>
      <c r="W7" s="189"/>
      <c r="X7" s="189"/>
      <c r="Y7" s="189"/>
      <c r="Z7" s="189"/>
      <c r="AA7" s="189"/>
      <c r="AB7" s="189"/>
      <c r="AC7" s="189"/>
      <c r="AD7" s="189"/>
      <c r="AE7" s="189"/>
      <c r="AF7" s="189"/>
      <c r="AG7" s="189"/>
      <c r="AH7" s="189"/>
      <c r="AI7" s="189"/>
      <c r="AJ7" s="189"/>
      <c r="AK7" s="189"/>
      <c r="AL7" s="189"/>
      <c r="AM7" s="189"/>
      <c r="AN7" s="189"/>
      <c r="AO7" s="189"/>
      <c r="AP7" s="189"/>
    </row>
    <row r="8" spans="1:42" s="166" customFormat="1" ht="15">
      <c r="A8" s="11">
        <f t="shared" si="0"/>
        <v>3</v>
      </c>
      <c r="B8" s="12" t="s">
        <v>414</v>
      </c>
      <c r="C8" s="13" t="s">
        <v>815</v>
      </c>
      <c r="D8" s="13"/>
      <c r="E8" s="13"/>
      <c r="F8" s="188"/>
      <c r="G8" s="188"/>
      <c r="H8" s="188"/>
      <c r="I8" s="188"/>
      <c r="J8" s="188"/>
      <c r="K8" s="188"/>
      <c r="L8" s="188"/>
      <c r="M8" s="188"/>
      <c r="N8" s="188"/>
      <c r="O8" s="188"/>
      <c r="P8" s="188"/>
      <c r="Q8" s="188"/>
      <c r="R8" s="188"/>
      <c r="S8" s="188"/>
      <c r="T8" s="188"/>
      <c r="U8" s="188"/>
      <c r="V8" s="188"/>
      <c r="W8" s="189"/>
      <c r="X8" s="189"/>
      <c r="Y8" s="189"/>
      <c r="Z8" s="189"/>
      <c r="AA8" s="189">
        <v>3369965694.4499998</v>
      </c>
      <c r="AB8" s="189">
        <v>6420333520.4300003</v>
      </c>
      <c r="AC8" s="189">
        <v>9262895777.4400005</v>
      </c>
      <c r="AD8" s="189"/>
      <c r="AE8" s="189"/>
      <c r="AF8" s="189"/>
      <c r="AG8" s="189"/>
      <c r="AH8" s="189"/>
      <c r="AI8" s="189"/>
      <c r="AJ8" s="189"/>
      <c r="AK8" s="189"/>
      <c r="AL8" s="189"/>
      <c r="AM8" s="189"/>
      <c r="AN8" s="189"/>
      <c r="AO8" s="189"/>
      <c r="AP8" s="189"/>
    </row>
    <row r="9" spans="1:42" s="166" customFormat="1" ht="15">
      <c r="A9" s="11">
        <f t="shared" si="0"/>
        <v>4</v>
      </c>
      <c r="B9" s="12" t="s">
        <v>415</v>
      </c>
      <c r="C9" s="13" t="s">
        <v>816</v>
      </c>
      <c r="D9" s="13"/>
      <c r="E9" s="13"/>
      <c r="F9" s="188"/>
      <c r="G9" s="188"/>
      <c r="H9" s="188"/>
      <c r="I9" s="188"/>
      <c r="J9" s="188"/>
      <c r="K9" s="188"/>
      <c r="L9" s="188"/>
      <c r="M9" s="188"/>
      <c r="N9" s="188"/>
      <c r="O9" s="188"/>
      <c r="P9" s="188"/>
      <c r="Q9" s="188"/>
      <c r="R9" s="188"/>
      <c r="S9" s="188"/>
      <c r="T9" s="188"/>
      <c r="U9" s="188"/>
      <c r="V9" s="188"/>
      <c r="W9" s="189"/>
      <c r="X9" s="189"/>
      <c r="Y9" s="189"/>
      <c r="Z9" s="189"/>
      <c r="AA9" s="189">
        <v>853714667.65999997</v>
      </c>
      <c r="AB9" s="189">
        <v>1610563692.0999999</v>
      </c>
      <c r="AC9" s="189">
        <v>2137312682.9100001</v>
      </c>
      <c r="AD9" s="189"/>
      <c r="AE9" s="189"/>
      <c r="AF9" s="189"/>
      <c r="AG9" s="189"/>
      <c r="AH9" s="189"/>
      <c r="AI9" s="189"/>
      <c r="AJ9" s="189"/>
      <c r="AK9" s="189"/>
      <c r="AL9" s="189"/>
      <c r="AM9" s="189"/>
      <c r="AN9" s="189"/>
      <c r="AO9" s="189"/>
      <c r="AP9" s="189"/>
    </row>
    <row r="10" spans="1:42" s="166" customFormat="1" ht="15">
      <c r="A10" s="11">
        <f t="shared" si="0"/>
        <v>5</v>
      </c>
      <c r="B10" s="12" t="s">
        <v>412</v>
      </c>
      <c r="C10" s="13" t="s">
        <v>785</v>
      </c>
      <c r="D10" s="15"/>
      <c r="E10" s="15"/>
      <c r="F10" s="188"/>
      <c r="G10" s="188"/>
      <c r="H10" s="188"/>
      <c r="I10" s="188"/>
      <c r="J10" s="188"/>
      <c r="K10" s="188"/>
      <c r="L10" s="188"/>
      <c r="M10" s="188"/>
      <c r="N10" s="188"/>
      <c r="O10" s="188"/>
      <c r="P10" s="188"/>
      <c r="Q10" s="188"/>
      <c r="R10" s="188"/>
      <c r="S10" s="188"/>
      <c r="T10" s="188"/>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row>
    <row r="11" spans="1:42" s="166" customFormat="1" ht="15">
      <c r="A11" s="11">
        <f t="shared" si="0"/>
        <v>6</v>
      </c>
      <c r="B11" s="12" t="s">
        <v>412</v>
      </c>
      <c r="C11" s="15" t="s">
        <v>36</v>
      </c>
      <c r="D11" s="15"/>
      <c r="E11" s="15"/>
      <c r="F11" s="188"/>
      <c r="G11" s="188"/>
      <c r="H11" s="188"/>
      <c r="I11" s="188"/>
      <c r="J11" s="188"/>
      <c r="K11" s="188"/>
      <c r="L11" s="188"/>
      <c r="M11" s="188"/>
      <c r="N11" s="188"/>
      <c r="O11" s="188"/>
      <c r="P11" s="188"/>
      <c r="Q11" s="188"/>
      <c r="R11" s="188"/>
      <c r="S11" s="188"/>
      <c r="T11" s="188"/>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row>
    <row r="12" spans="1:42" s="166" customFormat="1" ht="15">
      <c r="A12" s="11">
        <f t="shared" si="0"/>
        <v>7</v>
      </c>
      <c r="B12" s="12" t="s">
        <v>412</v>
      </c>
      <c r="C12" s="15" t="s">
        <v>37</v>
      </c>
      <c r="D12" s="15"/>
      <c r="E12" s="15"/>
      <c r="F12" s="188"/>
      <c r="G12" s="188"/>
      <c r="H12" s="188"/>
      <c r="I12" s="188"/>
      <c r="J12" s="188"/>
      <c r="K12" s="188"/>
      <c r="L12" s="188"/>
      <c r="M12" s="188"/>
      <c r="N12" s="188"/>
      <c r="O12" s="188"/>
      <c r="P12" s="188"/>
      <c r="Q12" s="188"/>
      <c r="R12" s="188"/>
      <c r="S12" s="188"/>
      <c r="T12" s="188"/>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row>
    <row r="13" spans="1:42" s="166" customFormat="1" ht="15">
      <c r="A13" s="11">
        <f t="shared" si="0"/>
        <v>8</v>
      </c>
      <c r="B13" s="12" t="s">
        <v>643</v>
      </c>
      <c r="C13" s="13" t="s">
        <v>817</v>
      </c>
      <c r="D13" s="13"/>
      <c r="E13" s="13"/>
      <c r="F13" s="188"/>
      <c r="G13" s="188"/>
      <c r="H13" s="188"/>
      <c r="I13" s="188"/>
      <c r="J13" s="188"/>
      <c r="K13" s="188"/>
      <c r="L13" s="188"/>
      <c r="M13" s="188"/>
      <c r="N13" s="188"/>
      <c r="O13" s="188"/>
      <c r="P13" s="188"/>
      <c r="Q13" s="188"/>
      <c r="R13" s="188"/>
      <c r="S13" s="188"/>
      <c r="T13" s="188"/>
      <c r="U13" s="188"/>
      <c r="V13" s="188"/>
      <c r="W13" s="189"/>
      <c r="X13" s="189"/>
      <c r="Y13" s="189"/>
      <c r="Z13" s="189"/>
      <c r="AA13" s="189">
        <v>343676887.54000002</v>
      </c>
      <c r="AB13" s="189">
        <v>720150367.44000006</v>
      </c>
      <c r="AC13" s="189">
        <v>1059359353.25</v>
      </c>
      <c r="AD13" s="189"/>
      <c r="AE13" s="189"/>
      <c r="AF13" s="189"/>
      <c r="AG13" s="189"/>
      <c r="AH13" s="189"/>
      <c r="AI13" s="189"/>
      <c r="AJ13" s="189"/>
      <c r="AK13" s="189"/>
      <c r="AL13" s="189"/>
      <c r="AM13" s="189"/>
      <c r="AN13" s="189"/>
      <c r="AO13" s="189"/>
      <c r="AP13" s="189"/>
    </row>
    <row r="14" spans="1:42" s="166" customFormat="1" ht="15">
      <c r="A14" s="11">
        <f t="shared" si="0"/>
        <v>9</v>
      </c>
      <c r="B14" s="12" t="s">
        <v>644</v>
      </c>
      <c r="C14" s="13" t="s">
        <v>38</v>
      </c>
      <c r="D14" s="13"/>
      <c r="E14" s="13"/>
      <c r="F14" s="188"/>
      <c r="G14" s="188"/>
      <c r="H14" s="188"/>
      <c r="I14" s="188"/>
      <c r="J14" s="188"/>
      <c r="K14" s="188"/>
      <c r="L14" s="188"/>
      <c r="M14" s="188"/>
      <c r="N14" s="188"/>
      <c r="O14" s="188"/>
      <c r="P14" s="188"/>
      <c r="Q14" s="188"/>
      <c r="R14" s="188"/>
      <c r="S14" s="188"/>
      <c r="T14" s="188"/>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row>
    <row r="15" spans="1:42" s="166" customFormat="1" ht="15">
      <c r="A15" s="11">
        <f t="shared" si="0"/>
        <v>10</v>
      </c>
      <c r="B15" s="12" t="s">
        <v>645</v>
      </c>
      <c r="C15" s="13" t="s">
        <v>373</v>
      </c>
      <c r="D15" s="13"/>
      <c r="E15" s="13"/>
      <c r="F15" s="188"/>
      <c r="G15" s="188"/>
      <c r="H15" s="188"/>
      <c r="I15" s="188"/>
      <c r="J15" s="188"/>
      <c r="K15" s="188"/>
      <c r="L15" s="188"/>
      <c r="M15" s="188"/>
      <c r="N15" s="188"/>
      <c r="O15" s="188"/>
      <c r="P15" s="188"/>
      <c r="Q15" s="188"/>
      <c r="R15" s="188"/>
      <c r="S15" s="188"/>
      <c r="T15" s="188"/>
      <c r="U15" s="189"/>
      <c r="V15" s="189"/>
      <c r="W15" s="189"/>
      <c r="X15" s="189"/>
      <c r="Y15" s="189"/>
      <c r="Z15" s="189"/>
      <c r="AA15" s="189">
        <v>0</v>
      </c>
      <c r="AB15" s="189">
        <v>0</v>
      </c>
      <c r="AC15" s="189">
        <v>0</v>
      </c>
      <c r="AD15" s="189"/>
      <c r="AE15" s="189"/>
      <c r="AF15" s="189"/>
      <c r="AG15" s="189"/>
      <c r="AH15" s="189"/>
      <c r="AI15" s="189"/>
      <c r="AJ15" s="189"/>
      <c r="AK15" s="189"/>
      <c r="AL15" s="189"/>
      <c r="AM15" s="189"/>
      <c r="AN15" s="189"/>
      <c r="AO15" s="189"/>
      <c r="AP15" s="189"/>
    </row>
    <row r="16" spans="1:42" s="166" customFormat="1" ht="15">
      <c r="A16" s="11">
        <f t="shared" si="0"/>
        <v>11</v>
      </c>
      <c r="B16" s="12" t="s">
        <v>326</v>
      </c>
      <c r="C16" s="13" t="s">
        <v>39</v>
      </c>
      <c r="D16" s="13"/>
      <c r="E16" s="13"/>
      <c r="F16" s="188"/>
      <c r="G16" s="188"/>
      <c r="H16" s="188"/>
      <c r="I16" s="188"/>
      <c r="J16" s="188"/>
      <c r="K16" s="188"/>
      <c r="L16" s="188"/>
      <c r="M16" s="188"/>
      <c r="N16" s="188"/>
      <c r="O16" s="188"/>
      <c r="P16" s="188"/>
      <c r="Q16" s="188"/>
      <c r="R16" s="188"/>
      <c r="S16" s="188"/>
      <c r="T16" s="188"/>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row>
    <row r="17" spans="1:42" s="166" customFormat="1" ht="15">
      <c r="A17" s="11">
        <f t="shared" si="0"/>
        <v>12</v>
      </c>
      <c r="B17" s="12" t="s">
        <v>327</v>
      </c>
      <c r="C17" s="13" t="s">
        <v>40</v>
      </c>
      <c r="D17" s="13"/>
      <c r="E17" s="13"/>
      <c r="F17" s="188"/>
      <c r="G17" s="188"/>
      <c r="H17" s="188"/>
      <c r="I17" s="188"/>
      <c r="J17" s="188"/>
      <c r="K17" s="188"/>
      <c r="L17" s="188"/>
      <c r="M17" s="188"/>
      <c r="N17" s="188"/>
      <c r="O17" s="188"/>
      <c r="P17" s="188"/>
      <c r="Q17" s="188"/>
      <c r="R17" s="188"/>
      <c r="S17" s="188"/>
      <c r="T17" s="188"/>
      <c r="U17" s="188"/>
      <c r="V17" s="188"/>
      <c r="W17" s="189"/>
      <c r="X17" s="189"/>
      <c r="Y17" s="189"/>
      <c r="Z17" s="189"/>
      <c r="AA17" s="189">
        <v>613479475.42999995</v>
      </c>
      <c r="AB17" s="189">
        <v>1191394040.9000001</v>
      </c>
      <c r="AC17" s="189">
        <v>2082699374.8299999</v>
      </c>
      <c r="AD17" s="189"/>
      <c r="AE17" s="189"/>
      <c r="AF17" s="189"/>
      <c r="AG17" s="189"/>
      <c r="AH17" s="189"/>
      <c r="AI17" s="189"/>
      <c r="AJ17" s="189"/>
      <c r="AK17" s="189"/>
      <c r="AL17" s="189"/>
      <c r="AM17" s="189"/>
      <c r="AN17" s="189"/>
      <c r="AO17" s="189"/>
      <c r="AP17" s="189"/>
    </row>
    <row r="18" spans="1:42" s="166" customFormat="1" ht="15.75" customHeight="1">
      <c r="A18" s="11">
        <f t="shared" si="0"/>
        <v>13</v>
      </c>
      <c r="B18" s="12" t="s">
        <v>328</v>
      </c>
      <c r="C18" s="13" t="s">
        <v>138</v>
      </c>
      <c r="D18" s="13"/>
      <c r="E18" s="13"/>
      <c r="F18" s="188"/>
      <c r="G18" s="188"/>
      <c r="H18" s="188"/>
      <c r="I18" s="188"/>
      <c r="J18" s="188"/>
      <c r="K18" s="188"/>
      <c r="L18" s="188"/>
      <c r="M18" s="188"/>
      <c r="N18" s="188"/>
      <c r="O18" s="188"/>
      <c r="P18" s="188"/>
      <c r="Q18" s="188"/>
      <c r="R18" s="188"/>
      <c r="S18" s="188"/>
      <c r="T18" s="188"/>
      <c r="U18" s="188"/>
      <c r="V18" s="188"/>
      <c r="W18" s="189"/>
      <c r="X18" s="189"/>
      <c r="Y18" s="189"/>
      <c r="Z18" s="189"/>
      <c r="AA18" s="189">
        <v>127614583.23999999</v>
      </c>
      <c r="AB18" s="189">
        <v>343910990.55000001</v>
      </c>
      <c r="AC18" s="189">
        <v>488729037.60000002</v>
      </c>
      <c r="AD18" s="189"/>
      <c r="AE18" s="189"/>
      <c r="AF18" s="189"/>
      <c r="AG18" s="189"/>
      <c r="AH18" s="189"/>
      <c r="AI18" s="189"/>
      <c r="AJ18" s="189"/>
      <c r="AK18" s="189"/>
      <c r="AL18" s="189"/>
      <c r="AM18" s="189"/>
      <c r="AN18" s="189"/>
      <c r="AO18" s="189"/>
      <c r="AP18" s="189"/>
    </row>
    <row r="19" spans="1:42" s="166" customFormat="1" ht="15">
      <c r="A19" s="11">
        <f t="shared" si="0"/>
        <v>14</v>
      </c>
      <c r="B19" s="12" t="s">
        <v>329</v>
      </c>
      <c r="C19" s="13" t="s">
        <v>141</v>
      </c>
      <c r="D19" s="13"/>
      <c r="E19" s="13"/>
      <c r="F19" s="188"/>
      <c r="G19" s="188"/>
      <c r="H19" s="188"/>
      <c r="I19" s="188"/>
      <c r="J19" s="188"/>
      <c r="K19" s="188"/>
      <c r="L19" s="188"/>
      <c r="M19" s="188"/>
      <c r="N19" s="188"/>
      <c r="O19" s="188"/>
      <c r="P19" s="188"/>
      <c r="Q19" s="188"/>
      <c r="R19" s="188"/>
      <c r="S19" s="188"/>
      <c r="T19" s="188"/>
      <c r="U19" s="188"/>
      <c r="V19" s="188"/>
      <c r="W19" s="189"/>
      <c r="X19" s="189"/>
      <c r="Y19" s="189"/>
      <c r="Z19" s="189"/>
      <c r="AA19" s="189">
        <v>-49514664.100000001</v>
      </c>
      <c r="AB19" s="189">
        <v>-105201443.68000001</v>
      </c>
      <c r="AC19" s="189">
        <v>-165187263.36000001</v>
      </c>
      <c r="AD19" s="189"/>
      <c r="AE19" s="189"/>
      <c r="AF19" s="189"/>
      <c r="AG19" s="189"/>
      <c r="AH19" s="189"/>
      <c r="AI19" s="189"/>
      <c r="AJ19" s="189"/>
      <c r="AK19" s="189"/>
      <c r="AL19" s="189"/>
      <c r="AM19" s="189"/>
      <c r="AN19" s="189"/>
      <c r="AO19" s="189"/>
      <c r="AP19" s="189"/>
    </row>
    <row r="20" spans="1:42" s="166" customFormat="1" ht="15">
      <c r="A20" s="11">
        <f t="shared" si="0"/>
        <v>15</v>
      </c>
      <c r="B20" s="12" t="s">
        <v>330</v>
      </c>
      <c r="C20" s="13" t="s">
        <v>655</v>
      </c>
      <c r="D20" s="13"/>
      <c r="E20" s="13"/>
      <c r="F20" s="188"/>
      <c r="G20" s="188"/>
      <c r="H20" s="188"/>
      <c r="I20" s="188"/>
      <c r="J20" s="188"/>
      <c r="K20" s="188"/>
      <c r="L20" s="188"/>
      <c r="M20" s="188"/>
      <c r="N20" s="188"/>
      <c r="O20" s="188"/>
      <c r="P20" s="188"/>
      <c r="Q20" s="188"/>
      <c r="R20" s="188"/>
      <c r="S20" s="188"/>
      <c r="T20" s="188"/>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row>
    <row r="21" spans="1:42" s="166" customFormat="1" ht="15">
      <c r="A21" s="11">
        <f t="shared" si="0"/>
        <v>16</v>
      </c>
      <c r="B21" s="12" t="s">
        <v>331</v>
      </c>
      <c r="C21" s="13" t="s">
        <v>656</v>
      </c>
      <c r="D21" s="13"/>
      <c r="E21" s="13"/>
      <c r="F21" s="188"/>
      <c r="G21" s="188"/>
      <c r="H21" s="188"/>
      <c r="I21" s="188"/>
      <c r="J21" s="188"/>
      <c r="K21" s="188"/>
      <c r="L21" s="188"/>
      <c r="M21" s="188"/>
      <c r="N21" s="188"/>
      <c r="O21" s="188"/>
      <c r="P21" s="188"/>
      <c r="Q21" s="188"/>
      <c r="R21" s="188"/>
      <c r="S21" s="188"/>
      <c r="T21" s="188"/>
      <c r="U21" s="188"/>
      <c r="V21" s="188"/>
      <c r="W21" s="189"/>
      <c r="X21" s="189"/>
      <c r="Y21" s="189"/>
      <c r="Z21" s="189"/>
      <c r="AA21" s="189">
        <v>-1086639.1399999999</v>
      </c>
      <c r="AB21" s="189">
        <v>1859522.06</v>
      </c>
      <c r="AC21" s="189">
        <v>477213.86</v>
      </c>
      <c r="AD21" s="189"/>
      <c r="AE21" s="189"/>
      <c r="AF21" s="189"/>
      <c r="AG21" s="189"/>
      <c r="AH21" s="189"/>
      <c r="AI21" s="189"/>
      <c r="AJ21" s="189"/>
      <c r="AK21" s="189"/>
      <c r="AL21" s="189"/>
      <c r="AM21" s="189"/>
      <c r="AN21" s="189"/>
      <c r="AO21" s="189"/>
      <c r="AP21" s="189"/>
    </row>
    <row r="22" spans="1:42" s="166" customFormat="1" ht="15">
      <c r="A22" s="11">
        <f t="shared" si="0"/>
        <v>17</v>
      </c>
      <c r="B22" s="12" t="s">
        <v>79</v>
      </c>
      <c r="C22" s="13" t="s">
        <v>657</v>
      </c>
      <c r="D22" s="13"/>
      <c r="E22" s="13"/>
      <c r="F22" s="188"/>
      <c r="G22" s="188"/>
      <c r="H22" s="188"/>
      <c r="I22" s="188"/>
      <c r="J22" s="188"/>
      <c r="K22" s="188"/>
      <c r="L22" s="188"/>
      <c r="M22" s="188"/>
      <c r="N22" s="188"/>
      <c r="O22" s="188"/>
      <c r="P22" s="188"/>
      <c r="Q22" s="188"/>
      <c r="R22" s="188"/>
      <c r="S22" s="188"/>
      <c r="T22" s="188"/>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row>
    <row r="23" spans="1:42" s="166" customFormat="1" ht="15">
      <c r="A23" s="11">
        <f t="shared" si="0"/>
        <v>18</v>
      </c>
      <c r="B23" s="12" t="s">
        <v>80</v>
      </c>
      <c r="C23" s="15" t="s">
        <v>658</v>
      </c>
      <c r="D23" s="15"/>
      <c r="E23" s="15"/>
      <c r="F23" s="188"/>
      <c r="G23" s="188"/>
      <c r="H23" s="188"/>
      <c r="I23" s="188"/>
      <c r="J23" s="188"/>
      <c r="K23" s="188"/>
      <c r="L23" s="188"/>
      <c r="M23" s="188"/>
      <c r="N23" s="188"/>
      <c r="O23" s="188"/>
      <c r="P23" s="188"/>
      <c r="Q23" s="188"/>
      <c r="R23" s="188"/>
      <c r="S23" s="188"/>
      <c r="T23" s="188"/>
      <c r="U23" s="188"/>
      <c r="V23" s="188"/>
      <c r="W23" s="188"/>
      <c r="X23" s="188"/>
      <c r="Y23" s="188"/>
      <c r="Z23" s="188"/>
      <c r="AA23" s="188">
        <v>21036062.16</v>
      </c>
      <c r="AB23" s="188">
        <v>60356782.689999998</v>
      </c>
      <c r="AC23" s="188">
        <v>90584007.739999995</v>
      </c>
      <c r="AD23" s="188"/>
      <c r="AE23" s="188"/>
      <c r="AF23" s="188"/>
      <c r="AG23" s="188"/>
      <c r="AH23" s="188"/>
      <c r="AI23" s="188"/>
      <c r="AJ23" s="188"/>
      <c r="AK23" s="188"/>
      <c r="AL23" s="188"/>
      <c r="AM23" s="188"/>
      <c r="AN23" s="188"/>
      <c r="AO23" s="188"/>
      <c r="AP23" s="189"/>
    </row>
    <row r="24" spans="1:42" s="166" customFormat="1" ht="15">
      <c r="A24" s="11">
        <f t="shared" si="0"/>
        <v>19</v>
      </c>
      <c r="B24" s="12" t="s">
        <v>81</v>
      </c>
      <c r="C24" s="15" t="s">
        <v>659</v>
      </c>
      <c r="D24" s="15"/>
      <c r="E24" s="15"/>
      <c r="F24" s="188"/>
      <c r="G24" s="188"/>
      <c r="H24" s="188"/>
      <c r="I24" s="188"/>
      <c r="J24" s="188"/>
      <c r="K24" s="188"/>
      <c r="L24" s="188"/>
      <c r="M24" s="188"/>
      <c r="N24" s="188"/>
      <c r="O24" s="188"/>
      <c r="P24" s="188"/>
      <c r="Q24" s="188"/>
      <c r="R24" s="188"/>
      <c r="S24" s="188"/>
      <c r="T24" s="188"/>
      <c r="U24" s="189"/>
      <c r="V24" s="189"/>
      <c r="W24" s="189"/>
      <c r="X24" s="189"/>
      <c r="Y24" s="189"/>
      <c r="Z24" s="189"/>
      <c r="AA24" s="189">
        <v>21036062.16</v>
      </c>
      <c r="AB24" s="189">
        <v>55583441.689999998</v>
      </c>
      <c r="AC24" s="189">
        <v>81471466.739999995</v>
      </c>
      <c r="AD24" s="189"/>
      <c r="AE24" s="189"/>
      <c r="AF24" s="189"/>
      <c r="AG24" s="189"/>
      <c r="AH24" s="189"/>
      <c r="AI24" s="189"/>
      <c r="AJ24" s="189"/>
      <c r="AK24" s="189"/>
      <c r="AL24" s="189"/>
      <c r="AM24" s="189"/>
      <c r="AN24" s="189"/>
      <c r="AO24" s="189"/>
      <c r="AP24" s="189"/>
    </row>
    <row r="25" spans="1:42" s="166" customFormat="1" ht="15">
      <c r="A25" s="11">
        <f t="shared" si="0"/>
        <v>20</v>
      </c>
      <c r="B25" s="12" t="s">
        <v>255</v>
      </c>
      <c r="C25" s="13" t="s">
        <v>256</v>
      </c>
      <c r="D25" s="13"/>
      <c r="E25" s="13"/>
      <c r="F25" s="188"/>
      <c r="G25" s="188"/>
      <c r="H25" s="188"/>
      <c r="I25" s="188"/>
      <c r="J25" s="188"/>
      <c r="K25" s="188"/>
      <c r="L25" s="188"/>
      <c r="M25" s="188"/>
      <c r="N25" s="188"/>
      <c r="O25" s="188"/>
      <c r="P25" s="188"/>
      <c r="Q25" s="188"/>
      <c r="R25" s="188"/>
      <c r="S25" s="188"/>
      <c r="T25" s="188"/>
      <c r="U25" s="189"/>
      <c r="V25" s="189"/>
      <c r="W25" s="189"/>
      <c r="X25" s="189"/>
      <c r="Y25" s="189"/>
      <c r="Z25" s="189"/>
      <c r="AA25" s="189">
        <v>0</v>
      </c>
      <c r="AB25" s="189">
        <v>0</v>
      </c>
      <c r="AC25" s="189">
        <v>0</v>
      </c>
      <c r="AD25" s="189"/>
      <c r="AE25" s="189"/>
      <c r="AF25" s="189"/>
      <c r="AG25" s="189"/>
      <c r="AH25" s="189"/>
      <c r="AI25" s="189"/>
      <c r="AJ25" s="189"/>
      <c r="AK25" s="189"/>
      <c r="AL25" s="189"/>
      <c r="AM25" s="189"/>
      <c r="AN25" s="189"/>
      <c r="AO25" s="189"/>
      <c r="AP25" s="189"/>
    </row>
    <row r="26" spans="1:42" s="166" customFormat="1" ht="15">
      <c r="A26" s="11">
        <f t="shared" si="0"/>
        <v>21</v>
      </c>
      <c r="B26" s="12" t="s">
        <v>82</v>
      </c>
      <c r="C26" s="13" t="s">
        <v>143</v>
      </c>
      <c r="D26" s="13"/>
      <c r="E26" s="13"/>
      <c r="F26" s="188"/>
      <c r="G26" s="188"/>
      <c r="H26" s="188"/>
      <c r="I26" s="188"/>
      <c r="J26" s="188"/>
      <c r="K26" s="188"/>
      <c r="L26" s="188"/>
      <c r="M26" s="188"/>
      <c r="N26" s="188"/>
      <c r="O26" s="188"/>
      <c r="P26" s="188"/>
      <c r="Q26" s="188"/>
      <c r="R26" s="188"/>
      <c r="S26" s="188"/>
      <c r="T26" s="188"/>
      <c r="U26" s="188"/>
      <c r="V26" s="188"/>
      <c r="W26" s="189"/>
      <c r="X26" s="189"/>
      <c r="Y26" s="189"/>
      <c r="Z26" s="189"/>
      <c r="AA26" s="189">
        <v>1492268599.3499999</v>
      </c>
      <c r="AB26" s="189">
        <v>2718476566.5999999</v>
      </c>
      <c r="AC26" s="189">
        <v>3728147228.7800002</v>
      </c>
      <c r="AD26" s="189"/>
      <c r="AE26" s="189"/>
      <c r="AF26" s="189"/>
      <c r="AG26" s="189"/>
      <c r="AH26" s="189"/>
      <c r="AI26" s="189"/>
      <c r="AJ26" s="189"/>
      <c r="AK26" s="189"/>
      <c r="AL26" s="189"/>
      <c r="AM26" s="189"/>
      <c r="AN26" s="189"/>
      <c r="AO26" s="189"/>
      <c r="AP26" s="189"/>
    </row>
    <row r="27" spans="1:42" s="166" customFormat="1" ht="15">
      <c r="A27" s="11">
        <f t="shared" si="0"/>
        <v>22</v>
      </c>
      <c r="B27" s="12" t="s">
        <v>83</v>
      </c>
      <c r="C27" s="13" t="s">
        <v>374</v>
      </c>
      <c r="D27" s="13"/>
      <c r="E27" s="13"/>
      <c r="F27" s="188"/>
      <c r="G27" s="188"/>
      <c r="H27" s="188"/>
      <c r="I27" s="188"/>
      <c r="J27" s="188"/>
      <c r="K27" s="188"/>
      <c r="L27" s="188"/>
      <c r="M27" s="188"/>
      <c r="N27" s="188"/>
      <c r="O27" s="188"/>
      <c r="P27" s="188"/>
      <c r="Q27" s="188"/>
      <c r="R27" s="188"/>
      <c r="S27" s="188"/>
      <c r="T27" s="188"/>
      <c r="U27" s="189"/>
      <c r="V27" s="189"/>
      <c r="W27" s="189"/>
      <c r="X27" s="189"/>
      <c r="Y27" s="189"/>
      <c r="Z27" s="189"/>
      <c r="AA27" s="189"/>
      <c r="AB27" s="189"/>
      <c r="AC27" s="189"/>
      <c r="AD27" s="189"/>
      <c r="AE27" s="189"/>
      <c r="AF27" s="189"/>
      <c r="AG27" s="189"/>
      <c r="AH27" s="189"/>
      <c r="AI27" s="189"/>
      <c r="AJ27" s="189"/>
      <c r="AK27" s="189"/>
      <c r="AL27" s="189"/>
      <c r="AM27" s="189"/>
      <c r="AN27" s="189"/>
      <c r="AO27" s="189"/>
      <c r="AP27" s="189"/>
    </row>
    <row r="28" spans="1:42" s="166" customFormat="1" ht="15">
      <c r="A28" s="11">
        <f t="shared" si="0"/>
        <v>23</v>
      </c>
      <c r="B28" s="12" t="s">
        <v>84</v>
      </c>
      <c r="C28" s="13" t="s">
        <v>660</v>
      </c>
      <c r="D28" s="13"/>
      <c r="E28" s="13"/>
      <c r="F28" s="188"/>
      <c r="G28" s="188"/>
      <c r="H28" s="188"/>
      <c r="I28" s="188"/>
      <c r="J28" s="188"/>
      <c r="K28" s="188"/>
      <c r="L28" s="188"/>
      <c r="M28" s="188"/>
      <c r="N28" s="188"/>
      <c r="O28" s="188"/>
      <c r="P28" s="188"/>
      <c r="Q28" s="188"/>
      <c r="R28" s="188"/>
      <c r="S28" s="188"/>
      <c r="T28" s="188"/>
      <c r="U28" s="189"/>
      <c r="V28" s="189"/>
      <c r="W28" s="189"/>
      <c r="X28" s="189"/>
      <c r="Y28" s="189"/>
      <c r="Z28" s="189"/>
      <c r="AA28" s="189"/>
      <c r="AB28" s="189"/>
      <c r="AC28" s="189"/>
      <c r="AD28" s="189"/>
      <c r="AE28" s="189"/>
      <c r="AF28" s="189"/>
      <c r="AG28" s="189"/>
      <c r="AH28" s="189"/>
      <c r="AI28" s="189"/>
      <c r="AJ28" s="189"/>
      <c r="AK28" s="189"/>
      <c r="AL28" s="189"/>
      <c r="AM28" s="189"/>
      <c r="AN28" s="189"/>
      <c r="AO28" s="189"/>
      <c r="AP28" s="189"/>
    </row>
    <row r="29" spans="1:42" s="166" customFormat="1" ht="15">
      <c r="A29" s="11">
        <f t="shared" si="0"/>
        <v>24</v>
      </c>
      <c r="B29" s="12" t="s">
        <v>86</v>
      </c>
      <c r="C29" s="13" t="s">
        <v>375</v>
      </c>
      <c r="D29" s="13"/>
      <c r="E29" s="13"/>
      <c r="F29" s="188"/>
      <c r="G29" s="188"/>
      <c r="H29" s="188"/>
      <c r="I29" s="188"/>
      <c r="J29" s="188"/>
      <c r="K29" s="188"/>
      <c r="L29" s="188"/>
      <c r="M29" s="188"/>
      <c r="N29" s="188"/>
      <c r="O29" s="188"/>
      <c r="P29" s="188"/>
      <c r="Q29" s="188"/>
      <c r="R29" s="188"/>
      <c r="S29" s="188"/>
      <c r="T29" s="188"/>
      <c r="U29" s="188"/>
      <c r="V29" s="188"/>
      <c r="W29" s="189"/>
      <c r="X29" s="189"/>
      <c r="Y29" s="189"/>
      <c r="Z29" s="189"/>
      <c r="AA29" s="189">
        <v>6688856.8200000003</v>
      </c>
      <c r="AB29" s="189">
        <v>12236636.76</v>
      </c>
      <c r="AC29" s="189">
        <v>25175903.879999999</v>
      </c>
      <c r="AD29" s="189"/>
      <c r="AE29" s="189"/>
      <c r="AF29" s="189"/>
      <c r="AG29" s="189"/>
      <c r="AH29" s="189"/>
      <c r="AI29" s="189"/>
      <c r="AJ29" s="189"/>
      <c r="AK29" s="189"/>
      <c r="AL29" s="189"/>
      <c r="AM29" s="189"/>
      <c r="AN29" s="189"/>
      <c r="AO29" s="189"/>
      <c r="AP29" s="189"/>
    </row>
    <row r="30" spans="1:42" s="166" customFormat="1" ht="15">
      <c r="A30" s="11">
        <f t="shared" si="0"/>
        <v>25</v>
      </c>
      <c r="B30" s="12" t="s">
        <v>85</v>
      </c>
      <c r="C30" s="13" t="s">
        <v>695</v>
      </c>
      <c r="D30" s="13"/>
      <c r="E30" s="13"/>
      <c r="F30" s="188"/>
      <c r="G30" s="188"/>
      <c r="H30" s="188"/>
      <c r="I30" s="188"/>
      <c r="J30" s="188"/>
      <c r="K30" s="188"/>
      <c r="L30" s="188"/>
      <c r="M30" s="188"/>
      <c r="N30" s="188"/>
      <c r="O30" s="188"/>
      <c r="P30" s="188"/>
      <c r="Q30" s="188"/>
      <c r="R30" s="188"/>
      <c r="S30" s="188"/>
      <c r="T30" s="188"/>
      <c r="U30" s="188"/>
      <c r="V30" s="188"/>
      <c r="W30" s="189"/>
      <c r="X30" s="189"/>
      <c r="Y30" s="189"/>
      <c r="Z30" s="189"/>
      <c r="AA30" s="189">
        <v>3805611.13</v>
      </c>
      <c r="AB30" s="189">
        <v>22688400.16</v>
      </c>
      <c r="AC30" s="189">
        <v>27163756.57</v>
      </c>
      <c r="AD30" s="189"/>
      <c r="AE30" s="189"/>
      <c r="AF30" s="189"/>
      <c r="AG30" s="189"/>
      <c r="AH30" s="189"/>
      <c r="AI30" s="189"/>
      <c r="AJ30" s="189"/>
      <c r="AK30" s="189"/>
      <c r="AL30" s="189"/>
      <c r="AM30" s="189"/>
      <c r="AN30" s="189"/>
      <c r="AO30" s="189"/>
      <c r="AP30" s="189"/>
    </row>
    <row r="31" spans="1:42" s="166" customFormat="1" ht="15">
      <c r="A31" s="11">
        <f t="shared" si="0"/>
        <v>26</v>
      </c>
      <c r="B31" s="12" t="s">
        <v>341</v>
      </c>
      <c r="C31" s="15" t="s">
        <v>661</v>
      </c>
      <c r="D31" s="15"/>
      <c r="E31" s="15"/>
      <c r="F31" s="188"/>
      <c r="G31" s="188"/>
      <c r="H31" s="188"/>
      <c r="I31" s="188"/>
      <c r="J31" s="188"/>
      <c r="K31" s="188"/>
      <c r="L31" s="188"/>
      <c r="M31" s="188"/>
      <c r="N31" s="188"/>
      <c r="O31" s="188"/>
      <c r="P31" s="188"/>
      <c r="Q31" s="188"/>
      <c r="R31" s="188"/>
      <c r="S31" s="188"/>
      <c r="T31" s="188"/>
      <c r="U31" s="189"/>
      <c r="V31" s="189"/>
      <c r="W31" s="189"/>
      <c r="X31" s="189"/>
      <c r="Y31" s="189"/>
      <c r="Z31" s="189"/>
      <c r="AA31" s="189"/>
      <c r="AB31" s="189"/>
      <c r="AC31" s="189"/>
      <c r="AD31" s="189"/>
      <c r="AE31" s="189"/>
      <c r="AF31" s="189"/>
      <c r="AG31" s="189"/>
      <c r="AH31" s="189"/>
      <c r="AI31" s="189"/>
      <c r="AJ31" s="189"/>
      <c r="AK31" s="189"/>
      <c r="AL31" s="189"/>
      <c r="AM31" s="189"/>
      <c r="AN31" s="189"/>
      <c r="AO31" s="189"/>
      <c r="AP31" s="189"/>
    </row>
    <row r="32" spans="1:42" s="166" customFormat="1" ht="15">
      <c r="A32" s="11">
        <f t="shared" si="0"/>
        <v>27</v>
      </c>
      <c r="B32" s="12" t="s">
        <v>342</v>
      </c>
      <c r="C32" s="13" t="s">
        <v>673</v>
      </c>
      <c r="D32" s="13"/>
      <c r="E32" s="13"/>
      <c r="F32" s="188"/>
      <c r="G32" s="188"/>
      <c r="H32" s="188"/>
      <c r="I32" s="188"/>
      <c r="J32" s="188"/>
      <c r="K32" s="188"/>
      <c r="L32" s="188"/>
      <c r="M32" s="188"/>
      <c r="N32" s="188"/>
      <c r="O32" s="188"/>
      <c r="P32" s="188"/>
      <c r="Q32" s="188"/>
      <c r="R32" s="188"/>
      <c r="S32" s="188"/>
      <c r="T32" s="188"/>
      <c r="U32" s="189"/>
      <c r="V32" s="189"/>
      <c r="W32" s="189"/>
      <c r="X32" s="189"/>
      <c r="Y32" s="189"/>
      <c r="Z32" s="189"/>
      <c r="AA32" s="189"/>
      <c r="AB32" s="189"/>
      <c r="AC32" s="189"/>
      <c r="AD32" s="189"/>
      <c r="AE32" s="189"/>
      <c r="AF32" s="189"/>
      <c r="AG32" s="189"/>
      <c r="AH32" s="189"/>
      <c r="AI32" s="189"/>
      <c r="AJ32" s="189"/>
      <c r="AK32" s="189"/>
      <c r="AL32" s="189"/>
      <c r="AM32" s="189"/>
      <c r="AN32" s="189"/>
      <c r="AO32" s="189"/>
      <c r="AP32" s="189"/>
    </row>
    <row r="33" spans="1:42" s="166" customFormat="1" ht="15">
      <c r="A33" s="11">
        <f t="shared" si="0"/>
        <v>28</v>
      </c>
      <c r="B33" s="12" t="s">
        <v>343</v>
      </c>
      <c r="C33" s="13" t="s">
        <v>674</v>
      </c>
      <c r="D33" s="13"/>
      <c r="E33" s="13"/>
      <c r="F33" s="188"/>
      <c r="G33" s="188"/>
      <c r="H33" s="188"/>
      <c r="I33" s="188"/>
      <c r="J33" s="188"/>
      <c r="K33" s="188"/>
      <c r="L33" s="188"/>
      <c r="M33" s="188"/>
      <c r="N33" s="188"/>
      <c r="O33" s="188"/>
      <c r="P33" s="188"/>
      <c r="Q33" s="188"/>
      <c r="R33" s="188"/>
      <c r="S33" s="188"/>
      <c r="T33" s="188"/>
      <c r="U33" s="188"/>
      <c r="V33" s="188"/>
      <c r="W33" s="189"/>
      <c r="X33" s="189"/>
      <c r="Y33" s="189"/>
      <c r="Z33" s="189"/>
      <c r="AA33" s="189">
        <v>1495151845.04</v>
      </c>
      <c r="AB33" s="189">
        <v>2708024803.1999998</v>
      </c>
      <c r="AC33" s="189">
        <v>3726159376.0900002</v>
      </c>
      <c r="AD33" s="189"/>
      <c r="AE33" s="189"/>
      <c r="AF33" s="189"/>
      <c r="AG33" s="189"/>
      <c r="AH33" s="189"/>
      <c r="AI33" s="189"/>
      <c r="AJ33" s="189"/>
      <c r="AK33" s="189"/>
      <c r="AL33" s="189"/>
      <c r="AM33" s="189"/>
      <c r="AN33" s="189"/>
      <c r="AO33" s="189"/>
      <c r="AP33" s="189"/>
    </row>
    <row r="34" spans="1:42" s="166" customFormat="1" ht="15">
      <c r="A34" s="11">
        <f t="shared" si="0"/>
        <v>29</v>
      </c>
      <c r="B34" s="12" t="s">
        <v>344</v>
      </c>
      <c r="C34" s="13" t="s">
        <v>675</v>
      </c>
      <c r="D34" s="13"/>
      <c r="E34" s="13"/>
      <c r="F34" s="188"/>
      <c r="G34" s="188"/>
      <c r="H34" s="188"/>
      <c r="I34" s="188"/>
      <c r="J34" s="188"/>
      <c r="K34" s="188"/>
      <c r="L34" s="188"/>
      <c r="M34" s="188"/>
      <c r="N34" s="188"/>
      <c r="O34" s="188"/>
      <c r="P34" s="188"/>
      <c r="Q34" s="188"/>
      <c r="R34" s="188"/>
      <c r="S34" s="188"/>
      <c r="T34" s="188"/>
      <c r="U34" s="188"/>
      <c r="V34" s="188"/>
      <c r="W34" s="188"/>
      <c r="X34" s="188"/>
      <c r="Y34" s="189"/>
      <c r="Z34" s="189"/>
      <c r="AA34" s="189">
        <v>383937312.26999998</v>
      </c>
      <c r="AB34" s="189">
        <v>672273812.00999999</v>
      </c>
      <c r="AC34" s="189">
        <v>908199048.76999998</v>
      </c>
      <c r="AD34" s="189"/>
      <c r="AE34" s="189"/>
      <c r="AF34" s="189"/>
      <c r="AG34" s="189"/>
      <c r="AH34" s="189"/>
      <c r="AI34" s="189"/>
      <c r="AJ34" s="189"/>
      <c r="AK34" s="189"/>
      <c r="AL34" s="189"/>
      <c r="AM34" s="189"/>
      <c r="AN34" s="189"/>
      <c r="AO34" s="189"/>
      <c r="AP34" s="189"/>
    </row>
    <row r="35" spans="1:42" s="166" customFormat="1" ht="15">
      <c r="A35" s="11">
        <f t="shared" si="0"/>
        <v>30</v>
      </c>
      <c r="B35" s="12" t="s">
        <v>345</v>
      </c>
      <c r="C35" s="13" t="s">
        <v>676</v>
      </c>
      <c r="D35" s="13"/>
      <c r="E35" s="13"/>
      <c r="F35" s="188"/>
      <c r="G35" s="188"/>
      <c r="H35" s="188"/>
      <c r="I35" s="188"/>
      <c r="J35" s="188"/>
      <c r="K35" s="188"/>
      <c r="L35" s="188"/>
      <c r="M35" s="188"/>
      <c r="N35" s="188"/>
      <c r="O35" s="188"/>
      <c r="P35" s="188"/>
      <c r="Q35" s="188"/>
      <c r="R35" s="188"/>
      <c r="S35" s="188"/>
      <c r="T35" s="188"/>
      <c r="U35" s="189"/>
      <c r="V35" s="189"/>
      <c r="W35" s="189"/>
      <c r="X35" s="189"/>
      <c r="Y35" s="189"/>
      <c r="Z35" s="189"/>
      <c r="AA35" s="189"/>
      <c r="AB35" s="189"/>
      <c r="AC35" s="189"/>
      <c r="AD35" s="189"/>
      <c r="AE35" s="189"/>
      <c r="AF35" s="189"/>
      <c r="AG35" s="189"/>
      <c r="AH35" s="189"/>
      <c r="AI35" s="189"/>
      <c r="AJ35" s="189"/>
      <c r="AK35" s="189"/>
      <c r="AL35" s="189"/>
      <c r="AM35" s="189"/>
      <c r="AN35" s="189"/>
      <c r="AO35" s="189"/>
      <c r="AP35" s="189"/>
    </row>
    <row r="36" spans="1:42" s="166" customFormat="1" ht="15">
      <c r="A36" s="11">
        <f t="shared" si="0"/>
        <v>31</v>
      </c>
      <c r="B36" s="12" t="s">
        <v>346</v>
      </c>
      <c r="C36" s="13" t="s">
        <v>677</v>
      </c>
      <c r="D36" s="13"/>
      <c r="E36" s="13"/>
      <c r="F36" s="188"/>
      <c r="G36" s="188"/>
      <c r="H36" s="188"/>
      <c r="I36" s="188"/>
      <c r="J36" s="188"/>
      <c r="K36" s="188"/>
      <c r="L36" s="188"/>
      <c r="M36" s="188"/>
      <c r="N36" s="188"/>
      <c r="O36" s="188"/>
      <c r="P36" s="188"/>
      <c r="Q36" s="188"/>
      <c r="R36" s="188"/>
      <c r="S36" s="188"/>
      <c r="T36" s="188"/>
      <c r="U36" s="188"/>
      <c r="V36" s="188"/>
      <c r="W36" s="188"/>
      <c r="X36" s="188"/>
      <c r="Y36" s="188"/>
      <c r="Z36" s="188"/>
      <c r="AA36" s="188">
        <v>52655597.049999997</v>
      </c>
      <c r="AB36" s="188">
        <v>68775369.430000007</v>
      </c>
      <c r="AC36" s="188">
        <v>66924970.68</v>
      </c>
      <c r="AD36" s="188"/>
      <c r="AE36" s="188"/>
      <c r="AF36" s="188"/>
      <c r="AG36" s="188"/>
      <c r="AH36" s="188"/>
      <c r="AI36" s="188"/>
      <c r="AJ36" s="188"/>
      <c r="AK36" s="188"/>
      <c r="AL36" s="188"/>
      <c r="AM36" s="188"/>
      <c r="AN36" s="188"/>
      <c r="AO36" s="188"/>
      <c r="AP36" s="189"/>
    </row>
    <row r="37" spans="1:42" s="166" customFormat="1" ht="15">
      <c r="A37" s="11">
        <f t="shared" si="0"/>
        <v>32</v>
      </c>
      <c r="B37" s="12" t="s">
        <v>347</v>
      </c>
      <c r="C37" s="13" t="s">
        <v>678</v>
      </c>
      <c r="D37" s="13"/>
      <c r="E37" s="13"/>
      <c r="F37" s="188"/>
      <c r="G37" s="188"/>
      <c r="H37" s="188"/>
      <c r="I37" s="188"/>
      <c r="J37" s="188"/>
      <c r="K37" s="188"/>
      <c r="L37" s="188"/>
      <c r="M37" s="188"/>
      <c r="N37" s="188"/>
      <c r="O37" s="188"/>
      <c r="P37" s="188"/>
      <c r="Q37" s="188"/>
      <c r="R37" s="188"/>
      <c r="S37" s="188"/>
      <c r="T37" s="188"/>
      <c r="U37" s="189"/>
      <c r="V37" s="189"/>
      <c r="W37" s="189"/>
      <c r="X37" s="189"/>
      <c r="Y37" s="189"/>
      <c r="Z37" s="189"/>
      <c r="AA37" s="189"/>
      <c r="AB37" s="189"/>
      <c r="AC37" s="189"/>
      <c r="AD37" s="189"/>
      <c r="AE37" s="189"/>
      <c r="AF37" s="189"/>
      <c r="AG37" s="189"/>
      <c r="AH37" s="189"/>
      <c r="AI37" s="189"/>
      <c r="AJ37" s="189"/>
      <c r="AK37" s="189"/>
      <c r="AL37" s="189"/>
      <c r="AM37" s="189"/>
      <c r="AN37" s="189"/>
      <c r="AO37" s="189"/>
      <c r="AP37" s="189"/>
    </row>
    <row r="38" spans="1:42" s="166" customFormat="1" ht="15">
      <c r="A38" s="11">
        <f t="shared" si="0"/>
        <v>33</v>
      </c>
      <c r="B38" s="12" t="s">
        <v>348</v>
      </c>
      <c r="C38" s="13" t="s">
        <v>662</v>
      </c>
      <c r="D38" s="13"/>
      <c r="E38" s="13"/>
      <c r="F38" s="188"/>
      <c r="G38" s="188"/>
      <c r="H38" s="188"/>
      <c r="I38" s="188"/>
      <c r="J38" s="188"/>
      <c r="K38" s="188"/>
      <c r="L38" s="188"/>
      <c r="M38" s="188"/>
      <c r="N38" s="188"/>
      <c r="O38" s="188"/>
      <c r="P38" s="188"/>
      <c r="Q38" s="188"/>
      <c r="R38" s="188"/>
      <c r="S38" s="188"/>
      <c r="T38" s="188"/>
      <c r="U38" s="189"/>
      <c r="V38" s="189"/>
      <c r="W38" s="189"/>
      <c r="X38" s="189"/>
      <c r="Y38" s="189"/>
      <c r="Z38" s="189"/>
      <c r="AA38" s="189"/>
      <c r="AB38" s="189"/>
      <c r="AC38" s="189"/>
      <c r="AD38" s="189"/>
      <c r="AE38" s="189"/>
      <c r="AF38" s="189"/>
      <c r="AG38" s="189"/>
      <c r="AH38" s="189"/>
      <c r="AI38" s="189"/>
      <c r="AJ38" s="189"/>
      <c r="AK38" s="189"/>
      <c r="AL38" s="189"/>
      <c r="AM38" s="189"/>
      <c r="AN38" s="189"/>
      <c r="AO38" s="189"/>
      <c r="AP38" s="189"/>
    </row>
    <row r="39" spans="1:42" s="166" customFormat="1" ht="15">
      <c r="A39" s="11">
        <f t="shared" ref="A39:A68" si="1">A38+1</f>
        <v>34</v>
      </c>
      <c r="B39" s="12" t="s">
        <v>590</v>
      </c>
      <c r="C39" s="13" t="s">
        <v>146</v>
      </c>
      <c r="D39" s="13"/>
      <c r="E39" s="13"/>
      <c r="F39" s="188"/>
      <c r="G39" s="188"/>
      <c r="H39" s="188"/>
      <c r="I39" s="188"/>
      <c r="J39" s="188"/>
      <c r="K39" s="188"/>
      <c r="L39" s="188"/>
      <c r="M39" s="188"/>
      <c r="N39" s="188"/>
      <c r="O39" s="188"/>
      <c r="P39" s="188"/>
      <c r="Q39" s="188"/>
      <c r="R39" s="188"/>
      <c r="S39" s="188"/>
      <c r="T39" s="188"/>
      <c r="U39" s="189"/>
      <c r="V39" s="189"/>
      <c r="W39" s="189"/>
      <c r="X39" s="189"/>
      <c r="Y39" s="189"/>
      <c r="Z39" s="189"/>
      <c r="AA39" s="189">
        <v>1111214532.77</v>
      </c>
      <c r="AB39" s="189">
        <v>2035750991.1900001</v>
      </c>
      <c r="AC39" s="189">
        <v>2817960327.3200002</v>
      </c>
      <c r="AD39" s="189"/>
      <c r="AE39" s="189"/>
      <c r="AF39" s="189"/>
      <c r="AG39" s="189"/>
      <c r="AH39" s="189"/>
      <c r="AI39" s="189"/>
      <c r="AJ39" s="189"/>
      <c r="AK39" s="189"/>
      <c r="AL39" s="189"/>
      <c r="AM39" s="189"/>
      <c r="AN39" s="189"/>
      <c r="AO39" s="189"/>
      <c r="AP39" s="189"/>
    </row>
    <row r="40" spans="1:42" s="166" customFormat="1" ht="15">
      <c r="A40" s="11">
        <f t="shared" si="1"/>
        <v>35</v>
      </c>
      <c r="B40" s="12" t="s">
        <v>591</v>
      </c>
      <c r="C40" s="13" t="s">
        <v>663</v>
      </c>
      <c r="D40" s="13"/>
      <c r="E40" s="13"/>
      <c r="F40" s="188"/>
      <c r="G40" s="188"/>
      <c r="H40" s="188"/>
      <c r="I40" s="188"/>
      <c r="J40" s="188"/>
      <c r="K40" s="188"/>
      <c r="L40" s="188"/>
      <c r="M40" s="188"/>
      <c r="N40" s="188"/>
      <c r="O40" s="188"/>
      <c r="P40" s="188"/>
      <c r="Q40" s="188"/>
      <c r="R40" s="188"/>
      <c r="S40" s="188"/>
      <c r="T40" s="188"/>
      <c r="U40" s="189"/>
      <c r="V40" s="189"/>
      <c r="W40" s="189"/>
      <c r="X40" s="189"/>
      <c r="Y40" s="189"/>
      <c r="Z40" s="189"/>
      <c r="AA40" s="189">
        <v>1058558935.72</v>
      </c>
      <c r="AB40" s="189">
        <v>1966975621.76</v>
      </c>
      <c r="AC40" s="189">
        <v>2751035356.6399999</v>
      </c>
      <c r="AD40" s="189"/>
      <c r="AE40" s="189"/>
      <c r="AF40" s="189"/>
      <c r="AG40" s="189"/>
      <c r="AH40" s="189"/>
      <c r="AI40" s="189"/>
      <c r="AJ40" s="189"/>
      <c r="AK40" s="189"/>
      <c r="AL40" s="189"/>
      <c r="AM40" s="189"/>
      <c r="AN40" s="189"/>
      <c r="AO40" s="189"/>
      <c r="AP40" s="189"/>
    </row>
    <row r="41" spans="1:42" s="166" customFormat="1" ht="15">
      <c r="A41" s="11">
        <f t="shared" si="1"/>
        <v>36</v>
      </c>
      <c r="B41" s="12" t="s">
        <v>412</v>
      </c>
      <c r="C41" s="13" t="s">
        <v>664</v>
      </c>
      <c r="D41" s="13"/>
      <c r="E41" s="13"/>
      <c r="F41" s="188"/>
      <c r="G41" s="188"/>
      <c r="H41" s="188"/>
      <c r="I41" s="188"/>
      <c r="J41" s="188"/>
      <c r="K41" s="188"/>
      <c r="L41" s="188"/>
      <c r="M41" s="188"/>
      <c r="N41" s="188"/>
      <c r="O41" s="188"/>
      <c r="P41" s="188"/>
      <c r="Q41" s="188"/>
      <c r="R41" s="188"/>
      <c r="S41" s="188"/>
      <c r="T41" s="188"/>
      <c r="U41" s="189"/>
      <c r="V41" s="189"/>
      <c r="W41" s="189"/>
      <c r="X41" s="189"/>
      <c r="Y41" s="189"/>
      <c r="Z41" s="189"/>
      <c r="AA41" s="189"/>
      <c r="AB41" s="189"/>
      <c r="AC41" s="189"/>
      <c r="AD41" s="189"/>
      <c r="AE41" s="189"/>
      <c r="AF41" s="189"/>
      <c r="AG41" s="189"/>
      <c r="AH41" s="189"/>
      <c r="AI41" s="189"/>
      <c r="AJ41" s="189"/>
      <c r="AK41" s="189"/>
      <c r="AL41" s="189"/>
      <c r="AM41" s="189"/>
      <c r="AN41" s="189"/>
      <c r="AO41" s="189"/>
      <c r="AP41" s="189"/>
    </row>
    <row r="42" spans="1:42" s="166" customFormat="1" ht="15">
      <c r="A42" s="11">
        <f t="shared" si="1"/>
        <v>37</v>
      </c>
      <c r="B42" s="12" t="s">
        <v>592</v>
      </c>
      <c r="C42" s="13" t="s">
        <v>376</v>
      </c>
      <c r="D42" s="13"/>
      <c r="E42" s="13"/>
      <c r="F42" s="188"/>
      <c r="G42" s="188"/>
      <c r="H42" s="188"/>
      <c r="I42" s="188"/>
      <c r="J42" s="188"/>
      <c r="K42" s="188"/>
      <c r="L42" s="188"/>
      <c r="M42" s="188"/>
      <c r="N42" s="188"/>
      <c r="O42" s="188"/>
      <c r="P42" s="188"/>
      <c r="Q42" s="188"/>
      <c r="R42" s="188"/>
      <c r="S42" s="188"/>
      <c r="T42" s="188"/>
      <c r="U42" s="189"/>
      <c r="V42" s="189"/>
      <c r="W42" s="189"/>
      <c r="X42" s="189"/>
      <c r="Y42" s="189"/>
      <c r="Z42" s="189"/>
      <c r="AA42" s="189">
        <v>0.72299999999999998</v>
      </c>
      <c r="AB42" s="189">
        <v>1.343</v>
      </c>
      <c r="AC42" s="189">
        <v>1.8779999999999999</v>
      </c>
      <c r="AD42" s="189"/>
      <c r="AE42" s="189"/>
      <c r="AF42" s="189"/>
      <c r="AG42" s="189"/>
      <c r="AH42" s="189"/>
      <c r="AI42" s="189"/>
      <c r="AJ42" s="189"/>
      <c r="AK42" s="189"/>
      <c r="AL42" s="189"/>
      <c r="AM42" s="189"/>
      <c r="AN42" s="189"/>
      <c r="AO42" s="189"/>
      <c r="AP42" s="189"/>
    </row>
    <row r="43" spans="1:42" s="166" customFormat="1" ht="15">
      <c r="A43" s="11">
        <f t="shared" si="1"/>
        <v>38</v>
      </c>
      <c r="B43" s="12" t="s">
        <v>198</v>
      </c>
      <c r="C43" s="13" t="s">
        <v>377</v>
      </c>
      <c r="D43" s="13"/>
      <c r="E43" s="13"/>
      <c r="F43" s="188"/>
      <c r="G43" s="188"/>
      <c r="H43" s="188"/>
      <c r="I43" s="188"/>
      <c r="J43" s="188"/>
      <c r="K43" s="188"/>
      <c r="L43" s="188"/>
      <c r="M43" s="188"/>
      <c r="N43" s="188"/>
      <c r="O43" s="188"/>
      <c r="P43" s="188"/>
      <c r="Q43" s="188"/>
      <c r="R43" s="188"/>
      <c r="S43" s="188"/>
      <c r="T43" s="188"/>
      <c r="U43" s="189"/>
      <c r="V43" s="189"/>
      <c r="W43" s="189"/>
      <c r="X43" s="189"/>
      <c r="Y43" s="189"/>
      <c r="Z43" s="189"/>
      <c r="AA43" s="189">
        <v>0.72299999999999998</v>
      </c>
      <c r="AB43" s="189">
        <v>1.343</v>
      </c>
      <c r="AC43" s="189">
        <v>1.8779999999999999</v>
      </c>
      <c r="AD43" s="189"/>
      <c r="AE43" s="189"/>
      <c r="AF43" s="189"/>
      <c r="AG43" s="189"/>
      <c r="AH43" s="189"/>
      <c r="AI43" s="189"/>
      <c r="AJ43" s="189"/>
      <c r="AK43" s="189"/>
      <c r="AL43" s="189"/>
      <c r="AM43" s="189"/>
      <c r="AN43" s="189"/>
      <c r="AO43" s="189"/>
      <c r="AP43" s="189"/>
    </row>
    <row r="44" spans="1:42" s="166" customFormat="1" ht="15">
      <c r="A44" s="11">
        <f t="shared" si="1"/>
        <v>39</v>
      </c>
      <c r="B44" s="12" t="s">
        <v>378</v>
      </c>
      <c r="C44" s="13" t="s">
        <v>199</v>
      </c>
      <c r="D44" s="13"/>
      <c r="E44" s="13"/>
      <c r="F44" s="188"/>
      <c r="G44" s="188"/>
      <c r="H44" s="188"/>
      <c r="I44" s="188"/>
      <c r="J44" s="188"/>
      <c r="K44" s="188"/>
      <c r="L44" s="188"/>
      <c r="M44" s="188"/>
      <c r="N44" s="188"/>
      <c r="O44" s="188"/>
      <c r="P44" s="188"/>
      <c r="Q44" s="188"/>
      <c r="R44" s="188"/>
      <c r="S44" s="188"/>
      <c r="T44" s="188"/>
      <c r="U44" s="189"/>
      <c r="V44" s="189"/>
      <c r="W44" s="189"/>
      <c r="X44" s="189"/>
      <c r="Y44" s="189"/>
      <c r="Z44" s="189"/>
      <c r="AA44" s="189"/>
      <c r="AB44" s="189"/>
      <c r="AC44" s="189"/>
      <c r="AD44" s="189"/>
      <c r="AE44" s="189"/>
      <c r="AF44" s="189"/>
      <c r="AG44" s="189"/>
      <c r="AH44" s="189"/>
      <c r="AI44" s="189"/>
      <c r="AJ44" s="189"/>
      <c r="AK44" s="189"/>
      <c r="AL44" s="189"/>
      <c r="AM44" s="189"/>
      <c r="AN44" s="189"/>
      <c r="AO44" s="189"/>
      <c r="AP44" s="189"/>
    </row>
    <row r="45" spans="1:42" s="166" customFormat="1" ht="15">
      <c r="A45" s="11">
        <f t="shared" si="1"/>
        <v>40</v>
      </c>
      <c r="B45" s="12" t="s">
        <v>200</v>
      </c>
      <c r="C45" s="13" t="s">
        <v>679</v>
      </c>
      <c r="D45" s="13"/>
      <c r="E45" s="13"/>
      <c r="F45" s="188"/>
      <c r="G45" s="188"/>
      <c r="H45" s="188"/>
      <c r="I45" s="188"/>
      <c r="J45" s="188"/>
      <c r="K45" s="188"/>
      <c r="L45" s="188"/>
      <c r="M45" s="188"/>
      <c r="N45" s="188"/>
      <c r="O45" s="188"/>
      <c r="P45" s="188"/>
      <c r="Q45" s="188"/>
      <c r="R45" s="188"/>
      <c r="S45" s="188"/>
      <c r="T45" s="188"/>
      <c r="U45" s="189"/>
      <c r="V45" s="189"/>
      <c r="W45" s="189"/>
      <c r="X45" s="189"/>
      <c r="Y45" s="189"/>
      <c r="Z45" s="189"/>
      <c r="AA45" s="189"/>
      <c r="AB45" s="189"/>
      <c r="AC45" s="189"/>
      <c r="AD45" s="189"/>
      <c r="AE45" s="189"/>
      <c r="AF45" s="189"/>
      <c r="AG45" s="189"/>
      <c r="AH45" s="189"/>
      <c r="AI45" s="189"/>
      <c r="AJ45" s="189"/>
      <c r="AK45" s="189"/>
      <c r="AL45" s="189"/>
      <c r="AM45" s="189"/>
      <c r="AN45" s="189"/>
      <c r="AO45" s="189"/>
      <c r="AP45" s="189"/>
    </row>
    <row r="46" spans="1:42" s="166" customFormat="1" ht="15">
      <c r="A46" s="11">
        <f t="shared" si="1"/>
        <v>41</v>
      </c>
      <c r="B46" s="12" t="s">
        <v>381</v>
      </c>
      <c r="C46" s="13" t="s">
        <v>380</v>
      </c>
      <c r="D46" s="13"/>
      <c r="E46" s="13"/>
      <c r="F46" s="188"/>
      <c r="G46" s="188"/>
      <c r="H46" s="188"/>
      <c r="I46" s="188"/>
      <c r="J46" s="188"/>
      <c r="K46" s="188"/>
      <c r="L46" s="188"/>
      <c r="M46" s="188"/>
      <c r="N46" s="188"/>
      <c r="O46" s="188"/>
      <c r="P46" s="188"/>
      <c r="Q46" s="188"/>
      <c r="R46" s="188"/>
      <c r="S46" s="188"/>
      <c r="T46" s="188"/>
      <c r="U46" s="189"/>
      <c r="V46" s="189"/>
      <c r="W46" s="189"/>
      <c r="X46" s="189"/>
      <c r="Y46" s="189"/>
      <c r="Z46" s="189"/>
      <c r="AA46" s="189"/>
      <c r="AB46" s="189"/>
      <c r="AC46" s="189"/>
      <c r="AD46" s="189"/>
      <c r="AE46" s="189"/>
      <c r="AF46" s="189"/>
      <c r="AG46" s="189"/>
      <c r="AH46" s="189"/>
      <c r="AI46" s="189"/>
      <c r="AJ46" s="189"/>
      <c r="AK46" s="189"/>
      <c r="AL46" s="189"/>
      <c r="AM46" s="189"/>
      <c r="AN46" s="189"/>
      <c r="AO46" s="189"/>
      <c r="AP46" s="189"/>
    </row>
    <row r="47" spans="1:42" s="166" customFormat="1" ht="15">
      <c r="A47" s="11">
        <f t="shared" si="1"/>
        <v>42</v>
      </c>
      <c r="B47" s="12" t="s">
        <v>379</v>
      </c>
      <c r="C47" s="13" t="s">
        <v>680</v>
      </c>
      <c r="D47" s="13"/>
      <c r="E47" s="13"/>
      <c r="F47" s="188"/>
      <c r="G47" s="188"/>
      <c r="H47" s="188"/>
      <c r="I47" s="188"/>
      <c r="J47" s="188"/>
      <c r="K47" s="188"/>
      <c r="L47" s="188"/>
      <c r="M47" s="188"/>
      <c r="N47" s="188"/>
      <c r="O47" s="188"/>
      <c r="P47" s="188"/>
      <c r="Q47" s="188"/>
      <c r="R47" s="188"/>
      <c r="S47" s="188"/>
      <c r="T47" s="188"/>
      <c r="U47" s="189"/>
      <c r="V47" s="189"/>
      <c r="W47" s="189"/>
      <c r="X47" s="189"/>
      <c r="Y47" s="189"/>
      <c r="Z47" s="189"/>
      <c r="AA47" s="189"/>
      <c r="AB47" s="189"/>
      <c r="AC47" s="189"/>
      <c r="AD47" s="189"/>
      <c r="AE47" s="189"/>
      <c r="AF47" s="189"/>
      <c r="AG47" s="189"/>
      <c r="AH47" s="189"/>
      <c r="AI47" s="189"/>
      <c r="AJ47" s="189"/>
      <c r="AK47" s="189"/>
      <c r="AL47" s="189"/>
      <c r="AM47" s="189"/>
      <c r="AN47" s="189"/>
      <c r="AO47" s="189"/>
      <c r="AP47" s="189"/>
    </row>
    <row r="48" spans="1:42" s="166" customFormat="1" ht="15">
      <c r="A48" s="11">
        <f t="shared" si="1"/>
        <v>43</v>
      </c>
      <c r="B48" s="12" t="s">
        <v>383</v>
      </c>
      <c r="C48" s="13" t="s">
        <v>382</v>
      </c>
      <c r="D48" s="13"/>
      <c r="E48" s="13"/>
      <c r="F48" s="188"/>
      <c r="G48" s="188"/>
      <c r="H48" s="188"/>
      <c r="I48" s="188"/>
      <c r="J48" s="188"/>
      <c r="K48" s="188"/>
      <c r="L48" s="188"/>
      <c r="M48" s="188"/>
      <c r="N48" s="188"/>
      <c r="O48" s="188"/>
      <c r="P48" s="188"/>
      <c r="Q48" s="188"/>
      <c r="R48" s="188"/>
      <c r="S48" s="188"/>
      <c r="T48" s="188"/>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row>
    <row r="49" spans="1:42" s="166" customFormat="1" ht="15">
      <c r="A49" s="11">
        <f t="shared" si="1"/>
        <v>44</v>
      </c>
      <c r="B49" s="12" t="s">
        <v>274</v>
      </c>
      <c r="C49" s="13" t="s">
        <v>681</v>
      </c>
      <c r="D49" s="13"/>
      <c r="E49" s="13"/>
      <c r="F49" s="188"/>
      <c r="G49" s="188"/>
      <c r="H49" s="188"/>
      <c r="I49" s="188"/>
      <c r="J49" s="188"/>
      <c r="K49" s="188"/>
      <c r="L49" s="188"/>
      <c r="M49" s="188"/>
      <c r="N49" s="188"/>
      <c r="O49" s="188"/>
      <c r="P49" s="188"/>
      <c r="Q49" s="188"/>
      <c r="R49" s="188"/>
      <c r="S49" s="188"/>
      <c r="T49" s="188"/>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row>
    <row r="50" spans="1:42" s="166" customFormat="1" ht="15">
      <c r="A50" s="11">
        <f t="shared" si="1"/>
        <v>45</v>
      </c>
      <c r="B50" s="12" t="s">
        <v>276</v>
      </c>
      <c r="C50" s="13" t="s">
        <v>275</v>
      </c>
      <c r="D50" s="13"/>
      <c r="E50" s="13"/>
      <c r="F50" s="188"/>
      <c r="G50" s="188"/>
      <c r="H50" s="188"/>
      <c r="I50" s="188"/>
      <c r="J50" s="188"/>
      <c r="K50" s="188"/>
      <c r="L50" s="188"/>
      <c r="M50" s="188"/>
      <c r="N50" s="188"/>
      <c r="O50" s="188"/>
      <c r="P50" s="188"/>
      <c r="Q50" s="188"/>
      <c r="R50" s="188"/>
      <c r="S50" s="188"/>
      <c r="T50" s="188"/>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row>
    <row r="51" spans="1:42" s="166" customFormat="1" ht="15">
      <c r="A51" s="11">
        <f t="shared" si="1"/>
        <v>46</v>
      </c>
      <c r="B51" s="12" t="s">
        <v>277</v>
      </c>
      <c r="C51" s="13" t="s">
        <v>278</v>
      </c>
      <c r="D51" s="13"/>
      <c r="E51" s="13"/>
      <c r="F51" s="188"/>
      <c r="G51" s="188"/>
      <c r="H51" s="188"/>
      <c r="I51" s="188"/>
      <c r="J51" s="188"/>
      <c r="K51" s="188"/>
      <c r="L51" s="188"/>
      <c r="M51" s="188"/>
      <c r="N51" s="188"/>
      <c r="O51" s="188"/>
      <c r="P51" s="188"/>
      <c r="Q51" s="188"/>
      <c r="R51" s="188"/>
      <c r="S51" s="188"/>
      <c r="T51" s="188"/>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row>
    <row r="52" spans="1:42" s="166" customFormat="1" ht="15">
      <c r="A52" s="11">
        <f t="shared" si="1"/>
        <v>47</v>
      </c>
      <c r="B52" s="12" t="s">
        <v>279</v>
      </c>
      <c r="C52" s="13" t="s">
        <v>646</v>
      </c>
      <c r="D52" s="13"/>
      <c r="E52" s="13"/>
      <c r="F52" s="188"/>
      <c r="G52" s="188"/>
      <c r="H52" s="188"/>
      <c r="I52" s="188"/>
      <c r="J52" s="188"/>
      <c r="K52" s="188"/>
      <c r="L52" s="188"/>
      <c r="M52" s="188"/>
      <c r="N52" s="188"/>
      <c r="O52" s="188"/>
      <c r="P52" s="188"/>
      <c r="Q52" s="188"/>
      <c r="R52" s="188"/>
      <c r="S52" s="188"/>
      <c r="T52" s="188"/>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row>
    <row r="53" spans="1:42" s="166" customFormat="1" ht="15">
      <c r="A53" s="11">
        <f t="shared" si="1"/>
        <v>48</v>
      </c>
      <c r="B53" s="12" t="s">
        <v>840</v>
      </c>
      <c r="C53" s="13" t="s">
        <v>23</v>
      </c>
      <c r="D53" s="13"/>
      <c r="E53" s="13"/>
      <c r="F53" s="188"/>
      <c r="G53" s="188"/>
      <c r="H53" s="188"/>
      <c r="I53" s="188"/>
      <c r="J53" s="188"/>
      <c r="K53" s="188"/>
      <c r="L53" s="188"/>
      <c r="M53" s="188"/>
      <c r="N53" s="188"/>
      <c r="O53" s="188"/>
      <c r="P53" s="188"/>
      <c r="Q53" s="188"/>
      <c r="R53" s="188"/>
      <c r="S53" s="188"/>
      <c r="T53" s="188"/>
      <c r="U53" s="189"/>
      <c r="V53" s="189"/>
      <c r="W53" s="189"/>
      <c r="X53" s="189"/>
      <c r="Y53" s="189"/>
      <c r="Z53" s="189"/>
      <c r="AA53" s="189"/>
      <c r="AB53" s="189">
        <v>2553012050.5500002</v>
      </c>
      <c r="AC53" s="189"/>
      <c r="AD53" s="189"/>
      <c r="AE53" s="189"/>
      <c r="AF53" s="189"/>
      <c r="AG53" s="189"/>
      <c r="AH53" s="189"/>
      <c r="AI53" s="189"/>
      <c r="AJ53" s="189"/>
      <c r="AK53" s="189"/>
      <c r="AL53" s="189"/>
      <c r="AM53" s="189"/>
      <c r="AN53" s="189"/>
      <c r="AO53" s="189"/>
      <c r="AP53" s="189"/>
    </row>
    <row r="54" spans="1:42" s="166" customFormat="1" ht="15">
      <c r="A54" s="11">
        <f t="shared" si="1"/>
        <v>49</v>
      </c>
      <c r="B54" s="12" t="s">
        <v>280</v>
      </c>
      <c r="C54" s="13" t="s">
        <v>647</v>
      </c>
      <c r="D54" s="13"/>
      <c r="E54" s="13"/>
      <c r="F54" s="188"/>
      <c r="G54" s="188"/>
      <c r="H54" s="188"/>
      <c r="I54" s="188"/>
      <c r="J54" s="188"/>
      <c r="K54" s="188"/>
      <c r="L54" s="188"/>
      <c r="M54" s="188"/>
      <c r="N54" s="188"/>
      <c r="O54" s="188"/>
      <c r="P54" s="188"/>
      <c r="Q54" s="188"/>
      <c r="R54" s="188"/>
      <c r="S54" s="188"/>
      <c r="T54" s="188"/>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row>
    <row r="55" spans="1:42" s="166" customFormat="1" ht="15">
      <c r="A55" s="11">
        <f t="shared" si="1"/>
        <v>50</v>
      </c>
      <c r="B55" s="12" t="s">
        <v>281</v>
      </c>
      <c r="C55" s="13" t="s">
        <v>648</v>
      </c>
      <c r="D55" s="13"/>
      <c r="E55" s="13"/>
      <c r="F55" s="188"/>
      <c r="G55" s="188"/>
      <c r="H55" s="188"/>
      <c r="I55" s="188"/>
      <c r="J55" s="188"/>
      <c r="K55" s="188"/>
      <c r="L55" s="188"/>
      <c r="M55" s="188"/>
      <c r="N55" s="188"/>
      <c r="O55" s="188"/>
      <c r="P55" s="188"/>
      <c r="Q55" s="188"/>
      <c r="R55" s="188"/>
      <c r="S55" s="188"/>
      <c r="T55" s="188"/>
      <c r="U55" s="189"/>
      <c r="V55" s="189"/>
      <c r="W55" s="189"/>
      <c r="X55" s="189"/>
      <c r="Y55" s="189"/>
      <c r="Z55" s="189"/>
      <c r="AA55" s="189"/>
      <c r="AB55" s="189"/>
      <c r="AC55" s="189"/>
      <c r="AD55" s="189"/>
      <c r="AE55" s="189"/>
      <c r="AF55" s="189"/>
      <c r="AG55" s="189"/>
      <c r="AH55" s="189"/>
      <c r="AI55" s="189"/>
      <c r="AJ55" s="189"/>
      <c r="AK55" s="189"/>
      <c r="AL55" s="189"/>
      <c r="AM55" s="189"/>
      <c r="AN55" s="189"/>
      <c r="AO55" s="189"/>
      <c r="AP55" s="189"/>
    </row>
    <row r="56" spans="1:42" s="166" customFormat="1" ht="15">
      <c r="A56" s="11">
        <f t="shared" si="1"/>
        <v>51</v>
      </c>
      <c r="B56" s="12" t="s">
        <v>824</v>
      </c>
      <c r="C56" s="13" t="s">
        <v>822</v>
      </c>
      <c r="D56" s="13"/>
      <c r="E56" s="13"/>
      <c r="F56" s="188"/>
      <c r="G56" s="188"/>
      <c r="H56" s="188"/>
      <c r="I56" s="188"/>
      <c r="J56" s="188"/>
      <c r="K56" s="188"/>
      <c r="L56" s="188"/>
      <c r="M56" s="188"/>
      <c r="N56" s="188"/>
      <c r="O56" s="188"/>
      <c r="P56" s="188"/>
      <c r="Q56" s="188"/>
      <c r="R56" s="188"/>
      <c r="S56" s="188"/>
      <c r="T56" s="188"/>
      <c r="U56" s="189"/>
      <c r="V56" s="189"/>
      <c r="W56" s="189"/>
      <c r="X56" s="189"/>
      <c r="Y56" s="189"/>
      <c r="Z56" s="189"/>
      <c r="AA56" s="189">
        <v>1111214532.77</v>
      </c>
      <c r="AB56" s="189">
        <v>2035750991.1900001</v>
      </c>
      <c r="AC56" s="189">
        <v>2817960327.3200002</v>
      </c>
      <c r="AD56" s="189"/>
      <c r="AE56" s="189"/>
      <c r="AF56" s="189"/>
      <c r="AG56" s="189"/>
      <c r="AH56" s="189"/>
      <c r="AI56" s="189"/>
      <c r="AJ56" s="189"/>
      <c r="AK56" s="189"/>
      <c r="AL56" s="189"/>
      <c r="AM56" s="189"/>
      <c r="AN56" s="189"/>
      <c r="AO56" s="189"/>
      <c r="AP56" s="189"/>
    </row>
    <row r="57" spans="1:42" s="166" customFormat="1" ht="15">
      <c r="A57" s="11">
        <f t="shared" si="1"/>
        <v>52</v>
      </c>
      <c r="B57" s="12" t="s">
        <v>825</v>
      </c>
      <c r="C57" s="13" t="s">
        <v>823</v>
      </c>
      <c r="D57" s="13"/>
      <c r="E57" s="13"/>
      <c r="F57" s="188"/>
      <c r="G57" s="188"/>
      <c r="H57" s="188"/>
      <c r="I57" s="188"/>
      <c r="J57" s="188"/>
      <c r="K57" s="188"/>
      <c r="L57" s="188"/>
      <c r="M57" s="188"/>
      <c r="N57" s="188"/>
      <c r="O57" s="188"/>
      <c r="P57" s="188"/>
      <c r="Q57" s="188"/>
      <c r="R57" s="188"/>
      <c r="S57" s="188"/>
      <c r="T57" s="188"/>
      <c r="U57" s="189"/>
      <c r="V57" s="189"/>
      <c r="W57" s="189"/>
      <c r="X57" s="189"/>
      <c r="Y57" s="189"/>
      <c r="Z57" s="189"/>
      <c r="AA57" s="189"/>
      <c r="AB57" s="189"/>
      <c r="AC57" s="189"/>
      <c r="AD57" s="189"/>
      <c r="AE57" s="189"/>
      <c r="AF57" s="189"/>
      <c r="AG57" s="189"/>
      <c r="AH57" s="189"/>
      <c r="AI57" s="189"/>
      <c r="AJ57" s="189"/>
      <c r="AK57" s="189"/>
      <c r="AL57" s="189"/>
      <c r="AM57" s="189"/>
      <c r="AN57" s="189"/>
      <c r="AO57" s="189"/>
      <c r="AP57" s="189"/>
    </row>
    <row r="58" spans="1:42" s="166" customFormat="1" ht="15">
      <c r="A58" s="11">
        <f t="shared" si="1"/>
        <v>53</v>
      </c>
      <c r="B58" s="12" t="s">
        <v>282</v>
      </c>
      <c r="C58" s="13" t="s">
        <v>418</v>
      </c>
      <c r="D58" s="13"/>
      <c r="E58" s="13"/>
      <c r="F58" s="188"/>
      <c r="G58" s="188"/>
      <c r="H58" s="188"/>
      <c r="I58" s="188"/>
      <c r="J58" s="188"/>
      <c r="K58" s="188"/>
      <c r="L58" s="188"/>
      <c r="M58" s="188"/>
      <c r="N58" s="188"/>
      <c r="O58" s="188"/>
      <c r="P58" s="188"/>
      <c r="Q58" s="188"/>
      <c r="R58" s="188"/>
      <c r="S58" s="188"/>
      <c r="T58" s="188"/>
      <c r="U58" s="189"/>
      <c r="V58" s="189"/>
      <c r="W58" s="189"/>
      <c r="X58" s="189"/>
      <c r="Y58" s="189"/>
      <c r="Z58" s="189"/>
      <c r="AA58" s="189"/>
      <c r="AB58" s="189"/>
      <c r="AC58" s="189"/>
      <c r="AD58" s="189"/>
      <c r="AE58" s="189"/>
      <c r="AF58" s="189"/>
      <c r="AG58" s="189"/>
      <c r="AH58" s="189"/>
      <c r="AI58" s="189"/>
      <c r="AJ58" s="189"/>
      <c r="AK58" s="189"/>
      <c r="AL58" s="189"/>
      <c r="AM58" s="189"/>
      <c r="AN58" s="189"/>
      <c r="AO58" s="189"/>
      <c r="AP58" s="189"/>
    </row>
    <row r="59" spans="1:42" s="166" customFormat="1" ht="15">
      <c r="A59" s="11">
        <f t="shared" si="1"/>
        <v>54</v>
      </c>
      <c r="B59" s="12" t="s">
        <v>283</v>
      </c>
      <c r="C59" s="13" t="s">
        <v>649</v>
      </c>
      <c r="D59" s="13"/>
      <c r="E59" s="13"/>
      <c r="F59" s="188"/>
      <c r="G59" s="188"/>
      <c r="H59" s="188"/>
      <c r="I59" s="188"/>
      <c r="J59" s="188"/>
      <c r="K59" s="188"/>
      <c r="L59" s="188"/>
      <c r="M59" s="188"/>
      <c r="N59" s="188"/>
      <c r="O59" s="188"/>
      <c r="P59" s="188"/>
      <c r="Q59" s="188"/>
      <c r="R59" s="188"/>
      <c r="S59" s="188"/>
      <c r="T59" s="188"/>
      <c r="U59" s="189"/>
      <c r="V59" s="189"/>
      <c r="W59" s="189"/>
      <c r="X59" s="189"/>
      <c r="Y59" s="189"/>
      <c r="Z59" s="189"/>
      <c r="AA59" s="189"/>
      <c r="AB59" s="189"/>
      <c r="AC59" s="189"/>
      <c r="AD59" s="189"/>
      <c r="AE59" s="189"/>
      <c r="AF59" s="189"/>
      <c r="AG59" s="189"/>
      <c r="AH59" s="189"/>
      <c r="AI59" s="189"/>
      <c r="AJ59" s="189"/>
      <c r="AK59" s="189"/>
      <c r="AL59" s="189"/>
      <c r="AM59" s="189"/>
      <c r="AN59" s="189"/>
      <c r="AO59" s="189"/>
      <c r="AP59" s="189"/>
    </row>
    <row r="60" spans="1:42" s="166" customFormat="1" ht="15">
      <c r="A60" s="11">
        <f t="shared" si="1"/>
        <v>55</v>
      </c>
      <c r="B60" s="12" t="s">
        <v>284</v>
      </c>
      <c r="C60" s="13" t="s">
        <v>650</v>
      </c>
      <c r="D60" s="13"/>
      <c r="E60" s="13"/>
      <c r="F60" s="188"/>
      <c r="G60" s="188"/>
      <c r="H60" s="188"/>
      <c r="I60" s="188"/>
      <c r="J60" s="188"/>
      <c r="K60" s="188"/>
      <c r="L60" s="188"/>
      <c r="M60" s="188"/>
      <c r="N60" s="188"/>
      <c r="O60" s="188"/>
      <c r="P60" s="188"/>
      <c r="Q60" s="188"/>
      <c r="R60" s="188"/>
      <c r="S60" s="188"/>
      <c r="T60" s="188"/>
      <c r="U60" s="189"/>
      <c r="V60" s="189"/>
      <c r="W60" s="189"/>
      <c r="X60" s="189"/>
      <c r="Y60" s="189"/>
      <c r="Z60" s="189"/>
      <c r="AA60" s="189"/>
      <c r="AB60" s="189"/>
      <c r="AC60" s="189"/>
      <c r="AD60" s="189"/>
      <c r="AE60" s="189"/>
      <c r="AF60" s="189"/>
      <c r="AG60" s="189"/>
      <c r="AH60" s="189"/>
      <c r="AI60" s="189"/>
      <c r="AJ60" s="189"/>
      <c r="AK60" s="189"/>
      <c r="AL60" s="189"/>
      <c r="AM60" s="189"/>
      <c r="AN60" s="189"/>
      <c r="AO60" s="189"/>
      <c r="AP60" s="189"/>
    </row>
    <row r="61" spans="1:42" s="166" customFormat="1" ht="15">
      <c r="A61" s="11">
        <f t="shared" si="1"/>
        <v>56</v>
      </c>
      <c r="B61" s="12" t="s">
        <v>285</v>
      </c>
      <c r="C61" s="13" t="s">
        <v>651</v>
      </c>
      <c r="D61" s="13"/>
      <c r="E61" s="13"/>
      <c r="F61" s="188"/>
      <c r="G61" s="188"/>
      <c r="H61" s="188"/>
      <c r="I61" s="188"/>
      <c r="J61" s="188"/>
      <c r="K61" s="188"/>
      <c r="L61" s="188"/>
      <c r="M61" s="188"/>
      <c r="N61" s="188"/>
      <c r="O61" s="188"/>
      <c r="P61" s="188"/>
      <c r="Q61" s="188"/>
      <c r="R61" s="188"/>
      <c r="S61" s="188"/>
      <c r="T61" s="188"/>
      <c r="U61" s="189"/>
      <c r="V61" s="189"/>
      <c r="W61" s="189"/>
      <c r="X61" s="189"/>
      <c r="Y61" s="189"/>
      <c r="Z61" s="189"/>
      <c r="AA61" s="189"/>
      <c r="AB61" s="189"/>
      <c r="AC61" s="189"/>
      <c r="AD61" s="189"/>
      <c r="AE61" s="189"/>
      <c r="AF61" s="189"/>
      <c r="AG61" s="189"/>
      <c r="AH61" s="189"/>
      <c r="AI61" s="189"/>
      <c r="AJ61" s="189"/>
      <c r="AK61" s="189"/>
      <c r="AL61" s="189"/>
      <c r="AM61" s="189"/>
      <c r="AN61" s="189"/>
      <c r="AO61" s="189"/>
      <c r="AP61" s="189"/>
    </row>
    <row r="62" spans="1:42" s="166" customFormat="1" ht="15" customHeight="1">
      <c r="A62" s="11">
        <f t="shared" si="1"/>
        <v>57</v>
      </c>
      <c r="B62" s="12" t="s">
        <v>286</v>
      </c>
      <c r="C62" s="13" t="s">
        <v>652</v>
      </c>
      <c r="D62" s="13"/>
      <c r="E62" s="13"/>
      <c r="F62" s="188"/>
      <c r="G62" s="188"/>
      <c r="H62" s="188"/>
      <c r="I62" s="188"/>
      <c r="J62" s="188"/>
      <c r="K62" s="188"/>
      <c r="L62" s="188"/>
      <c r="M62" s="188"/>
      <c r="N62" s="188"/>
      <c r="O62" s="188"/>
      <c r="P62" s="188"/>
      <c r="Q62" s="188"/>
      <c r="R62" s="188"/>
      <c r="S62" s="188"/>
      <c r="T62" s="188"/>
      <c r="U62" s="189"/>
      <c r="V62" s="189"/>
      <c r="W62" s="189"/>
      <c r="X62" s="189"/>
      <c r="Y62" s="189"/>
      <c r="Z62" s="189"/>
      <c r="AA62" s="189"/>
      <c r="AB62" s="189"/>
      <c r="AC62" s="189"/>
      <c r="AD62" s="189"/>
      <c r="AE62" s="189"/>
      <c r="AF62" s="189"/>
      <c r="AG62" s="189"/>
      <c r="AH62" s="189"/>
      <c r="AI62" s="189"/>
      <c r="AJ62" s="189"/>
      <c r="AK62" s="189"/>
      <c r="AL62" s="189"/>
      <c r="AM62" s="189"/>
      <c r="AN62" s="189"/>
      <c r="AO62" s="189"/>
      <c r="AP62" s="189"/>
    </row>
    <row r="63" spans="1:42" s="166" customFormat="1" ht="15">
      <c r="A63" s="11">
        <f t="shared" si="1"/>
        <v>58</v>
      </c>
      <c r="B63" s="12" t="s">
        <v>826</v>
      </c>
      <c r="C63" s="13" t="s">
        <v>819</v>
      </c>
      <c r="D63" s="13"/>
      <c r="E63" s="13"/>
      <c r="F63" s="188"/>
      <c r="G63" s="188"/>
      <c r="H63" s="188"/>
      <c r="I63" s="188"/>
      <c r="J63" s="188"/>
      <c r="K63" s="188"/>
      <c r="L63" s="188"/>
      <c r="M63" s="188"/>
      <c r="N63" s="188"/>
      <c r="O63" s="188"/>
      <c r="P63" s="188"/>
      <c r="Q63" s="188"/>
      <c r="R63" s="188"/>
      <c r="S63" s="188"/>
      <c r="T63" s="188"/>
      <c r="U63" s="189"/>
      <c r="V63" s="189"/>
      <c r="W63" s="189"/>
      <c r="X63" s="189"/>
      <c r="Y63" s="189"/>
      <c r="Z63" s="189"/>
      <c r="AA63" s="189">
        <v>3774803.24</v>
      </c>
      <c r="AB63" s="189">
        <v>7792212.75</v>
      </c>
      <c r="AC63" s="189">
        <v>11638472.84</v>
      </c>
      <c r="AD63" s="189"/>
      <c r="AE63" s="189"/>
      <c r="AF63" s="189"/>
      <c r="AG63" s="189"/>
      <c r="AH63" s="189"/>
      <c r="AI63" s="189"/>
      <c r="AJ63" s="189"/>
      <c r="AK63" s="189"/>
      <c r="AL63" s="189"/>
      <c r="AM63" s="189"/>
      <c r="AN63" s="189"/>
      <c r="AO63" s="189"/>
      <c r="AP63" s="189"/>
    </row>
    <row r="64" spans="1:42" s="166" customFormat="1" ht="15">
      <c r="A64" s="11">
        <f t="shared" si="1"/>
        <v>59</v>
      </c>
      <c r="B64" s="12" t="s">
        <v>287</v>
      </c>
      <c r="C64" s="13" t="s">
        <v>653</v>
      </c>
      <c r="D64" s="13"/>
      <c r="E64" s="13"/>
      <c r="F64" s="188"/>
      <c r="G64" s="188"/>
      <c r="H64" s="188"/>
      <c r="I64" s="188"/>
      <c r="J64" s="188"/>
      <c r="K64" s="188"/>
      <c r="L64" s="188"/>
      <c r="M64" s="188"/>
      <c r="N64" s="188"/>
      <c r="O64" s="188"/>
      <c r="P64" s="188"/>
      <c r="Q64" s="188"/>
      <c r="R64" s="188"/>
      <c r="S64" s="188"/>
      <c r="T64" s="188"/>
      <c r="U64" s="189"/>
      <c r="V64" s="189"/>
      <c r="W64" s="189"/>
      <c r="X64" s="189"/>
      <c r="Y64" s="189"/>
      <c r="Z64" s="189"/>
      <c r="AA64" s="189"/>
      <c r="AB64" s="189"/>
      <c r="AC64" s="189"/>
      <c r="AD64" s="189"/>
      <c r="AE64" s="189"/>
      <c r="AF64" s="189"/>
      <c r="AG64" s="189"/>
      <c r="AH64" s="189"/>
      <c r="AI64" s="189"/>
      <c r="AJ64" s="189"/>
      <c r="AK64" s="189"/>
      <c r="AL64" s="189"/>
      <c r="AM64" s="189"/>
      <c r="AN64" s="189"/>
      <c r="AO64" s="189"/>
      <c r="AP64" s="189"/>
    </row>
    <row r="65" spans="1:43" s="166" customFormat="1" ht="15">
      <c r="A65" s="11">
        <f t="shared" si="1"/>
        <v>60</v>
      </c>
      <c r="B65" s="12" t="s">
        <v>827</v>
      </c>
      <c r="C65" s="13" t="s">
        <v>820</v>
      </c>
      <c r="D65" s="13"/>
      <c r="E65" s="13"/>
      <c r="F65" s="189"/>
      <c r="G65" s="189"/>
      <c r="H65" s="189"/>
      <c r="I65" s="189"/>
      <c r="J65" s="189"/>
      <c r="K65" s="189"/>
      <c r="L65" s="189"/>
      <c r="M65" s="189"/>
      <c r="N65" s="189"/>
      <c r="O65" s="189"/>
      <c r="P65" s="189"/>
      <c r="Q65" s="189"/>
      <c r="R65" s="189"/>
      <c r="S65" s="189"/>
      <c r="T65" s="189"/>
      <c r="U65" s="189"/>
      <c r="V65" s="189"/>
      <c r="W65" s="189"/>
      <c r="X65" s="189"/>
      <c r="Y65" s="189"/>
      <c r="Z65" s="189"/>
      <c r="AA65" s="189"/>
      <c r="AB65" s="189">
        <v>-93710.32</v>
      </c>
      <c r="AC65" s="189">
        <v>-93710.32</v>
      </c>
      <c r="AD65" s="189"/>
      <c r="AE65" s="189"/>
      <c r="AF65" s="189"/>
      <c r="AG65" s="189"/>
      <c r="AH65" s="189"/>
      <c r="AI65" s="189"/>
      <c r="AJ65" s="189"/>
      <c r="AK65" s="189"/>
      <c r="AL65" s="189"/>
      <c r="AM65" s="189"/>
      <c r="AN65" s="189"/>
      <c r="AO65" s="189"/>
      <c r="AP65" s="189"/>
    </row>
    <row r="66" spans="1:43" s="166" customFormat="1" ht="15">
      <c r="A66" s="11">
        <f t="shared" si="1"/>
        <v>61</v>
      </c>
      <c r="B66" s="12" t="s">
        <v>288</v>
      </c>
      <c r="C66" s="13" t="s">
        <v>654</v>
      </c>
      <c r="D66" s="13"/>
      <c r="E66" s="13"/>
      <c r="F66" s="188"/>
      <c r="G66" s="188"/>
      <c r="H66" s="188"/>
      <c r="I66" s="188"/>
      <c r="J66" s="188"/>
      <c r="K66" s="188"/>
      <c r="L66" s="188"/>
      <c r="M66" s="188"/>
      <c r="N66" s="188"/>
      <c r="O66" s="188"/>
      <c r="P66" s="188"/>
      <c r="Q66" s="188"/>
      <c r="R66" s="188"/>
      <c r="S66" s="188"/>
      <c r="T66" s="188"/>
      <c r="U66" s="189"/>
      <c r="V66" s="189"/>
      <c r="W66" s="189"/>
      <c r="X66" s="189"/>
      <c r="Y66" s="189"/>
      <c r="Z66" s="189"/>
      <c r="AA66" s="189"/>
      <c r="AB66" s="189"/>
      <c r="AC66" s="189"/>
      <c r="AD66" s="189"/>
      <c r="AE66" s="189"/>
      <c r="AF66" s="189"/>
      <c r="AG66" s="189"/>
      <c r="AH66" s="189"/>
      <c r="AI66" s="189"/>
      <c r="AJ66" s="189"/>
      <c r="AK66" s="189"/>
      <c r="AL66" s="189"/>
      <c r="AM66" s="189"/>
      <c r="AN66" s="189"/>
      <c r="AO66" s="189"/>
      <c r="AP66" s="189"/>
    </row>
    <row r="67" spans="1:43" s="166" customFormat="1" ht="15">
      <c r="A67" s="11">
        <f t="shared" si="1"/>
        <v>62</v>
      </c>
      <c r="B67" s="12" t="s">
        <v>289</v>
      </c>
      <c r="C67" s="13" t="s">
        <v>499</v>
      </c>
      <c r="D67" s="13"/>
      <c r="E67" s="13"/>
      <c r="F67" s="188"/>
      <c r="G67" s="188"/>
      <c r="H67" s="188"/>
      <c r="I67" s="188"/>
      <c r="J67" s="188"/>
      <c r="K67" s="188"/>
      <c r="L67" s="188"/>
      <c r="M67" s="188"/>
      <c r="N67" s="188"/>
      <c r="O67" s="188"/>
      <c r="P67" s="188"/>
      <c r="Q67" s="188"/>
      <c r="R67" s="188"/>
      <c r="S67" s="188"/>
      <c r="T67" s="188"/>
      <c r="U67" s="189"/>
      <c r="V67" s="189"/>
      <c r="W67" s="189"/>
      <c r="X67" s="189"/>
      <c r="Y67" s="189"/>
      <c r="Z67" s="189"/>
      <c r="AA67" s="189"/>
      <c r="AB67" s="189"/>
      <c r="AC67" s="189"/>
      <c r="AD67" s="189"/>
      <c r="AE67" s="189"/>
      <c r="AF67" s="189"/>
      <c r="AG67" s="189"/>
      <c r="AH67" s="189"/>
      <c r="AI67" s="189"/>
      <c r="AJ67" s="189"/>
      <c r="AK67" s="189"/>
      <c r="AL67" s="189"/>
      <c r="AM67" s="189"/>
      <c r="AN67" s="189"/>
      <c r="AO67" s="189"/>
      <c r="AP67" s="189"/>
    </row>
    <row r="68" spans="1:43" s="166" customFormat="1" ht="15">
      <c r="A68" s="11">
        <f t="shared" si="1"/>
        <v>63</v>
      </c>
      <c r="B68" s="12" t="s">
        <v>290</v>
      </c>
      <c r="C68" s="177" t="s">
        <v>500</v>
      </c>
      <c r="D68" s="396"/>
      <c r="E68" s="396"/>
      <c r="F68" s="190"/>
      <c r="G68" s="190"/>
      <c r="H68" s="190"/>
      <c r="I68" s="190"/>
      <c r="J68" s="190"/>
      <c r="K68" s="190"/>
      <c r="L68" s="190"/>
      <c r="M68" s="190"/>
      <c r="N68" s="190"/>
      <c r="O68" s="190"/>
      <c r="P68" s="190"/>
      <c r="Q68" s="190"/>
      <c r="R68" s="190"/>
      <c r="S68" s="190"/>
      <c r="T68" s="190"/>
      <c r="U68" s="191"/>
      <c r="V68" s="191"/>
      <c r="W68" s="191"/>
      <c r="X68" s="191"/>
      <c r="Y68" s="191"/>
      <c r="Z68" s="191"/>
      <c r="AA68" s="191"/>
      <c r="AB68" s="191"/>
      <c r="AC68" s="191"/>
      <c r="AD68" s="191"/>
      <c r="AE68" s="191"/>
      <c r="AF68" s="191"/>
      <c r="AG68" s="191"/>
      <c r="AH68" s="191"/>
      <c r="AI68" s="191"/>
      <c r="AJ68" s="191"/>
      <c r="AK68" s="191"/>
      <c r="AL68" s="191"/>
      <c r="AM68" s="191"/>
      <c r="AN68" s="191"/>
      <c r="AO68" s="191"/>
      <c r="AP68" s="191"/>
    </row>
    <row r="69" spans="1:43" s="166" customFormat="1" ht="15">
      <c r="A69" s="178">
        <v>64</v>
      </c>
      <c r="B69" s="179" t="s">
        <v>145</v>
      </c>
      <c r="C69" s="13" t="s">
        <v>46</v>
      </c>
      <c r="D69" s="13"/>
      <c r="E69" s="13"/>
      <c r="F69" s="189"/>
      <c r="G69" s="189"/>
      <c r="H69" s="189"/>
      <c r="I69" s="189"/>
      <c r="J69" s="189"/>
      <c r="K69" s="189"/>
      <c r="L69" s="189"/>
      <c r="M69" s="189"/>
      <c r="N69" s="189"/>
      <c r="O69" s="189"/>
      <c r="P69" s="189"/>
      <c r="Q69" s="189"/>
      <c r="R69" s="189"/>
      <c r="S69" s="189"/>
      <c r="T69" s="189"/>
      <c r="U69" s="189"/>
      <c r="V69" s="189"/>
      <c r="W69" s="189"/>
      <c r="X69" s="189"/>
      <c r="Y69" s="189"/>
      <c r="Z69" s="189"/>
      <c r="AA69" s="189"/>
      <c r="AB69" s="189"/>
      <c r="AC69" s="189"/>
      <c r="AD69" s="189"/>
      <c r="AE69" s="189"/>
      <c r="AF69" s="189"/>
      <c r="AG69" s="189"/>
      <c r="AH69" s="189"/>
      <c r="AI69" s="189"/>
      <c r="AJ69" s="189"/>
      <c r="AK69" s="189"/>
      <c r="AL69" s="189"/>
      <c r="AM69" s="189"/>
      <c r="AN69" s="189"/>
      <c r="AO69" s="189"/>
      <c r="AP69" s="189"/>
      <c r="AQ69" s="165"/>
    </row>
    <row r="70" spans="1:43" s="166" customFormat="1" ht="15">
      <c r="A70" s="178">
        <v>65</v>
      </c>
      <c r="B70" s="404" t="s">
        <v>853</v>
      </c>
      <c r="C70" s="13" t="s">
        <v>851</v>
      </c>
      <c r="D70" s="13"/>
      <c r="E70" s="13"/>
      <c r="F70" s="189"/>
      <c r="G70" s="189"/>
      <c r="H70" s="189"/>
      <c r="I70" s="189"/>
      <c r="J70" s="189"/>
      <c r="K70" s="189"/>
      <c r="L70" s="189"/>
      <c r="M70" s="189"/>
      <c r="N70" s="189"/>
      <c r="O70" s="189"/>
      <c r="P70" s="189"/>
      <c r="Q70" s="189"/>
      <c r="R70" s="189"/>
      <c r="S70" s="189"/>
      <c r="T70" s="189"/>
      <c r="U70" s="189"/>
      <c r="V70" s="189"/>
      <c r="W70" s="189"/>
      <c r="X70" s="189"/>
      <c r="Y70" s="189"/>
      <c r="Z70" s="189"/>
      <c r="AA70" s="189">
        <v>0</v>
      </c>
      <c r="AB70" s="189">
        <v>0</v>
      </c>
      <c r="AC70" s="189">
        <v>0</v>
      </c>
      <c r="AD70" s="189"/>
      <c r="AE70" s="189"/>
      <c r="AF70" s="189"/>
      <c r="AG70" s="189"/>
      <c r="AH70" s="189"/>
      <c r="AI70" s="189"/>
      <c r="AJ70" s="189"/>
      <c r="AK70" s="189"/>
      <c r="AL70" s="189"/>
      <c r="AM70" s="189"/>
      <c r="AN70" s="189"/>
      <c r="AO70" s="189"/>
      <c r="AP70" s="189"/>
      <c r="AQ70" s="165"/>
    </row>
    <row r="71" spans="1:43" s="166" customFormat="1" ht="15">
      <c r="A71" s="178">
        <v>66</v>
      </c>
      <c r="B71" s="179" t="s">
        <v>963</v>
      </c>
      <c r="C71" s="403" t="s">
        <v>852</v>
      </c>
      <c r="D71" s="13"/>
      <c r="E71" s="13"/>
      <c r="F71" s="189"/>
      <c r="G71" s="189"/>
      <c r="H71" s="189"/>
      <c r="I71" s="189"/>
      <c r="J71" s="189"/>
      <c r="K71" s="189"/>
      <c r="L71" s="189"/>
      <c r="M71" s="189"/>
      <c r="N71" s="189"/>
      <c r="O71" s="189"/>
      <c r="P71" s="189"/>
      <c r="Q71" s="189"/>
      <c r="R71" s="189"/>
      <c r="S71" s="189"/>
      <c r="T71" s="189"/>
      <c r="U71" s="189"/>
      <c r="V71" s="189"/>
      <c r="W71" s="189"/>
      <c r="X71" s="189"/>
      <c r="Y71" s="189"/>
      <c r="Z71" s="189"/>
      <c r="AA71" s="189"/>
      <c r="AB71" s="189"/>
      <c r="AC71" s="189"/>
      <c r="AD71" s="189"/>
      <c r="AE71" s="189"/>
      <c r="AF71" s="189"/>
      <c r="AG71" s="189"/>
      <c r="AH71" s="189"/>
      <c r="AI71" s="189"/>
      <c r="AJ71" s="189"/>
      <c r="AK71" s="189"/>
      <c r="AL71" s="189"/>
      <c r="AM71" s="189"/>
      <c r="AN71" s="189"/>
      <c r="AO71" s="189"/>
      <c r="AP71" s="189"/>
      <c r="AQ71" s="165"/>
    </row>
    <row r="72" spans="1:43" s="166" customFormat="1" ht="15">
      <c r="A72" s="178">
        <v>67</v>
      </c>
      <c r="B72" s="179" t="s">
        <v>964</v>
      </c>
      <c r="C72" s="403" t="s">
        <v>854</v>
      </c>
      <c r="D72" s="13"/>
      <c r="E72" s="13"/>
      <c r="F72" s="189"/>
      <c r="G72" s="189"/>
      <c r="H72" s="189"/>
      <c r="I72" s="189"/>
      <c r="J72" s="189"/>
      <c r="K72" s="189"/>
      <c r="L72" s="189"/>
      <c r="M72" s="189"/>
      <c r="N72" s="189"/>
      <c r="O72" s="189"/>
      <c r="P72" s="189"/>
      <c r="Q72" s="189"/>
      <c r="R72" s="189"/>
      <c r="S72" s="189"/>
      <c r="T72" s="189"/>
      <c r="U72" s="189"/>
      <c r="V72" s="189"/>
      <c r="W72" s="189"/>
      <c r="X72" s="189"/>
      <c r="Y72" s="189"/>
      <c r="Z72" s="189"/>
      <c r="AA72" s="189"/>
      <c r="AB72" s="189"/>
      <c r="AC72" s="189"/>
      <c r="AD72" s="189"/>
      <c r="AE72" s="189"/>
      <c r="AF72" s="189"/>
      <c r="AG72" s="189"/>
      <c r="AH72" s="189"/>
      <c r="AI72" s="189"/>
      <c r="AJ72" s="189"/>
      <c r="AK72" s="189"/>
      <c r="AL72" s="189"/>
      <c r="AM72" s="189"/>
      <c r="AN72" s="189"/>
      <c r="AO72" s="189"/>
      <c r="AP72" s="189"/>
      <c r="AQ72" s="165"/>
    </row>
    <row r="73" spans="1:43" s="166" customFormat="1" ht="15">
      <c r="A73" s="178">
        <v>68</v>
      </c>
      <c r="B73" s="179" t="s">
        <v>966</v>
      </c>
      <c r="C73" s="403" t="s">
        <v>855</v>
      </c>
      <c r="D73" s="13"/>
      <c r="E73" s="13"/>
      <c r="F73" s="189"/>
      <c r="G73" s="189"/>
      <c r="H73" s="189"/>
      <c r="I73" s="189"/>
      <c r="J73" s="189"/>
      <c r="K73" s="189"/>
      <c r="L73" s="189"/>
      <c r="M73" s="189"/>
      <c r="N73" s="189"/>
      <c r="O73" s="189"/>
      <c r="P73" s="189"/>
      <c r="Q73" s="189"/>
      <c r="R73" s="189"/>
      <c r="S73" s="189"/>
      <c r="T73" s="189"/>
      <c r="U73" s="189"/>
      <c r="V73" s="189"/>
      <c r="W73" s="189"/>
      <c r="X73" s="189"/>
      <c r="Y73" s="189"/>
      <c r="Z73" s="189"/>
      <c r="AA73" s="189">
        <v>12450371.59</v>
      </c>
      <c r="AB73" s="189">
        <v>10954113.699999999</v>
      </c>
      <c r="AC73" s="189">
        <v>34441347.549999997</v>
      </c>
      <c r="AD73" s="189"/>
      <c r="AE73" s="189"/>
      <c r="AF73" s="189"/>
      <c r="AG73" s="189"/>
      <c r="AH73" s="189"/>
      <c r="AI73" s="189"/>
      <c r="AJ73" s="189"/>
      <c r="AK73" s="189"/>
      <c r="AL73" s="189"/>
      <c r="AM73" s="189"/>
      <c r="AN73" s="189"/>
      <c r="AO73" s="189"/>
      <c r="AP73" s="189"/>
      <c r="AQ73" s="165"/>
    </row>
    <row r="74" spans="1:43" s="166" customFormat="1" ht="15">
      <c r="A74" s="178">
        <v>69</v>
      </c>
      <c r="B74" s="179" t="s">
        <v>965</v>
      </c>
      <c r="C74" s="403" t="s">
        <v>856</v>
      </c>
      <c r="D74" s="13"/>
      <c r="E74" s="13"/>
      <c r="F74" s="189"/>
      <c r="G74" s="189"/>
      <c r="H74" s="189"/>
      <c r="I74" s="189"/>
      <c r="J74" s="189"/>
      <c r="K74" s="189"/>
      <c r="L74" s="189"/>
      <c r="M74" s="189"/>
      <c r="N74" s="189"/>
      <c r="O74" s="189"/>
      <c r="P74" s="189"/>
      <c r="Q74" s="189"/>
      <c r="R74" s="189"/>
      <c r="S74" s="189"/>
      <c r="T74" s="189"/>
      <c r="U74" s="189"/>
      <c r="V74" s="189"/>
      <c r="W74" s="189"/>
      <c r="X74" s="189"/>
      <c r="Y74" s="189"/>
      <c r="Z74" s="189"/>
      <c r="AA74" s="189">
        <v>14639819.48</v>
      </c>
      <c r="AB74" s="189">
        <v>26300469</v>
      </c>
      <c r="AC74" s="189">
        <v>41191239.030000001</v>
      </c>
      <c r="AD74" s="189"/>
      <c r="AE74" s="189"/>
      <c r="AF74" s="189"/>
      <c r="AG74" s="189"/>
      <c r="AH74" s="189"/>
      <c r="AI74" s="189"/>
      <c r="AJ74" s="189"/>
      <c r="AK74" s="189"/>
      <c r="AL74" s="189"/>
      <c r="AM74" s="189"/>
      <c r="AN74" s="189"/>
      <c r="AO74" s="189"/>
      <c r="AP74" s="189"/>
      <c r="AQ74" s="165"/>
    </row>
    <row r="75" spans="1:43" s="166" customFormat="1" ht="15">
      <c r="A75" s="407">
        <v>70</v>
      </c>
      <c r="B75" s="457" t="s">
        <v>967</v>
      </c>
      <c r="C75" s="408" t="s">
        <v>857</v>
      </c>
      <c r="D75" s="385"/>
      <c r="E75" s="385"/>
      <c r="F75" s="386"/>
      <c r="G75" s="386"/>
      <c r="H75" s="386"/>
      <c r="I75" s="386"/>
      <c r="J75" s="386"/>
      <c r="K75" s="386"/>
      <c r="L75" s="386"/>
      <c r="M75" s="386"/>
      <c r="N75" s="386"/>
      <c r="O75" s="386"/>
      <c r="P75" s="386"/>
      <c r="Q75" s="386"/>
      <c r="R75" s="386"/>
      <c r="S75" s="386"/>
      <c r="T75" s="386"/>
      <c r="U75" s="386"/>
      <c r="V75" s="386"/>
      <c r="W75" s="386"/>
      <c r="X75" s="386"/>
      <c r="Y75" s="386"/>
      <c r="Z75" s="386"/>
      <c r="AA75" s="386">
        <v>64609643.140000001</v>
      </c>
      <c r="AB75" s="386">
        <v>131376855.40000001</v>
      </c>
      <c r="AC75" s="386">
        <v>206852340.41999999</v>
      </c>
      <c r="AD75" s="386"/>
      <c r="AE75" s="386"/>
      <c r="AF75" s="386"/>
      <c r="AG75" s="386"/>
      <c r="AH75" s="386"/>
      <c r="AI75" s="386"/>
      <c r="AJ75" s="386"/>
      <c r="AK75" s="386"/>
      <c r="AL75" s="386"/>
      <c r="AM75" s="386"/>
      <c r="AN75" s="386"/>
      <c r="AO75" s="386"/>
      <c r="AP75" s="386"/>
      <c r="AQ75" s="165"/>
    </row>
    <row r="76" spans="1:43" s="167" customFormat="1" ht="13.3">
      <c r="A76" s="17"/>
      <c r="B76" s="17"/>
      <c r="C76" s="8"/>
      <c r="D76" s="8"/>
      <c r="E76" s="8"/>
      <c r="F76" s="187"/>
      <c r="G76" s="187"/>
      <c r="H76" s="187"/>
      <c r="I76" s="187"/>
      <c r="J76" s="187"/>
      <c r="K76" s="187"/>
      <c r="L76" s="187"/>
      <c r="M76" s="187"/>
      <c r="N76" s="187"/>
      <c r="O76" s="187"/>
      <c r="P76" s="187"/>
      <c r="Q76" s="187"/>
      <c r="R76" s="187"/>
      <c r="S76" s="187"/>
      <c r="T76" s="187"/>
      <c r="U76" s="187"/>
      <c r="V76" s="187"/>
      <c r="W76" s="192"/>
      <c r="X76" s="192"/>
      <c r="Y76" s="192"/>
      <c r="Z76" s="192"/>
      <c r="AA76" s="192"/>
      <c r="AB76" s="187"/>
      <c r="AC76" s="187"/>
      <c r="AD76" s="187"/>
      <c r="AE76" s="187"/>
      <c r="AF76" s="187"/>
      <c r="AG76" s="187"/>
      <c r="AH76" s="187"/>
      <c r="AI76" s="187"/>
      <c r="AJ76" s="187"/>
      <c r="AK76" s="187"/>
      <c r="AL76" s="187"/>
      <c r="AM76" s="187"/>
      <c r="AN76" s="187"/>
      <c r="AO76" s="187"/>
      <c r="AP76" s="187"/>
    </row>
    <row r="77" spans="1:43" s="383" customFormat="1" ht="13.3">
      <c r="A77" s="379"/>
      <c r="B77" s="379"/>
      <c r="C77" s="380"/>
      <c r="D77" s="380"/>
      <c r="E77" s="380"/>
      <c r="F77" s="381"/>
      <c r="G77" s="381"/>
      <c r="H77" s="381"/>
      <c r="I77" s="381"/>
      <c r="J77" s="381"/>
      <c r="K77" s="381"/>
      <c r="L77" s="381"/>
      <c r="M77" s="381"/>
      <c r="N77" s="381"/>
      <c r="O77" s="381"/>
      <c r="P77" s="381"/>
      <c r="Q77" s="381"/>
      <c r="R77" s="381"/>
      <c r="S77" s="381"/>
      <c r="T77" s="381"/>
      <c r="U77" s="381"/>
      <c r="V77" s="381"/>
      <c r="W77" s="382"/>
      <c r="X77" s="382"/>
      <c r="Y77" s="382"/>
      <c r="Z77" s="382"/>
      <c r="AA77" s="382"/>
      <c r="AB77" s="381"/>
      <c r="AC77" s="381"/>
      <c r="AD77" s="381"/>
      <c r="AE77" s="381"/>
      <c r="AF77" s="381"/>
      <c r="AG77" s="381"/>
      <c r="AH77" s="381"/>
      <c r="AI77" s="381"/>
      <c r="AJ77" s="381"/>
      <c r="AK77" s="381"/>
      <c r="AL77" s="381"/>
      <c r="AM77" s="381"/>
      <c r="AN77" s="381"/>
      <c r="AO77" s="381"/>
      <c r="AP77" s="381"/>
    </row>
    <row r="78" spans="1:43" s="170" customFormat="1" ht="13.3">
      <c r="A78" s="17"/>
      <c r="B78" s="17"/>
      <c r="C78" s="8"/>
      <c r="D78" s="8"/>
      <c r="E78" s="8"/>
      <c r="F78" s="187"/>
      <c r="G78" s="187"/>
      <c r="H78" s="187"/>
      <c r="I78" s="187"/>
      <c r="J78" s="187"/>
      <c r="K78" s="187"/>
      <c r="L78" s="187"/>
      <c r="M78" s="187"/>
      <c r="N78" s="187"/>
      <c r="O78" s="187"/>
      <c r="P78" s="187"/>
      <c r="Q78" s="187"/>
      <c r="R78" s="187"/>
      <c r="S78" s="187"/>
      <c r="T78" s="187"/>
      <c r="U78" s="187"/>
      <c r="V78" s="187"/>
      <c r="W78" s="192"/>
      <c r="X78" s="192"/>
      <c r="Y78" s="192"/>
      <c r="Z78" s="192"/>
      <c r="AA78" s="192"/>
      <c r="AB78" s="187"/>
      <c r="AC78" s="187"/>
      <c r="AD78" s="187"/>
      <c r="AE78" s="187"/>
      <c r="AF78" s="187"/>
      <c r="AG78" s="187"/>
      <c r="AH78" s="187"/>
      <c r="AI78" s="187"/>
      <c r="AJ78" s="187"/>
      <c r="AK78" s="187"/>
      <c r="AL78" s="187"/>
      <c r="AM78" s="187"/>
      <c r="AN78" s="187"/>
      <c r="AO78" s="187"/>
      <c r="AP78" s="187"/>
    </row>
    <row r="79" spans="1:43" s="168" customFormat="1" ht="14.25" customHeight="1">
      <c r="A79" s="172"/>
      <c r="B79" s="172"/>
      <c r="C79" s="154" t="s">
        <v>1367</v>
      </c>
      <c r="D79" s="154"/>
      <c r="E79" s="154"/>
      <c r="F79" s="183"/>
      <c r="G79" s="183"/>
      <c r="H79" s="183"/>
      <c r="I79" s="183"/>
      <c r="J79" s="183"/>
      <c r="K79" s="183"/>
      <c r="L79" s="183"/>
      <c r="M79" s="183"/>
      <c r="N79" s="183"/>
      <c r="O79" s="183"/>
      <c r="P79" s="183"/>
      <c r="Q79" s="183"/>
      <c r="R79" s="183"/>
      <c r="S79" s="183"/>
      <c r="T79" s="183"/>
      <c r="U79" s="183"/>
      <c r="V79" s="183"/>
      <c r="W79" s="183"/>
      <c r="X79" s="183"/>
      <c r="Y79" s="183"/>
      <c r="Z79" s="183"/>
      <c r="AA79" s="183"/>
      <c r="AB79" s="185"/>
      <c r="AC79" s="185"/>
      <c r="AD79" s="185"/>
      <c r="AE79" s="185"/>
      <c r="AF79" s="185"/>
      <c r="AG79" s="185"/>
      <c r="AH79" s="185"/>
      <c r="AI79" s="183"/>
      <c r="AJ79" s="183"/>
      <c r="AK79" s="183"/>
      <c r="AL79" s="183"/>
      <c r="AM79" s="183"/>
      <c r="AN79" s="183"/>
      <c r="AO79" s="183"/>
      <c r="AP79" s="183"/>
    </row>
    <row r="80" spans="1:43" s="170" customFormat="1" ht="14.15">
      <c r="A80" s="7">
        <f>A4</f>
        <v>0</v>
      </c>
      <c r="B80" s="7"/>
      <c r="C80" s="197">
        <f>C4</f>
        <v>0</v>
      </c>
      <c r="D80" s="395"/>
      <c r="E80" s="395"/>
      <c r="F80" s="186"/>
      <c r="G80" s="186"/>
      <c r="H80" s="187"/>
      <c r="I80" s="186"/>
      <c r="J80" s="186"/>
      <c r="K80" s="186"/>
      <c r="L80" s="187"/>
      <c r="M80" s="186"/>
      <c r="N80" s="186"/>
      <c r="O80" s="186"/>
      <c r="P80" s="187"/>
      <c r="Q80" s="186"/>
      <c r="R80" s="186"/>
      <c r="S80" s="186"/>
      <c r="T80" s="187"/>
      <c r="U80" s="187"/>
      <c r="V80" s="187"/>
      <c r="W80" s="187"/>
      <c r="X80" s="187"/>
      <c r="Y80" s="187"/>
      <c r="Z80" s="187"/>
      <c r="AA80" s="187"/>
      <c r="AB80" s="187"/>
      <c r="AC80" s="187"/>
      <c r="AD80" s="187"/>
      <c r="AE80" s="187"/>
      <c r="AF80" s="187"/>
      <c r="AG80" s="187"/>
      <c r="AH80" s="187"/>
      <c r="AI80" s="187"/>
      <c r="AJ80" s="187"/>
      <c r="AK80" s="187"/>
      <c r="AL80" s="187"/>
      <c r="AM80" s="187"/>
      <c r="AN80" s="187"/>
      <c r="AO80" s="187"/>
      <c r="AP80" s="187"/>
    </row>
    <row r="81" spans="1:43" s="171" customFormat="1" ht="14.15" thickBot="1">
      <c r="A81" s="9" t="s">
        <v>419</v>
      </c>
      <c r="B81" s="9"/>
      <c r="C81" s="9" t="s">
        <v>234</v>
      </c>
      <c r="D81" s="9"/>
      <c r="E81" s="9"/>
      <c r="F81" s="114">
        <f t="shared" ref="F81:AP81" si="2">F5</f>
        <v>2012</v>
      </c>
      <c r="G81" s="114" t="str">
        <f t="shared" si="2"/>
        <v>1Q13</v>
      </c>
      <c r="H81" s="114" t="str">
        <f t="shared" si="2"/>
        <v>1H13</v>
      </c>
      <c r="I81" s="114" t="str">
        <f t="shared" si="2"/>
        <v>3Q13</v>
      </c>
      <c r="J81" s="114">
        <f t="shared" si="2"/>
        <v>2013</v>
      </c>
      <c r="K81" s="114" t="str">
        <f t="shared" si="2"/>
        <v>1Q14</v>
      </c>
      <c r="L81" s="114" t="str">
        <f t="shared" si="2"/>
        <v>1H14</v>
      </c>
      <c r="M81" s="114" t="str">
        <f t="shared" si="2"/>
        <v>3Q14</v>
      </c>
      <c r="N81" s="114">
        <f t="shared" si="2"/>
        <v>2014</v>
      </c>
      <c r="O81" s="114" t="str">
        <f t="shared" si="2"/>
        <v>1Q15</v>
      </c>
      <c r="P81" s="114" t="str">
        <f t="shared" si="2"/>
        <v>1H15</v>
      </c>
      <c r="Q81" s="114" t="str">
        <f t="shared" si="2"/>
        <v>3Q15</v>
      </c>
      <c r="R81" s="114">
        <f t="shared" si="2"/>
        <v>2015</v>
      </c>
      <c r="S81" s="114" t="str">
        <f t="shared" si="2"/>
        <v>1Q16</v>
      </c>
      <c r="T81" s="114" t="str">
        <f t="shared" si="2"/>
        <v>1H16</v>
      </c>
      <c r="U81" s="114" t="str">
        <f t="shared" si="2"/>
        <v>3Q16</v>
      </c>
      <c r="V81" s="114">
        <f t="shared" si="2"/>
        <v>2016</v>
      </c>
      <c r="W81" s="114" t="str">
        <f t="shared" si="2"/>
        <v>1Q17</v>
      </c>
      <c r="X81" s="114" t="str">
        <f t="shared" si="2"/>
        <v>1H17</v>
      </c>
      <c r="Y81" s="114" t="str">
        <f t="shared" si="2"/>
        <v>3Q17</v>
      </c>
      <c r="Z81" s="114">
        <f t="shared" si="2"/>
        <v>2017</v>
      </c>
      <c r="AA81" s="114" t="str">
        <f t="shared" si="2"/>
        <v>1Q18</v>
      </c>
      <c r="AB81" s="114" t="str">
        <f t="shared" si="2"/>
        <v>1H18</v>
      </c>
      <c r="AC81" s="114" t="str">
        <f t="shared" si="2"/>
        <v>3Q18</v>
      </c>
      <c r="AD81" s="114"/>
      <c r="AE81" s="114"/>
      <c r="AF81" s="114"/>
      <c r="AG81" s="114"/>
      <c r="AH81" s="114"/>
      <c r="AI81" s="114" t="str">
        <f t="shared" si="2"/>
        <v>1Q20</v>
      </c>
      <c r="AJ81" s="114" t="str">
        <f t="shared" si="2"/>
        <v>1H20</v>
      </c>
      <c r="AK81" s="114" t="str">
        <f t="shared" si="2"/>
        <v>3Q20</v>
      </c>
      <c r="AL81" s="114">
        <f t="shared" si="2"/>
        <v>2023</v>
      </c>
      <c r="AM81" s="114" t="str">
        <f t="shared" si="2"/>
        <v>1Q23</v>
      </c>
      <c r="AN81" s="114" t="str">
        <f t="shared" si="2"/>
        <v>1H21</v>
      </c>
      <c r="AO81" s="114" t="str">
        <f t="shared" si="2"/>
        <v>3Q21</v>
      </c>
      <c r="AP81" s="114" t="str">
        <f t="shared" si="2"/>
        <v>-</v>
      </c>
    </row>
    <row r="82" spans="1:43" s="166" customFormat="1" ht="15.45" thickBot="1">
      <c r="A82" s="18">
        <v>1</v>
      </c>
      <c r="B82" s="146" t="s">
        <v>128</v>
      </c>
      <c r="C82" s="13" t="s">
        <v>43</v>
      </c>
      <c r="D82" s="13"/>
      <c r="E82" s="13"/>
      <c r="F82" s="189"/>
      <c r="G82" s="189"/>
      <c r="H82" s="189"/>
      <c r="I82" s="189"/>
      <c r="J82" s="189"/>
      <c r="K82" s="189"/>
      <c r="L82" s="189"/>
      <c r="M82" s="189"/>
      <c r="N82" s="189"/>
      <c r="O82" s="189"/>
      <c r="P82" s="189"/>
      <c r="Q82" s="189"/>
      <c r="R82" s="189"/>
      <c r="S82" s="189"/>
      <c r="T82" s="189"/>
      <c r="U82" s="189"/>
      <c r="V82" s="189"/>
      <c r="W82" s="189"/>
      <c r="X82" s="189"/>
      <c r="Y82" s="189"/>
      <c r="Z82" s="189"/>
      <c r="AA82" s="189"/>
      <c r="AB82" s="189"/>
      <c r="AC82" s="189"/>
      <c r="AD82" s="189"/>
      <c r="AE82" s="189"/>
      <c r="AF82" s="189"/>
      <c r="AG82" s="189"/>
      <c r="AH82" s="189"/>
      <c r="AI82" s="189"/>
      <c r="AJ82" s="189"/>
      <c r="AK82" s="189"/>
      <c r="AL82" s="189"/>
      <c r="AM82" s="189"/>
      <c r="AN82" s="189"/>
      <c r="AO82" s="189"/>
      <c r="AP82" s="189"/>
    </row>
    <row r="83" spans="1:43" s="166" customFormat="1" ht="15.9" thickTop="1" thickBot="1">
      <c r="A83" s="18">
        <f t="shared" ref="A83:A114" si="3">A82+1</f>
        <v>2</v>
      </c>
      <c r="B83" s="146" t="s">
        <v>7</v>
      </c>
      <c r="C83" s="13" t="s">
        <v>420</v>
      </c>
      <c r="D83" s="13"/>
      <c r="E83" s="13"/>
      <c r="F83" s="189"/>
      <c r="G83" s="189"/>
      <c r="H83" s="189"/>
      <c r="I83" s="189"/>
      <c r="J83" s="189"/>
      <c r="K83" s="189"/>
      <c r="L83" s="189"/>
      <c r="M83" s="189"/>
      <c r="N83" s="189"/>
      <c r="O83" s="189"/>
      <c r="P83" s="189"/>
      <c r="Q83" s="189"/>
      <c r="R83" s="189"/>
      <c r="S83" s="189"/>
      <c r="T83" s="189"/>
      <c r="U83" s="189"/>
      <c r="V83" s="189"/>
      <c r="W83" s="189"/>
      <c r="X83" s="189"/>
      <c r="Y83" s="189"/>
      <c r="Z83" s="189"/>
      <c r="AA83" s="189"/>
      <c r="AB83" s="189"/>
      <c r="AC83" s="189"/>
      <c r="AD83" s="189"/>
      <c r="AE83" s="189"/>
      <c r="AF83" s="189"/>
      <c r="AG83" s="189"/>
      <c r="AH83" s="189"/>
      <c r="AI83" s="189"/>
      <c r="AJ83" s="189"/>
      <c r="AK83" s="189"/>
      <c r="AL83" s="189"/>
      <c r="AM83" s="189"/>
      <c r="AN83" s="189"/>
      <c r="AO83" s="189"/>
      <c r="AP83" s="189"/>
      <c r="AQ83" s="391"/>
    </row>
    <row r="84" spans="1:43" s="166" customFormat="1" ht="15.9" thickTop="1" thickBot="1">
      <c r="A84" s="18">
        <f t="shared" si="3"/>
        <v>3</v>
      </c>
      <c r="B84" s="146" t="s">
        <v>8</v>
      </c>
      <c r="C84" s="13" t="s">
        <v>501</v>
      </c>
      <c r="D84" s="13"/>
      <c r="E84" s="13"/>
      <c r="F84" s="189"/>
      <c r="G84" s="189"/>
      <c r="H84" s="189"/>
      <c r="I84" s="189"/>
      <c r="J84" s="189"/>
      <c r="K84" s="189"/>
      <c r="L84" s="189"/>
      <c r="M84" s="189"/>
      <c r="N84" s="189"/>
      <c r="O84" s="189"/>
      <c r="P84" s="189"/>
      <c r="Q84" s="189"/>
      <c r="R84" s="189"/>
      <c r="S84" s="189"/>
      <c r="T84" s="189"/>
      <c r="U84" s="189"/>
      <c r="V84" s="189"/>
      <c r="W84" s="189"/>
      <c r="X84" s="189"/>
      <c r="Y84" s="189"/>
      <c r="Z84" s="189"/>
      <c r="AA84" s="189"/>
      <c r="AB84" s="189"/>
      <c r="AC84" s="189"/>
      <c r="AD84" s="189"/>
      <c r="AE84" s="189"/>
      <c r="AF84" s="189"/>
      <c r="AG84" s="189"/>
      <c r="AH84" s="189"/>
      <c r="AI84" s="189"/>
      <c r="AJ84" s="189"/>
      <c r="AK84" s="189"/>
      <c r="AL84" s="189"/>
      <c r="AM84" s="189"/>
      <c r="AN84" s="189"/>
      <c r="AO84" s="189"/>
      <c r="AP84" s="189"/>
    </row>
    <row r="85" spans="1:43" s="166" customFormat="1" ht="15.9" thickTop="1" thickBot="1">
      <c r="A85" s="18">
        <f t="shared" si="3"/>
        <v>4</v>
      </c>
      <c r="B85" s="146" t="s">
        <v>593</v>
      </c>
      <c r="C85" s="13" t="s">
        <v>502</v>
      </c>
      <c r="D85" s="13"/>
      <c r="E85" s="13"/>
      <c r="F85" s="189"/>
      <c r="G85" s="189"/>
      <c r="H85" s="189"/>
      <c r="I85" s="189"/>
      <c r="J85" s="189"/>
      <c r="K85" s="189"/>
      <c r="L85" s="189"/>
      <c r="M85" s="189"/>
      <c r="N85" s="189"/>
      <c r="O85" s="189"/>
      <c r="P85" s="189"/>
      <c r="Q85" s="189"/>
      <c r="R85" s="189"/>
      <c r="S85" s="189"/>
      <c r="T85" s="189"/>
      <c r="U85" s="189"/>
      <c r="V85" s="189"/>
      <c r="W85" s="189"/>
      <c r="X85" s="189"/>
      <c r="Y85" s="189"/>
      <c r="Z85" s="189"/>
      <c r="AA85" s="189"/>
      <c r="AB85" s="189"/>
      <c r="AC85" s="189"/>
      <c r="AD85" s="189"/>
      <c r="AE85" s="189"/>
      <c r="AF85" s="189"/>
      <c r="AG85" s="189"/>
      <c r="AH85" s="189"/>
      <c r="AI85" s="189"/>
      <c r="AJ85" s="189"/>
      <c r="AK85" s="189"/>
      <c r="AL85" s="189"/>
      <c r="AM85" s="189"/>
      <c r="AN85" s="189"/>
      <c r="AO85" s="189"/>
      <c r="AP85" s="189"/>
    </row>
    <row r="86" spans="1:43" s="166" customFormat="1" ht="15.9" thickTop="1" thickBot="1">
      <c r="A86" s="18">
        <f t="shared" si="3"/>
        <v>5</v>
      </c>
      <c r="B86" s="146" t="s">
        <v>594</v>
      </c>
      <c r="C86" s="13" t="s">
        <v>503</v>
      </c>
      <c r="D86" s="13"/>
      <c r="E86" s="13"/>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391"/>
    </row>
    <row r="87" spans="1:43" s="166" customFormat="1" ht="15.9" thickTop="1" thickBot="1">
      <c r="A87" s="18">
        <f t="shared" si="3"/>
        <v>6</v>
      </c>
      <c r="B87" s="146" t="s">
        <v>595</v>
      </c>
      <c r="C87" s="13" t="s">
        <v>504</v>
      </c>
      <c r="D87" s="13"/>
      <c r="E87" s="13"/>
      <c r="F87" s="189"/>
      <c r="G87" s="189"/>
      <c r="H87" s="189"/>
      <c r="I87" s="189"/>
      <c r="J87" s="189"/>
      <c r="K87" s="189"/>
      <c r="L87" s="189"/>
      <c r="M87" s="189"/>
      <c r="N87" s="189"/>
      <c r="O87" s="189"/>
      <c r="P87" s="189"/>
      <c r="Q87" s="189"/>
      <c r="R87" s="189"/>
      <c r="S87" s="189"/>
      <c r="T87" s="189"/>
      <c r="U87" s="189"/>
      <c r="V87" s="189"/>
      <c r="W87" s="189"/>
      <c r="X87" s="189"/>
      <c r="Y87" s="189"/>
      <c r="Z87" s="189"/>
      <c r="AA87" s="189"/>
      <c r="AB87" s="189"/>
      <c r="AC87" s="189"/>
      <c r="AD87" s="189"/>
      <c r="AE87" s="189"/>
      <c r="AF87" s="189"/>
      <c r="AG87" s="189"/>
      <c r="AH87" s="189"/>
      <c r="AI87" s="189"/>
      <c r="AJ87" s="189"/>
      <c r="AK87" s="189"/>
      <c r="AL87" s="189"/>
      <c r="AM87" s="189"/>
      <c r="AN87" s="189"/>
      <c r="AO87" s="189"/>
      <c r="AP87" s="189"/>
      <c r="AQ87" s="391"/>
    </row>
    <row r="88" spans="1:43" s="14" customFormat="1" ht="15.9" thickTop="1" thickBot="1">
      <c r="A88" s="18">
        <f t="shared" si="3"/>
        <v>7</v>
      </c>
      <c r="B88" s="146" t="s">
        <v>596</v>
      </c>
      <c r="C88" s="13" t="s">
        <v>505</v>
      </c>
      <c r="D88" s="13"/>
      <c r="E88" s="13"/>
      <c r="F88" s="189"/>
      <c r="G88" s="189"/>
      <c r="H88" s="189"/>
      <c r="I88" s="189"/>
      <c r="J88" s="189"/>
      <c r="K88" s="189"/>
      <c r="L88" s="189"/>
      <c r="M88" s="189"/>
      <c r="N88" s="189"/>
      <c r="O88" s="189"/>
      <c r="P88" s="189"/>
      <c r="Q88" s="189"/>
      <c r="R88" s="189"/>
      <c r="S88" s="189"/>
      <c r="T88" s="189"/>
      <c r="U88" s="189"/>
      <c r="V88" s="189"/>
      <c r="W88" s="189"/>
      <c r="X88" s="189"/>
      <c r="Y88" s="189"/>
      <c r="Z88" s="189"/>
      <c r="AA88" s="189"/>
      <c r="AB88" s="189"/>
      <c r="AC88" s="189"/>
      <c r="AD88" s="189"/>
      <c r="AE88" s="189"/>
      <c r="AF88" s="189"/>
      <c r="AG88" s="189"/>
      <c r="AH88" s="189"/>
      <c r="AI88" s="189"/>
      <c r="AJ88" s="189"/>
      <c r="AK88" s="189"/>
      <c r="AL88" s="189"/>
      <c r="AM88" s="189"/>
      <c r="AN88" s="189"/>
      <c r="AO88" s="189"/>
      <c r="AP88" s="189"/>
      <c r="AQ88" s="26"/>
    </row>
    <row r="89" spans="1:43" s="14" customFormat="1" ht="15.9" thickTop="1" thickBot="1">
      <c r="A89" s="18">
        <f t="shared" si="3"/>
        <v>8</v>
      </c>
      <c r="B89" s="146" t="s">
        <v>129</v>
      </c>
      <c r="C89" s="13" t="s">
        <v>506</v>
      </c>
      <c r="D89" s="13"/>
      <c r="E89" s="13"/>
      <c r="F89" s="189"/>
      <c r="G89" s="189"/>
      <c r="H89" s="189"/>
      <c r="I89" s="189"/>
      <c r="J89" s="189"/>
      <c r="K89" s="189"/>
      <c r="L89" s="189"/>
      <c r="M89" s="189"/>
      <c r="N89" s="189"/>
      <c r="O89" s="189"/>
      <c r="P89" s="189"/>
      <c r="Q89" s="189"/>
      <c r="R89" s="189"/>
      <c r="S89" s="189"/>
      <c r="T89" s="189"/>
      <c r="U89" s="189"/>
      <c r="V89" s="189"/>
      <c r="W89" s="189"/>
      <c r="X89" s="189"/>
      <c r="Y89" s="189"/>
      <c r="Z89" s="189"/>
      <c r="AA89" s="189"/>
      <c r="AB89" s="189"/>
      <c r="AC89" s="189"/>
      <c r="AD89" s="189"/>
      <c r="AE89" s="189"/>
      <c r="AF89" s="189"/>
      <c r="AG89" s="189"/>
      <c r="AH89" s="189"/>
      <c r="AI89" s="189"/>
      <c r="AJ89" s="189"/>
      <c r="AK89" s="189"/>
      <c r="AL89" s="189"/>
      <c r="AM89" s="189"/>
      <c r="AN89" s="189"/>
      <c r="AO89" s="189"/>
      <c r="AP89" s="189"/>
      <c r="AQ89" s="26"/>
    </row>
    <row r="90" spans="1:43" s="166" customFormat="1" ht="15.9" thickTop="1" thickBot="1">
      <c r="A90" s="18">
        <f t="shared" si="3"/>
        <v>9</v>
      </c>
      <c r="B90" s="146" t="s">
        <v>597</v>
      </c>
      <c r="C90" s="13" t="s">
        <v>507</v>
      </c>
      <c r="D90" s="13"/>
      <c r="E90" s="13"/>
      <c r="F90" s="189"/>
      <c r="G90" s="189"/>
      <c r="H90" s="189"/>
      <c r="I90" s="189"/>
      <c r="J90" s="189"/>
      <c r="K90" s="189"/>
      <c r="L90" s="189"/>
      <c r="M90" s="189"/>
      <c r="N90" s="189"/>
      <c r="O90" s="189"/>
      <c r="P90" s="189"/>
      <c r="Q90" s="189"/>
      <c r="R90" s="189"/>
      <c r="S90" s="189"/>
      <c r="T90" s="189"/>
      <c r="U90" s="189"/>
      <c r="V90" s="189"/>
      <c r="W90" s="189"/>
      <c r="X90" s="189"/>
      <c r="Y90" s="189"/>
      <c r="Z90" s="189"/>
      <c r="AA90" s="189"/>
      <c r="AB90" s="189"/>
      <c r="AC90" s="189"/>
      <c r="AD90" s="189"/>
      <c r="AE90" s="189"/>
      <c r="AF90" s="189"/>
      <c r="AG90" s="189"/>
      <c r="AH90" s="189"/>
      <c r="AI90" s="189"/>
      <c r="AJ90" s="189"/>
      <c r="AK90" s="189"/>
      <c r="AL90" s="189"/>
      <c r="AM90" s="189"/>
      <c r="AN90" s="189"/>
      <c r="AO90" s="189"/>
      <c r="AP90" s="189"/>
      <c r="AQ90" s="391"/>
    </row>
    <row r="91" spans="1:43" s="166" customFormat="1" ht="15.9" thickTop="1" thickBot="1">
      <c r="A91" s="18">
        <f t="shared" si="3"/>
        <v>10</v>
      </c>
      <c r="B91" s="146" t="s">
        <v>130</v>
      </c>
      <c r="C91" s="13" t="s">
        <v>508</v>
      </c>
      <c r="D91" s="13"/>
      <c r="E91" s="13"/>
      <c r="F91" s="189"/>
      <c r="G91" s="189"/>
      <c r="H91" s="189"/>
      <c r="I91" s="189"/>
      <c r="J91" s="189"/>
      <c r="K91" s="189"/>
      <c r="L91" s="189"/>
      <c r="M91" s="189"/>
      <c r="N91" s="189"/>
      <c r="O91" s="189"/>
      <c r="P91" s="189"/>
      <c r="Q91" s="189"/>
      <c r="R91" s="189"/>
      <c r="S91" s="189"/>
      <c r="T91" s="189"/>
      <c r="U91" s="189"/>
      <c r="V91" s="189"/>
      <c r="W91" s="189"/>
      <c r="X91" s="189"/>
      <c r="Y91" s="189"/>
      <c r="Z91" s="189"/>
      <c r="AA91" s="189"/>
      <c r="AB91" s="189"/>
      <c r="AC91" s="189"/>
      <c r="AD91" s="189"/>
      <c r="AE91" s="189"/>
      <c r="AF91" s="189"/>
      <c r="AG91" s="189"/>
      <c r="AH91" s="189"/>
      <c r="AI91" s="189"/>
      <c r="AJ91" s="189"/>
      <c r="AK91" s="189"/>
      <c r="AL91" s="189"/>
      <c r="AM91" s="189"/>
      <c r="AN91" s="189"/>
      <c r="AO91" s="189"/>
      <c r="AP91" s="189"/>
      <c r="AQ91" s="391"/>
    </row>
    <row r="92" spans="1:43" s="166" customFormat="1" ht="15.9" thickTop="1" thickBot="1">
      <c r="A92" s="18">
        <f t="shared" si="3"/>
        <v>11</v>
      </c>
      <c r="B92" s="146" t="s">
        <v>598</v>
      </c>
      <c r="C92" s="13" t="s">
        <v>421</v>
      </c>
      <c r="D92" s="13"/>
      <c r="E92" s="13"/>
      <c r="F92" s="189"/>
      <c r="G92" s="189"/>
      <c r="H92" s="189"/>
      <c r="I92" s="189"/>
      <c r="J92" s="189"/>
      <c r="K92" s="189"/>
      <c r="L92" s="189"/>
      <c r="M92" s="189"/>
      <c r="N92" s="189"/>
      <c r="O92" s="189"/>
      <c r="P92" s="189"/>
      <c r="Q92" s="189"/>
      <c r="R92" s="189"/>
      <c r="S92" s="189"/>
      <c r="T92" s="189"/>
      <c r="U92" s="189"/>
      <c r="V92" s="189"/>
      <c r="W92" s="189"/>
      <c r="X92" s="189"/>
      <c r="Y92" s="189"/>
      <c r="Z92" s="189"/>
      <c r="AA92" s="189"/>
      <c r="AB92" s="189"/>
      <c r="AC92" s="189"/>
      <c r="AD92" s="189"/>
      <c r="AE92" s="189"/>
      <c r="AF92" s="189"/>
      <c r="AG92" s="189"/>
      <c r="AH92" s="189"/>
      <c r="AI92" s="189"/>
      <c r="AJ92" s="189"/>
      <c r="AK92" s="189"/>
      <c r="AL92" s="189"/>
      <c r="AM92" s="189"/>
      <c r="AN92" s="189"/>
      <c r="AO92" s="189"/>
      <c r="AP92" s="189"/>
    </row>
    <row r="93" spans="1:43" s="166" customFormat="1" ht="15.9" thickTop="1" thickBot="1">
      <c r="A93" s="18">
        <f t="shared" si="3"/>
        <v>12</v>
      </c>
      <c r="B93" s="146" t="s">
        <v>599</v>
      </c>
      <c r="C93" s="13" t="s">
        <v>509</v>
      </c>
      <c r="D93" s="13"/>
      <c r="E93" s="13"/>
      <c r="F93" s="189"/>
      <c r="G93" s="189"/>
      <c r="H93" s="189"/>
      <c r="I93" s="189"/>
      <c r="J93" s="189"/>
      <c r="K93" s="189"/>
      <c r="L93" s="189"/>
      <c r="M93" s="189"/>
      <c r="N93" s="189"/>
      <c r="O93" s="189"/>
      <c r="P93" s="189"/>
      <c r="Q93" s="189"/>
      <c r="R93" s="189"/>
      <c r="S93" s="189"/>
      <c r="T93" s="189"/>
      <c r="U93" s="189"/>
      <c r="V93" s="189"/>
      <c r="W93" s="189"/>
      <c r="X93" s="189"/>
      <c r="Y93" s="189"/>
      <c r="Z93" s="189"/>
      <c r="AA93" s="189"/>
      <c r="AB93" s="189"/>
      <c r="AC93" s="189"/>
      <c r="AD93" s="189"/>
      <c r="AE93" s="189"/>
      <c r="AF93" s="189"/>
      <c r="AG93" s="189"/>
      <c r="AH93" s="189"/>
      <c r="AI93" s="189"/>
      <c r="AJ93" s="189"/>
      <c r="AK93" s="189"/>
      <c r="AL93" s="189"/>
      <c r="AM93" s="189"/>
      <c r="AN93" s="189"/>
      <c r="AO93" s="189"/>
      <c r="AP93" s="189"/>
    </row>
    <row r="94" spans="1:43" s="166" customFormat="1" ht="15.9" thickTop="1" thickBot="1">
      <c r="A94" s="18">
        <f t="shared" si="3"/>
        <v>13</v>
      </c>
      <c r="B94" s="146" t="s">
        <v>600</v>
      </c>
      <c r="C94" s="13" t="s">
        <v>510</v>
      </c>
      <c r="D94" s="13"/>
      <c r="E94" s="13"/>
      <c r="F94" s="189"/>
      <c r="G94" s="189"/>
      <c r="H94" s="189"/>
      <c r="I94" s="189"/>
      <c r="J94" s="189"/>
      <c r="K94" s="189"/>
      <c r="L94" s="189"/>
      <c r="M94" s="189"/>
      <c r="N94" s="189"/>
      <c r="O94" s="189"/>
      <c r="P94" s="189"/>
      <c r="Q94" s="189"/>
      <c r="R94" s="189"/>
      <c r="S94" s="189"/>
      <c r="T94" s="189"/>
      <c r="U94" s="189"/>
      <c r="V94" s="189"/>
      <c r="W94" s="189"/>
      <c r="X94" s="189"/>
      <c r="Y94" s="189"/>
      <c r="Z94" s="189"/>
      <c r="AA94" s="189"/>
      <c r="AB94" s="189"/>
      <c r="AC94" s="189"/>
      <c r="AD94" s="189"/>
      <c r="AE94" s="189"/>
      <c r="AF94" s="189"/>
      <c r="AG94" s="189"/>
      <c r="AH94" s="189"/>
      <c r="AI94" s="189"/>
      <c r="AJ94" s="189"/>
      <c r="AK94" s="189"/>
      <c r="AL94" s="189"/>
      <c r="AM94" s="189"/>
      <c r="AN94" s="189"/>
      <c r="AO94" s="189"/>
      <c r="AP94" s="189"/>
      <c r="AQ94" s="391"/>
    </row>
    <row r="95" spans="1:43" s="166" customFormat="1" ht="15.9" thickTop="1" thickBot="1">
      <c r="A95" s="18">
        <f t="shared" si="3"/>
        <v>14</v>
      </c>
      <c r="B95" s="146" t="s">
        <v>131</v>
      </c>
      <c r="C95" s="13" t="s">
        <v>511</v>
      </c>
      <c r="D95" s="13"/>
      <c r="E95" s="13"/>
      <c r="F95" s="189"/>
      <c r="G95" s="189"/>
      <c r="H95" s="189"/>
      <c r="I95" s="189"/>
      <c r="J95" s="189"/>
      <c r="K95" s="189"/>
      <c r="L95" s="189"/>
      <c r="M95" s="189"/>
      <c r="N95" s="189"/>
      <c r="O95" s="189"/>
      <c r="P95" s="189"/>
      <c r="Q95" s="189"/>
      <c r="R95" s="189"/>
      <c r="S95" s="189"/>
      <c r="T95" s="189"/>
      <c r="U95" s="189"/>
      <c r="V95" s="189"/>
      <c r="W95" s="189"/>
      <c r="X95" s="189"/>
      <c r="Y95" s="189"/>
      <c r="Z95" s="189"/>
      <c r="AA95" s="189"/>
      <c r="AB95" s="189"/>
      <c r="AC95" s="189"/>
      <c r="AD95" s="189"/>
      <c r="AE95" s="189"/>
      <c r="AF95" s="189"/>
      <c r="AG95" s="189"/>
      <c r="AH95" s="189"/>
      <c r="AI95" s="189"/>
      <c r="AJ95" s="189"/>
      <c r="AK95" s="189"/>
      <c r="AL95" s="189"/>
      <c r="AM95" s="189"/>
      <c r="AN95" s="189"/>
      <c r="AO95" s="189"/>
      <c r="AP95" s="189"/>
      <c r="AQ95" s="391"/>
    </row>
    <row r="96" spans="1:43" s="166" customFormat="1" ht="15.9" thickTop="1" thickBot="1">
      <c r="A96" s="18">
        <f t="shared" si="3"/>
        <v>15</v>
      </c>
      <c r="B96" s="146" t="s">
        <v>132</v>
      </c>
      <c r="C96" s="13" t="s">
        <v>332</v>
      </c>
      <c r="D96" s="13"/>
      <c r="E96" s="13"/>
      <c r="F96" s="189"/>
      <c r="G96" s="189"/>
      <c r="H96" s="189"/>
      <c r="I96" s="189"/>
      <c r="J96" s="189"/>
      <c r="K96" s="189"/>
      <c r="L96" s="189"/>
      <c r="M96" s="189"/>
      <c r="N96" s="189"/>
      <c r="O96" s="189"/>
      <c r="P96" s="189"/>
      <c r="Q96" s="189"/>
      <c r="R96" s="189"/>
      <c r="S96" s="189"/>
      <c r="T96" s="189"/>
      <c r="U96" s="189"/>
      <c r="V96" s="189"/>
      <c r="W96" s="189"/>
      <c r="X96" s="189"/>
      <c r="Y96" s="189"/>
      <c r="Z96" s="189"/>
      <c r="AA96" s="189"/>
      <c r="AB96" s="189"/>
      <c r="AC96" s="189"/>
      <c r="AD96" s="189"/>
      <c r="AE96" s="189"/>
      <c r="AF96" s="189"/>
      <c r="AG96" s="189"/>
      <c r="AH96" s="189"/>
      <c r="AI96" s="189"/>
      <c r="AJ96" s="189"/>
      <c r="AK96" s="189"/>
      <c r="AL96" s="189"/>
      <c r="AM96" s="189"/>
      <c r="AN96" s="189"/>
      <c r="AO96" s="189"/>
      <c r="AP96" s="189"/>
    </row>
    <row r="97" spans="1:43" s="166" customFormat="1" ht="15.9" thickTop="1" thickBot="1">
      <c r="A97" s="18">
        <f t="shared" si="3"/>
        <v>16</v>
      </c>
      <c r="B97" s="146" t="s">
        <v>601</v>
      </c>
      <c r="C97" s="13" t="s">
        <v>333</v>
      </c>
      <c r="D97" s="13"/>
      <c r="E97" s="13"/>
      <c r="F97" s="189"/>
      <c r="G97" s="189"/>
      <c r="H97" s="189"/>
      <c r="I97" s="189"/>
      <c r="J97" s="189"/>
      <c r="K97" s="189"/>
      <c r="L97" s="189"/>
      <c r="M97" s="189"/>
      <c r="N97" s="189"/>
      <c r="O97" s="189"/>
      <c r="P97" s="189"/>
      <c r="Q97" s="189"/>
      <c r="R97" s="189"/>
      <c r="S97" s="189"/>
      <c r="T97" s="189"/>
      <c r="U97" s="189"/>
      <c r="V97" s="189"/>
      <c r="W97" s="189"/>
      <c r="X97" s="189"/>
      <c r="Y97" s="189"/>
      <c r="Z97" s="189"/>
      <c r="AA97" s="189"/>
      <c r="AB97" s="189"/>
      <c r="AC97" s="189"/>
      <c r="AD97" s="189"/>
      <c r="AE97" s="189"/>
      <c r="AF97" s="189"/>
      <c r="AG97" s="189"/>
      <c r="AH97" s="189"/>
      <c r="AI97" s="189"/>
      <c r="AJ97" s="189"/>
      <c r="AK97" s="189"/>
      <c r="AL97" s="189"/>
      <c r="AM97" s="189"/>
      <c r="AN97" s="189"/>
      <c r="AO97" s="189"/>
      <c r="AP97" s="189"/>
      <c r="AQ97" s="391"/>
    </row>
    <row r="98" spans="1:43" s="166" customFormat="1" ht="15.9" thickTop="1" thickBot="1">
      <c r="A98" s="18">
        <f t="shared" si="3"/>
        <v>17</v>
      </c>
      <c r="B98" s="146" t="s">
        <v>602</v>
      </c>
      <c r="C98" s="13" t="s">
        <v>334</v>
      </c>
      <c r="D98" s="13"/>
      <c r="E98" s="13"/>
      <c r="F98" s="189"/>
      <c r="G98" s="189"/>
      <c r="H98" s="189"/>
      <c r="I98" s="189"/>
      <c r="J98" s="189"/>
      <c r="K98" s="189"/>
      <c r="L98" s="189"/>
      <c r="M98" s="189"/>
      <c r="N98" s="189"/>
      <c r="O98" s="189"/>
      <c r="P98" s="189"/>
      <c r="Q98" s="189"/>
      <c r="R98" s="189"/>
      <c r="S98" s="189"/>
      <c r="T98" s="189"/>
      <c r="U98" s="189"/>
      <c r="V98" s="189"/>
      <c r="W98" s="189"/>
      <c r="X98" s="189"/>
      <c r="Y98" s="189"/>
      <c r="Z98" s="189"/>
      <c r="AA98" s="189"/>
      <c r="AB98" s="189"/>
      <c r="AC98" s="189"/>
      <c r="AD98" s="189"/>
      <c r="AE98" s="189"/>
      <c r="AF98" s="189"/>
      <c r="AG98" s="189"/>
      <c r="AH98" s="189"/>
      <c r="AI98" s="189"/>
      <c r="AJ98" s="189"/>
      <c r="AK98" s="189"/>
      <c r="AL98" s="189"/>
      <c r="AM98" s="189"/>
      <c r="AN98" s="189"/>
      <c r="AO98" s="189"/>
      <c r="AP98" s="189"/>
    </row>
    <row r="99" spans="1:43" s="166" customFormat="1" ht="15.9" thickTop="1" thickBot="1">
      <c r="A99" s="18">
        <f t="shared" si="3"/>
        <v>18</v>
      </c>
      <c r="B99" s="146" t="s">
        <v>293</v>
      </c>
      <c r="C99" s="13" t="s">
        <v>525</v>
      </c>
      <c r="D99" s="13"/>
      <c r="E99" s="13"/>
      <c r="F99" s="189"/>
      <c r="G99" s="189"/>
      <c r="H99" s="189"/>
      <c r="I99" s="189"/>
      <c r="J99" s="189"/>
      <c r="K99" s="189"/>
      <c r="L99" s="189"/>
      <c r="M99" s="189"/>
      <c r="N99" s="189"/>
      <c r="O99" s="189"/>
      <c r="P99" s="189"/>
      <c r="Q99" s="189"/>
      <c r="R99" s="189"/>
      <c r="S99" s="189"/>
      <c r="T99" s="189"/>
      <c r="U99" s="189"/>
      <c r="V99" s="189"/>
      <c r="W99" s="189"/>
      <c r="X99" s="189"/>
      <c r="Y99" s="189"/>
      <c r="Z99" s="189"/>
      <c r="AA99" s="189"/>
      <c r="AB99" s="189"/>
      <c r="AC99" s="189"/>
      <c r="AD99" s="189"/>
      <c r="AE99" s="189"/>
      <c r="AF99" s="189"/>
      <c r="AG99" s="189"/>
      <c r="AH99" s="189"/>
      <c r="AI99" s="189"/>
      <c r="AJ99" s="189"/>
      <c r="AK99" s="189"/>
      <c r="AL99" s="189"/>
      <c r="AM99" s="189"/>
      <c r="AN99" s="189"/>
      <c r="AO99" s="189"/>
      <c r="AP99" s="189"/>
    </row>
    <row r="100" spans="1:43" s="166" customFormat="1" ht="15.9" thickTop="1" thickBot="1">
      <c r="A100" s="18">
        <f t="shared" si="3"/>
        <v>19</v>
      </c>
      <c r="B100" s="146" t="s">
        <v>133</v>
      </c>
      <c r="C100" s="13" t="s">
        <v>580</v>
      </c>
      <c r="D100" s="13"/>
      <c r="E100" s="13"/>
      <c r="F100" s="189"/>
      <c r="G100" s="189"/>
      <c r="H100" s="189"/>
      <c r="I100" s="189"/>
      <c r="J100" s="189"/>
      <c r="K100" s="189"/>
      <c r="L100" s="189"/>
      <c r="M100" s="189"/>
      <c r="N100" s="189"/>
      <c r="O100" s="189"/>
      <c r="P100" s="189"/>
      <c r="Q100" s="189"/>
      <c r="R100" s="189"/>
      <c r="S100" s="189"/>
      <c r="T100" s="189"/>
      <c r="U100" s="189"/>
      <c r="V100" s="189"/>
      <c r="W100" s="189"/>
      <c r="X100" s="189"/>
      <c r="Y100" s="189"/>
      <c r="Z100" s="189"/>
      <c r="AA100" s="189"/>
      <c r="AB100" s="189"/>
      <c r="AC100" s="189"/>
      <c r="AD100" s="189"/>
      <c r="AE100" s="189"/>
      <c r="AF100" s="189"/>
      <c r="AG100" s="189"/>
      <c r="AH100" s="189"/>
      <c r="AI100" s="189"/>
      <c r="AJ100" s="189"/>
      <c r="AK100" s="189"/>
      <c r="AL100" s="189"/>
      <c r="AM100" s="189"/>
      <c r="AN100" s="189"/>
      <c r="AO100" s="189"/>
      <c r="AP100" s="189"/>
      <c r="AQ100" s="391"/>
    </row>
    <row r="101" spans="1:43" s="166" customFormat="1" ht="15.9" thickTop="1" thickBot="1">
      <c r="A101" s="18">
        <f t="shared" si="3"/>
        <v>20</v>
      </c>
      <c r="B101" s="146" t="s">
        <v>134</v>
      </c>
      <c r="C101" s="13" t="s">
        <v>526</v>
      </c>
      <c r="D101" s="13"/>
      <c r="E101" s="13"/>
      <c r="F101" s="189"/>
      <c r="G101" s="189"/>
      <c r="H101" s="189"/>
      <c r="I101" s="189"/>
      <c r="J101" s="189"/>
      <c r="K101" s="189"/>
      <c r="L101" s="189"/>
      <c r="M101" s="189"/>
      <c r="N101" s="189"/>
      <c r="O101" s="189"/>
      <c r="P101" s="189"/>
      <c r="Q101" s="189"/>
      <c r="R101" s="189"/>
      <c r="S101" s="189"/>
      <c r="T101" s="189"/>
      <c r="U101" s="189"/>
      <c r="V101" s="189"/>
      <c r="W101" s="189"/>
      <c r="X101" s="189"/>
      <c r="Y101" s="189"/>
      <c r="Z101" s="189"/>
      <c r="AA101" s="189"/>
      <c r="AB101" s="189"/>
      <c r="AC101" s="189"/>
      <c r="AD101" s="189"/>
      <c r="AE101" s="189"/>
      <c r="AF101" s="189"/>
      <c r="AG101" s="189"/>
      <c r="AH101" s="189"/>
      <c r="AI101" s="189"/>
      <c r="AJ101" s="189"/>
      <c r="AK101" s="189"/>
      <c r="AL101" s="189"/>
      <c r="AM101" s="189"/>
      <c r="AN101" s="189"/>
      <c r="AO101" s="189"/>
      <c r="AP101" s="189"/>
    </row>
    <row r="102" spans="1:43" s="166" customFormat="1" ht="15.9" thickTop="1" thickBot="1">
      <c r="A102" s="18">
        <f t="shared" si="3"/>
        <v>21</v>
      </c>
      <c r="B102" s="146" t="s">
        <v>205</v>
      </c>
      <c r="C102" s="13" t="s">
        <v>371</v>
      </c>
      <c r="D102" s="13"/>
      <c r="E102" s="13"/>
      <c r="F102" s="189"/>
      <c r="G102" s="189"/>
      <c r="H102" s="189"/>
      <c r="I102" s="189"/>
      <c r="J102" s="189"/>
      <c r="K102" s="189"/>
      <c r="L102" s="189"/>
      <c r="M102" s="189"/>
      <c r="N102" s="189"/>
      <c r="O102" s="189"/>
      <c r="P102" s="189"/>
      <c r="Q102" s="189"/>
      <c r="R102" s="189"/>
      <c r="S102" s="189"/>
      <c r="T102" s="189"/>
      <c r="U102" s="189"/>
      <c r="V102" s="189"/>
      <c r="W102" s="189"/>
      <c r="X102" s="189"/>
      <c r="Y102" s="189"/>
      <c r="Z102" s="189"/>
      <c r="AA102" s="189"/>
      <c r="AB102" s="189"/>
      <c r="AC102" s="189"/>
      <c r="AD102" s="189"/>
      <c r="AE102" s="189"/>
      <c r="AF102" s="189"/>
      <c r="AG102" s="189"/>
      <c r="AH102" s="189"/>
      <c r="AI102" s="189"/>
      <c r="AJ102" s="189"/>
      <c r="AK102" s="189"/>
      <c r="AL102" s="189"/>
      <c r="AM102" s="189"/>
      <c r="AN102" s="189"/>
      <c r="AO102" s="189"/>
      <c r="AP102" s="189"/>
    </row>
    <row r="103" spans="1:43" s="166" customFormat="1" ht="15.9" thickTop="1" thickBot="1">
      <c r="A103" s="18">
        <f t="shared" si="3"/>
        <v>22</v>
      </c>
      <c r="B103" s="146" t="s">
        <v>206</v>
      </c>
      <c r="C103" s="13" t="s">
        <v>527</v>
      </c>
      <c r="D103" s="13"/>
      <c r="E103" s="13"/>
      <c r="F103" s="189"/>
      <c r="G103" s="189"/>
      <c r="H103" s="189"/>
      <c r="I103" s="189"/>
      <c r="J103" s="189"/>
      <c r="K103" s="189"/>
      <c r="L103" s="189"/>
      <c r="M103" s="189"/>
      <c r="N103" s="189"/>
      <c r="O103" s="189"/>
      <c r="P103" s="189"/>
      <c r="Q103" s="189"/>
      <c r="R103" s="189"/>
      <c r="S103" s="189"/>
      <c r="T103" s="189"/>
      <c r="U103" s="189"/>
      <c r="V103" s="189"/>
      <c r="W103" s="189"/>
      <c r="X103" s="189"/>
      <c r="Y103" s="189"/>
      <c r="Z103" s="189"/>
      <c r="AA103" s="189"/>
      <c r="AB103" s="189"/>
      <c r="AC103" s="189"/>
      <c r="AD103" s="189"/>
      <c r="AE103" s="189"/>
      <c r="AF103" s="189"/>
      <c r="AG103" s="189"/>
      <c r="AH103" s="189"/>
      <c r="AI103" s="189"/>
      <c r="AJ103" s="189"/>
      <c r="AK103" s="189"/>
      <c r="AL103" s="189"/>
      <c r="AM103" s="189"/>
      <c r="AN103" s="189"/>
      <c r="AO103" s="189"/>
      <c r="AP103" s="189"/>
    </row>
    <row r="104" spans="1:43" s="166" customFormat="1" ht="15.9" thickTop="1" thickBot="1">
      <c r="A104" s="18">
        <f t="shared" si="3"/>
        <v>23</v>
      </c>
      <c r="B104" s="146" t="s">
        <v>207</v>
      </c>
      <c r="C104" s="13" t="s">
        <v>528</v>
      </c>
      <c r="D104" s="13"/>
      <c r="E104" s="13"/>
      <c r="F104" s="189"/>
      <c r="G104" s="189"/>
      <c r="H104" s="189"/>
      <c r="I104" s="189"/>
      <c r="J104" s="189"/>
      <c r="K104" s="189"/>
      <c r="L104" s="189"/>
      <c r="M104" s="189"/>
      <c r="N104" s="189"/>
      <c r="O104" s="189"/>
      <c r="P104" s="189"/>
      <c r="Q104" s="189"/>
      <c r="R104" s="189"/>
      <c r="S104" s="189"/>
      <c r="T104" s="189"/>
      <c r="U104" s="189"/>
      <c r="V104" s="189"/>
      <c r="W104" s="189"/>
      <c r="X104" s="189"/>
      <c r="Y104" s="189"/>
      <c r="Z104" s="189"/>
      <c r="AA104" s="189"/>
      <c r="AB104" s="189"/>
      <c r="AC104" s="189"/>
      <c r="AD104" s="189"/>
      <c r="AE104" s="189"/>
      <c r="AF104" s="189"/>
      <c r="AG104" s="189"/>
      <c r="AH104" s="189"/>
      <c r="AI104" s="189"/>
      <c r="AJ104" s="189"/>
      <c r="AK104" s="189"/>
      <c r="AL104" s="189"/>
      <c r="AM104" s="189"/>
      <c r="AN104" s="189"/>
      <c r="AO104" s="189"/>
      <c r="AP104" s="189"/>
    </row>
    <row r="105" spans="1:43" s="166" customFormat="1" ht="15.9" thickTop="1" thickBot="1">
      <c r="A105" s="18">
        <f t="shared" si="3"/>
        <v>24</v>
      </c>
      <c r="B105" s="146" t="s">
        <v>208</v>
      </c>
      <c r="C105" s="13" t="s">
        <v>529</v>
      </c>
      <c r="D105" s="13"/>
      <c r="E105" s="13"/>
      <c r="F105" s="189"/>
      <c r="G105" s="189"/>
      <c r="H105" s="189"/>
      <c r="I105" s="189"/>
      <c r="J105" s="189"/>
      <c r="K105" s="189"/>
      <c r="L105" s="189"/>
      <c r="M105" s="189"/>
      <c r="N105" s="189"/>
      <c r="O105" s="189"/>
      <c r="P105" s="189"/>
      <c r="Q105" s="189"/>
      <c r="R105" s="189"/>
      <c r="S105" s="189"/>
      <c r="T105" s="189"/>
      <c r="U105" s="189"/>
      <c r="V105" s="189"/>
      <c r="W105" s="189"/>
      <c r="X105" s="189"/>
      <c r="Y105" s="189"/>
      <c r="Z105" s="189"/>
      <c r="AA105" s="189"/>
      <c r="AB105" s="189"/>
      <c r="AC105" s="189"/>
      <c r="AD105" s="189"/>
      <c r="AE105" s="189"/>
      <c r="AF105" s="189"/>
      <c r="AG105" s="189"/>
      <c r="AH105" s="189"/>
      <c r="AI105" s="189"/>
      <c r="AJ105" s="189"/>
      <c r="AK105" s="189"/>
      <c r="AL105" s="189"/>
      <c r="AM105" s="189"/>
      <c r="AN105" s="189"/>
      <c r="AO105" s="189"/>
      <c r="AP105" s="189"/>
    </row>
    <row r="106" spans="1:43" s="166" customFormat="1" ht="15.9" thickTop="1" thickBot="1">
      <c r="A106" s="18">
        <f t="shared" si="3"/>
        <v>25</v>
      </c>
      <c r="B106" s="146" t="s">
        <v>209</v>
      </c>
      <c r="C106" s="13" t="s">
        <v>530</v>
      </c>
      <c r="D106" s="13"/>
      <c r="E106" s="13"/>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C106" s="189"/>
      <c r="AD106" s="189"/>
      <c r="AE106" s="189"/>
      <c r="AF106" s="189"/>
      <c r="AG106" s="189"/>
      <c r="AH106" s="189"/>
      <c r="AI106" s="189"/>
      <c r="AJ106" s="189"/>
      <c r="AK106" s="189"/>
      <c r="AL106" s="189"/>
      <c r="AM106" s="189"/>
      <c r="AN106" s="189"/>
      <c r="AO106" s="189"/>
      <c r="AP106" s="189"/>
      <c r="AQ106" s="391"/>
    </row>
    <row r="107" spans="1:43" s="166" customFormat="1" ht="15.9" thickTop="1" thickBot="1">
      <c r="A107" s="18">
        <f t="shared" si="3"/>
        <v>26</v>
      </c>
      <c r="B107" s="146" t="s">
        <v>210</v>
      </c>
      <c r="C107" s="13" t="s">
        <v>423</v>
      </c>
      <c r="D107" s="13"/>
      <c r="E107" s="13"/>
      <c r="F107" s="189"/>
      <c r="G107" s="189"/>
      <c r="H107" s="189"/>
      <c r="I107" s="189"/>
      <c r="J107" s="189"/>
      <c r="K107" s="189"/>
      <c r="L107" s="189"/>
      <c r="M107" s="189"/>
      <c r="N107" s="189"/>
      <c r="O107" s="189"/>
      <c r="P107" s="189"/>
      <c r="Q107" s="189"/>
      <c r="R107" s="189"/>
      <c r="S107" s="189"/>
      <c r="T107" s="189"/>
      <c r="U107" s="189"/>
      <c r="V107" s="189"/>
      <c r="W107" s="189"/>
      <c r="X107" s="189"/>
      <c r="Y107" s="189"/>
      <c r="Z107" s="189"/>
      <c r="AA107" s="189"/>
      <c r="AB107" s="189"/>
      <c r="AC107" s="189"/>
      <c r="AD107" s="189"/>
      <c r="AE107" s="189"/>
      <c r="AF107" s="189"/>
      <c r="AG107" s="189"/>
      <c r="AH107" s="189"/>
      <c r="AI107" s="189"/>
      <c r="AJ107" s="189"/>
      <c r="AK107" s="189"/>
      <c r="AL107" s="189"/>
      <c r="AM107" s="189"/>
      <c r="AN107" s="189"/>
      <c r="AO107" s="189"/>
      <c r="AP107" s="189"/>
    </row>
    <row r="108" spans="1:43" s="166" customFormat="1" ht="15.9" thickTop="1" thickBot="1">
      <c r="A108" s="18">
        <f t="shared" si="3"/>
        <v>27</v>
      </c>
      <c r="B108" s="146" t="s">
        <v>211</v>
      </c>
      <c r="C108" s="13" t="s">
        <v>531</v>
      </c>
      <c r="D108" s="13"/>
      <c r="E108" s="13"/>
      <c r="F108" s="189"/>
      <c r="G108" s="189"/>
      <c r="H108" s="189"/>
      <c r="I108" s="189"/>
      <c r="J108" s="189"/>
      <c r="K108" s="189"/>
      <c r="L108" s="189"/>
      <c r="M108" s="189"/>
      <c r="N108" s="189"/>
      <c r="O108" s="189"/>
      <c r="P108" s="189"/>
      <c r="Q108" s="189"/>
      <c r="R108" s="189"/>
      <c r="S108" s="189"/>
      <c r="T108" s="189"/>
      <c r="U108" s="189"/>
      <c r="V108" s="189"/>
      <c r="W108" s="189"/>
      <c r="X108" s="189"/>
      <c r="Y108" s="189"/>
      <c r="Z108" s="189"/>
      <c r="AA108" s="189"/>
      <c r="AB108" s="189"/>
      <c r="AC108" s="189"/>
      <c r="AD108" s="189"/>
      <c r="AE108" s="189"/>
      <c r="AF108" s="189"/>
      <c r="AG108" s="189"/>
      <c r="AH108" s="189"/>
      <c r="AI108" s="189"/>
      <c r="AJ108" s="189"/>
      <c r="AK108" s="189"/>
      <c r="AL108" s="189"/>
      <c r="AM108" s="189"/>
      <c r="AN108" s="189"/>
      <c r="AO108" s="189"/>
      <c r="AP108" s="189"/>
    </row>
    <row r="109" spans="1:43" s="166" customFormat="1" ht="15.9" thickTop="1" thickBot="1">
      <c r="A109" s="18">
        <f t="shared" si="3"/>
        <v>28</v>
      </c>
      <c r="B109" s="16" t="s">
        <v>212</v>
      </c>
      <c r="C109" s="13" t="s">
        <v>136</v>
      </c>
      <c r="D109" s="13"/>
      <c r="E109" s="13"/>
      <c r="F109" s="189"/>
      <c r="G109" s="189"/>
      <c r="H109" s="189"/>
      <c r="I109" s="189"/>
      <c r="J109" s="189"/>
      <c r="K109" s="189"/>
      <c r="L109" s="189"/>
      <c r="M109" s="189"/>
      <c r="N109" s="189"/>
      <c r="O109" s="189"/>
      <c r="P109" s="189"/>
      <c r="Q109" s="189"/>
      <c r="R109" s="189"/>
      <c r="S109" s="189"/>
      <c r="T109" s="189"/>
      <c r="U109" s="189"/>
      <c r="V109" s="189"/>
      <c r="W109" s="189"/>
      <c r="X109" s="189"/>
      <c r="Y109" s="189"/>
      <c r="Z109" s="189"/>
      <c r="AA109" s="189"/>
      <c r="AB109" s="189"/>
      <c r="AC109" s="189"/>
      <c r="AD109" s="189"/>
      <c r="AE109" s="189"/>
      <c r="AF109" s="189"/>
      <c r="AG109" s="189"/>
      <c r="AH109" s="189"/>
      <c r="AI109" s="189"/>
      <c r="AJ109" s="189"/>
      <c r="AK109" s="189"/>
      <c r="AL109" s="189"/>
      <c r="AM109" s="189"/>
      <c r="AN109" s="189"/>
      <c r="AO109" s="189"/>
      <c r="AP109" s="189"/>
    </row>
    <row r="110" spans="1:43" s="166" customFormat="1" ht="15.9" thickTop="1" thickBot="1">
      <c r="A110" s="18">
        <f t="shared" si="3"/>
        <v>29</v>
      </c>
      <c r="B110" s="146" t="s">
        <v>213</v>
      </c>
      <c r="C110" s="13" t="s">
        <v>532</v>
      </c>
      <c r="D110" s="13"/>
      <c r="E110" s="13"/>
      <c r="F110" s="189"/>
      <c r="G110" s="189"/>
      <c r="H110" s="189"/>
      <c r="I110" s="189"/>
      <c r="J110" s="189"/>
      <c r="K110" s="189"/>
      <c r="L110" s="189"/>
      <c r="M110" s="189"/>
      <c r="N110" s="189"/>
      <c r="O110" s="189"/>
      <c r="P110" s="189"/>
      <c r="Q110" s="189"/>
      <c r="R110" s="189"/>
      <c r="S110" s="189"/>
      <c r="T110" s="189"/>
      <c r="U110" s="189"/>
      <c r="V110" s="189"/>
      <c r="W110" s="189"/>
      <c r="X110" s="189"/>
      <c r="Y110" s="189"/>
      <c r="Z110" s="189"/>
      <c r="AA110" s="189"/>
      <c r="AB110" s="189"/>
      <c r="AC110" s="189"/>
      <c r="AD110" s="189"/>
      <c r="AE110" s="189"/>
      <c r="AF110" s="189"/>
      <c r="AG110" s="189"/>
      <c r="AH110" s="189"/>
      <c r="AI110" s="189"/>
      <c r="AJ110" s="189"/>
      <c r="AK110" s="189"/>
      <c r="AL110" s="189"/>
      <c r="AM110" s="189"/>
      <c r="AN110" s="189"/>
      <c r="AO110" s="189"/>
      <c r="AP110" s="189"/>
    </row>
    <row r="111" spans="1:43" s="14" customFormat="1" ht="15.9" thickTop="1" thickBot="1">
      <c r="A111" s="18">
        <f t="shared" si="3"/>
        <v>30</v>
      </c>
      <c r="B111" s="146" t="s">
        <v>214</v>
      </c>
      <c r="C111" s="13" t="s">
        <v>424</v>
      </c>
      <c r="D111" s="13"/>
      <c r="E111" s="13"/>
      <c r="F111" s="189"/>
      <c r="G111" s="189"/>
      <c r="H111" s="189"/>
      <c r="I111" s="189"/>
      <c r="J111" s="189"/>
      <c r="K111" s="189"/>
      <c r="L111" s="189"/>
      <c r="M111" s="189"/>
      <c r="N111" s="189"/>
      <c r="O111" s="189"/>
      <c r="P111" s="189"/>
      <c r="Q111" s="189"/>
      <c r="R111" s="189"/>
      <c r="S111" s="189"/>
      <c r="T111" s="189"/>
      <c r="U111" s="189"/>
      <c r="V111" s="189"/>
      <c r="W111" s="189"/>
      <c r="X111" s="189"/>
      <c r="Y111" s="189"/>
      <c r="Z111" s="189"/>
      <c r="AA111" s="189"/>
      <c r="AB111" s="189"/>
      <c r="AC111" s="189"/>
      <c r="AD111" s="189"/>
      <c r="AE111" s="189"/>
      <c r="AF111" s="189"/>
      <c r="AG111" s="189"/>
      <c r="AH111" s="189"/>
      <c r="AI111" s="189"/>
      <c r="AJ111" s="189"/>
      <c r="AK111" s="189"/>
      <c r="AL111" s="189"/>
      <c r="AM111" s="189"/>
      <c r="AN111" s="189"/>
      <c r="AO111" s="189"/>
      <c r="AP111" s="189"/>
      <c r="AQ111" s="26"/>
    </row>
    <row r="112" spans="1:43" s="166" customFormat="1" ht="15.9" thickTop="1" thickBot="1">
      <c r="A112" s="18">
        <f t="shared" si="3"/>
        <v>31</v>
      </c>
      <c r="B112" s="146" t="s">
        <v>215</v>
      </c>
      <c r="C112" s="20" t="s">
        <v>425</v>
      </c>
      <c r="D112" s="20"/>
      <c r="E112" s="20"/>
      <c r="F112" s="189"/>
      <c r="G112" s="189"/>
      <c r="H112" s="189"/>
      <c r="I112" s="189"/>
      <c r="J112" s="189"/>
      <c r="K112" s="189"/>
      <c r="L112" s="189"/>
      <c r="M112" s="189"/>
      <c r="N112" s="189"/>
      <c r="O112" s="189"/>
      <c r="P112" s="189"/>
      <c r="Q112" s="189"/>
      <c r="R112" s="189"/>
      <c r="S112" s="189"/>
      <c r="T112" s="189"/>
      <c r="U112" s="189"/>
      <c r="V112" s="189"/>
      <c r="W112" s="189"/>
      <c r="X112" s="189"/>
      <c r="Y112" s="189"/>
      <c r="Z112" s="189"/>
      <c r="AA112" s="189"/>
      <c r="AB112" s="189"/>
      <c r="AC112" s="189"/>
      <c r="AD112" s="189"/>
      <c r="AE112" s="189"/>
      <c r="AF112" s="189"/>
      <c r="AG112" s="189"/>
      <c r="AH112" s="189"/>
      <c r="AI112" s="189"/>
      <c r="AJ112" s="189"/>
      <c r="AK112" s="189"/>
      <c r="AL112" s="189"/>
      <c r="AM112" s="189"/>
      <c r="AN112" s="189"/>
      <c r="AO112" s="189"/>
      <c r="AP112" s="189"/>
    </row>
    <row r="113" spans="1:43" s="166" customFormat="1" ht="15.9" thickTop="1" thickBot="1">
      <c r="A113" s="18">
        <f t="shared" si="3"/>
        <v>32</v>
      </c>
      <c r="B113" s="146" t="s">
        <v>216</v>
      </c>
      <c r="C113" s="20" t="s">
        <v>426</v>
      </c>
      <c r="D113" s="20"/>
      <c r="E113" s="20"/>
      <c r="F113" s="189"/>
      <c r="G113" s="189"/>
      <c r="H113" s="189"/>
      <c r="I113" s="189"/>
      <c r="J113" s="189"/>
      <c r="K113" s="189"/>
      <c r="L113" s="189"/>
      <c r="M113" s="189"/>
      <c r="N113" s="189"/>
      <c r="O113" s="189"/>
      <c r="P113" s="189"/>
      <c r="Q113" s="189"/>
      <c r="R113" s="189"/>
      <c r="S113" s="189"/>
      <c r="T113" s="189"/>
      <c r="U113" s="189"/>
      <c r="V113" s="189"/>
      <c r="W113" s="189"/>
      <c r="X113" s="189"/>
      <c r="Y113" s="189"/>
      <c r="Z113" s="189"/>
      <c r="AA113" s="189"/>
      <c r="AB113" s="189"/>
      <c r="AC113" s="189"/>
      <c r="AD113" s="189"/>
      <c r="AE113" s="189"/>
      <c r="AF113" s="189"/>
      <c r="AG113" s="189"/>
      <c r="AH113" s="189"/>
      <c r="AI113" s="189"/>
      <c r="AJ113" s="189"/>
      <c r="AK113" s="189"/>
      <c r="AL113" s="189"/>
      <c r="AM113" s="189"/>
      <c r="AN113" s="189"/>
      <c r="AO113" s="189"/>
      <c r="AP113" s="189"/>
    </row>
    <row r="114" spans="1:43" s="166" customFormat="1" ht="15.9" thickTop="1" thickBot="1">
      <c r="A114" s="18">
        <f t="shared" si="3"/>
        <v>33</v>
      </c>
      <c r="B114" s="146" t="s">
        <v>294</v>
      </c>
      <c r="C114" s="13" t="s">
        <v>427</v>
      </c>
      <c r="D114" s="13"/>
      <c r="E114" s="13"/>
      <c r="F114" s="189"/>
      <c r="G114" s="189"/>
      <c r="H114" s="189"/>
      <c r="I114" s="189"/>
      <c r="J114" s="189"/>
      <c r="K114" s="189"/>
      <c r="L114" s="189"/>
      <c r="M114" s="189"/>
      <c r="N114" s="189"/>
      <c r="O114" s="189"/>
      <c r="P114" s="189"/>
      <c r="Q114" s="189"/>
      <c r="R114" s="189"/>
      <c r="S114" s="189"/>
      <c r="T114" s="189"/>
      <c r="U114" s="189"/>
      <c r="V114" s="189"/>
      <c r="W114" s="189"/>
      <c r="X114" s="189"/>
      <c r="Y114" s="189"/>
      <c r="Z114" s="189"/>
      <c r="AA114" s="189"/>
      <c r="AB114" s="189"/>
      <c r="AC114" s="189"/>
      <c r="AD114" s="189"/>
      <c r="AE114" s="189"/>
      <c r="AF114" s="189"/>
      <c r="AG114" s="189"/>
      <c r="AH114" s="189"/>
      <c r="AI114" s="189"/>
      <c r="AJ114" s="189"/>
      <c r="AK114" s="189"/>
      <c r="AL114" s="189"/>
      <c r="AM114" s="189"/>
      <c r="AN114" s="189"/>
      <c r="AO114" s="189"/>
      <c r="AP114" s="189"/>
      <c r="AQ114" s="391"/>
    </row>
    <row r="115" spans="1:43" s="166" customFormat="1" ht="15.9" thickTop="1" thickBot="1">
      <c r="A115" s="18">
        <f t="shared" ref="A115:A146" si="4">A114+1</f>
        <v>34</v>
      </c>
      <c r="B115" s="146" t="s">
        <v>217</v>
      </c>
      <c r="C115" s="20" t="s">
        <v>428</v>
      </c>
      <c r="D115" s="20"/>
      <c r="E115" s="20"/>
      <c r="F115" s="189"/>
      <c r="G115" s="189"/>
      <c r="H115" s="189"/>
      <c r="I115" s="189"/>
      <c r="J115" s="189"/>
      <c r="K115" s="189"/>
      <c r="L115" s="189"/>
      <c r="M115" s="189"/>
      <c r="N115" s="189"/>
      <c r="O115" s="189"/>
      <c r="P115" s="189"/>
      <c r="Q115" s="189"/>
      <c r="R115" s="189"/>
      <c r="S115" s="189"/>
      <c r="T115" s="189"/>
      <c r="U115" s="189"/>
      <c r="V115" s="189"/>
      <c r="W115" s="189"/>
      <c r="X115" s="189"/>
      <c r="Y115" s="189"/>
      <c r="Z115" s="189"/>
      <c r="AA115" s="189"/>
      <c r="AB115" s="189"/>
      <c r="AC115" s="189"/>
      <c r="AD115" s="189"/>
      <c r="AE115" s="189"/>
      <c r="AF115" s="189"/>
      <c r="AG115" s="189"/>
      <c r="AH115" s="189"/>
      <c r="AI115" s="189"/>
      <c r="AJ115" s="189"/>
      <c r="AK115" s="189"/>
      <c r="AL115" s="189"/>
      <c r="AM115" s="189"/>
      <c r="AN115" s="189"/>
      <c r="AO115" s="189"/>
      <c r="AP115" s="189"/>
    </row>
    <row r="116" spans="1:43" s="166" customFormat="1" ht="15.9" thickTop="1" thickBot="1">
      <c r="A116" s="18">
        <f t="shared" si="4"/>
        <v>35</v>
      </c>
      <c r="B116" s="146" t="s">
        <v>218</v>
      </c>
      <c r="C116" s="20" t="s">
        <v>429</v>
      </c>
      <c r="D116" s="20"/>
      <c r="E116" s="20"/>
      <c r="F116" s="189"/>
      <c r="G116" s="189"/>
      <c r="H116" s="189"/>
      <c r="I116" s="189"/>
      <c r="J116" s="189"/>
      <c r="K116" s="189"/>
      <c r="L116" s="189"/>
      <c r="M116" s="189"/>
      <c r="N116" s="189"/>
      <c r="O116" s="189"/>
      <c r="P116" s="189"/>
      <c r="Q116" s="189"/>
      <c r="R116" s="189"/>
      <c r="S116" s="189"/>
      <c r="T116" s="189"/>
      <c r="U116" s="189"/>
      <c r="V116" s="189"/>
      <c r="W116" s="189"/>
      <c r="X116" s="189"/>
      <c r="Y116" s="189"/>
      <c r="Z116" s="189"/>
      <c r="AA116" s="189"/>
      <c r="AB116" s="189"/>
      <c r="AC116" s="189"/>
      <c r="AD116" s="189"/>
      <c r="AE116" s="189"/>
      <c r="AF116" s="189"/>
      <c r="AG116" s="189"/>
      <c r="AH116" s="189"/>
      <c r="AI116" s="189"/>
      <c r="AJ116" s="189"/>
      <c r="AK116" s="189"/>
      <c r="AL116" s="189"/>
      <c r="AM116" s="189"/>
      <c r="AN116" s="189"/>
      <c r="AO116" s="189"/>
      <c r="AP116" s="189"/>
    </row>
    <row r="117" spans="1:43" s="14" customFormat="1" ht="15.9" thickTop="1" thickBot="1">
      <c r="A117" s="18">
        <f t="shared" si="4"/>
        <v>36</v>
      </c>
      <c r="B117" s="146" t="s">
        <v>219</v>
      </c>
      <c r="C117" s="13" t="s">
        <v>430</v>
      </c>
      <c r="D117" s="13"/>
      <c r="E117" s="13"/>
      <c r="F117" s="189"/>
      <c r="G117" s="189"/>
      <c r="H117" s="189"/>
      <c r="I117" s="189"/>
      <c r="J117" s="189"/>
      <c r="K117" s="189"/>
      <c r="L117" s="189"/>
      <c r="M117" s="189"/>
      <c r="N117" s="189"/>
      <c r="O117" s="189"/>
      <c r="P117" s="189"/>
      <c r="Q117" s="189"/>
      <c r="R117" s="189"/>
      <c r="S117" s="189"/>
      <c r="T117" s="189"/>
      <c r="U117" s="189"/>
      <c r="V117" s="189"/>
      <c r="W117" s="189"/>
      <c r="X117" s="189"/>
      <c r="Y117" s="189"/>
      <c r="Z117" s="189"/>
      <c r="AA117" s="189"/>
      <c r="AB117" s="189"/>
      <c r="AC117" s="189"/>
      <c r="AD117" s="189"/>
      <c r="AE117" s="189"/>
      <c r="AF117" s="189"/>
      <c r="AG117" s="189"/>
      <c r="AH117" s="189"/>
      <c r="AI117" s="189"/>
      <c r="AJ117" s="189"/>
      <c r="AK117" s="189"/>
      <c r="AL117" s="189"/>
      <c r="AM117" s="189"/>
      <c r="AN117" s="189"/>
      <c r="AO117" s="189"/>
      <c r="AP117" s="189"/>
      <c r="AQ117" s="26"/>
    </row>
    <row r="118" spans="1:43" s="166" customFormat="1" ht="15.9" thickTop="1" thickBot="1">
      <c r="A118" s="18">
        <f t="shared" si="4"/>
        <v>37</v>
      </c>
      <c r="B118" s="146" t="s">
        <v>220</v>
      </c>
      <c r="C118" s="13" t="s">
        <v>534</v>
      </c>
      <c r="D118" s="13"/>
      <c r="E118" s="13"/>
      <c r="F118" s="189"/>
      <c r="G118" s="189"/>
      <c r="H118" s="189"/>
      <c r="I118" s="189"/>
      <c r="J118" s="189"/>
      <c r="K118" s="189"/>
      <c r="L118" s="189"/>
      <c r="M118" s="189"/>
      <c r="N118" s="189"/>
      <c r="O118" s="189"/>
      <c r="P118" s="189"/>
      <c r="Q118" s="189"/>
      <c r="R118" s="189"/>
      <c r="S118" s="189"/>
      <c r="T118" s="189"/>
      <c r="U118" s="189"/>
      <c r="V118" s="189"/>
      <c r="W118" s="189"/>
      <c r="X118" s="189"/>
      <c r="Y118" s="189"/>
      <c r="Z118" s="189"/>
      <c r="AA118" s="189"/>
      <c r="AB118" s="189"/>
      <c r="AC118" s="189"/>
      <c r="AD118" s="189"/>
      <c r="AE118" s="189"/>
      <c r="AF118" s="189"/>
      <c r="AG118" s="189"/>
      <c r="AH118" s="189"/>
      <c r="AI118" s="189"/>
      <c r="AJ118" s="189"/>
      <c r="AK118" s="189"/>
      <c r="AL118" s="189"/>
      <c r="AM118" s="189"/>
      <c r="AN118" s="189"/>
      <c r="AO118" s="189"/>
      <c r="AP118" s="189"/>
      <c r="AQ118" s="391"/>
    </row>
    <row r="119" spans="1:43" s="166" customFormat="1" ht="15.9" thickTop="1" thickBot="1">
      <c r="A119" s="18">
        <f t="shared" si="4"/>
        <v>38</v>
      </c>
      <c r="B119" s="146" t="s">
        <v>221</v>
      </c>
      <c r="C119" s="20" t="s">
        <v>235</v>
      </c>
      <c r="D119" s="20"/>
      <c r="E119" s="20"/>
      <c r="F119" s="189"/>
      <c r="G119" s="189"/>
      <c r="H119" s="189"/>
      <c r="I119" s="189"/>
      <c r="J119" s="189"/>
      <c r="K119" s="189"/>
      <c r="L119" s="189"/>
      <c r="M119" s="189"/>
      <c r="N119" s="189"/>
      <c r="O119" s="189"/>
      <c r="P119" s="189"/>
      <c r="Q119" s="189"/>
      <c r="R119" s="189"/>
      <c r="S119" s="189"/>
      <c r="T119" s="189"/>
      <c r="U119" s="189"/>
      <c r="V119" s="189"/>
      <c r="W119" s="189"/>
      <c r="X119" s="189"/>
      <c r="Y119" s="189"/>
      <c r="Z119" s="189"/>
      <c r="AA119" s="189"/>
      <c r="AB119" s="189"/>
      <c r="AC119" s="189"/>
      <c r="AD119" s="189"/>
      <c r="AE119" s="189"/>
      <c r="AF119" s="189"/>
      <c r="AG119" s="189"/>
      <c r="AH119" s="189"/>
      <c r="AI119" s="189"/>
      <c r="AJ119" s="189"/>
      <c r="AK119" s="189"/>
      <c r="AL119" s="189"/>
      <c r="AM119" s="189"/>
      <c r="AN119" s="189"/>
      <c r="AO119" s="189"/>
      <c r="AP119" s="189"/>
    </row>
    <row r="120" spans="1:43" s="166" customFormat="1" ht="15.9" thickTop="1" thickBot="1">
      <c r="A120" s="18">
        <f t="shared" si="4"/>
        <v>39</v>
      </c>
      <c r="B120" s="146" t="s">
        <v>222</v>
      </c>
      <c r="C120" s="20" t="s">
        <v>2</v>
      </c>
      <c r="D120" s="20"/>
      <c r="E120" s="20"/>
      <c r="F120" s="189"/>
      <c r="G120" s="189"/>
      <c r="H120" s="189"/>
      <c r="I120" s="189"/>
      <c r="J120" s="189"/>
      <c r="K120" s="189"/>
      <c r="L120" s="189"/>
      <c r="M120" s="189"/>
      <c r="N120" s="189"/>
      <c r="O120" s="189"/>
      <c r="P120" s="189"/>
      <c r="Q120" s="189"/>
      <c r="R120" s="189"/>
      <c r="S120" s="189"/>
      <c r="T120" s="189"/>
      <c r="U120" s="189"/>
      <c r="V120" s="189"/>
      <c r="W120" s="189"/>
      <c r="X120" s="189"/>
      <c r="Y120" s="189"/>
      <c r="Z120" s="189"/>
      <c r="AA120" s="189"/>
      <c r="AB120" s="189"/>
      <c r="AC120" s="189"/>
      <c r="AD120" s="189"/>
      <c r="AE120" s="189"/>
      <c r="AF120" s="189"/>
      <c r="AG120" s="189"/>
      <c r="AH120" s="189"/>
      <c r="AI120" s="189"/>
      <c r="AJ120" s="189"/>
      <c r="AK120" s="189"/>
      <c r="AL120" s="189"/>
      <c r="AM120" s="189"/>
      <c r="AN120" s="189"/>
      <c r="AO120" s="189"/>
      <c r="AP120" s="189"/>
    </row>
    <row r="121" spans="1:43" s="166" customFormat="1" ht="15.9" thickTop="1" thickBot="1">
      <c r="A121" s="18">
        <f t="shared" si="4"/>
        <v>40</v>
      </c>
      <c r="B121" s="146" t="s">
        <v>295</v>
      </c>
      <c r="C121" s="13" t="s">
        <v>3</v>
      </c>
      <c r="D121" s="13"/>
      <c r="E121" s="13"/>
      <c r="F121" s="189"/>
      <c r="G121" s="189"/>
      <c r="H121" s="189"/>
      <c r="I121" s="189"/>
      <c r="J121" s="189"/>
      <c r="K121" s="189"/>
      <c r="L121" s="189"/>
      <c r="M121" s="189"/>
      <c r="N121" s="189"/>
      <c r="O121" s="189"/>
      <c r="P121" s="189"/>
      <c r="Q121" s="189"/>
      <c r="R121" s="189"/>
      <c r="S121" s="189"/>
      <c r="T121" s="189"/>
      <c r="U121" s="189"/>
      <c r="V121" s="189"/>
      <c r="W121" s="189"/>
      <c r="X121" s="189"/>
      <c r="Y121" s="189"/>
      <c r="Z121" s="189"/>
      <c r="AA121" s="189"/>
      <c r="AB121" s="189"/>
      <c r="AC121" s="189"/>
      <c r="AD121" s="189"/>
      <c r="AE121" s="189"/>
      <c r="AF121" s="189"/>
      <c r="AG121" s="189"/>
      <c r="AH121" s="189"/>
      <c r="AI121" s="189"/>
      <c r="AJ121" s="189"/>
      <c r="AK121" s="189"/>
      <c r="AL121" s="189"/>
      <c r="AM121" s="189"/>
      <c r="AN121" s="189"/>
      <c r="AO121" s="189"/>
      <c r="AP121" s="189"/>
      <c r="AQ121" s="391"/>
    </row>
    <row r="122" spans="1:43" s="166" customFormat="1" ht="15.9" thickTop="1" thickBot="1">
      <c r="A122" s="18">
        <f t="shared" si="4"/>
        <v>41</v>
      </c>
      <c r="B122" s="146" t="s">
        <v>296</v>
      </c>
      <c r="C122" s="13" t="s">
        <v>4</v>
      </c>
      <c r="D122" s="13"/>
      <c r="E122" s="13"/>
      <c r="F122" s="189"/>
      <c r="G122" s="189"/>
      <c r="H122" s="189"/>
      <c r="I122" s="189"/>
      <c r="J122" s="189"/>
      <c r="K122" s="189"/>
      <c r="L122" s="189"/>
      <c r="M122" s="189"/>
      <c r="N122" s="189"/>
      <c r="O122" s="189"/>
      <c r="P122" s="189"/>
      <c r="Q122" s="189"/>
      <c r="R122" s="189"/>
      <c r="S122" s="189"/>
      <c r="T122" s="189"/>
      <c r="U122" s="189"/>
      <c r="V122" s="189"/>
      <c r="W122" s="189"/>
      <c r="X122" s="189"/>
      <c r="Y122" s="189"/>
      <c r="Z122" s="189"/>
      <c r="AA122" s="189"/>
      <c r="AB122" s="189"/>
      <c r="AC122" s="189"/>
      <c r="AD122" s="189"/>
      <c r="AE122" s="189"/>
      <c r="AF122" s="189"/>
      <c r="AG122" s="189"/>
      <c r="AH122" s="189"/>
      <c r="AI122" s="189"/>
      <c r="AJ122" s="189"/>
      <c r="AK122" s="189"/>
      <c r="AL122" s="189"/>
      <c r="AM122" s="189"/>
      <c r="AN122" s="189"/>
      <c r="AO122" s="189"/>
      <c r="AP122" s="189"/>
    </row>
    <row r="123" spans="1:43" s="166" customFormat="1" ht="15.9" thickTop="1" thickBot="1">
      <c r="A123" s="18">
        <f t="shared" si="4"/>
        <v>42</v>
      </c>
      <c r="B123" s="146" t="s">
        <v>223</v>
      </c>
      <c r="C123" s="13" t="s">
        <v>5</v>
      </c>
      <c r="D123" s="13"/>
      <c r="E123" s="13"/>
      <c r="F123" s="189"/>
      <c r="G123" s="189"/>
      <c r="H123" s="189"/>
      <c r="I123" s="189"/>
      <c r="J123" s="189"/>
      <c r="K123" s="189"/>
      <c r="L123" s="189"/>
      <c r="M123" s="189"/>
      <c r="N123" s="189"/>
      <c r="O123" s="189"/>
      <c r="P123" s="189"/>
      <c r="Q123" s="189"/>
      <c r="R123" s="189"/>
      <c r="S123" s="189"/>
      <c r="T123" s="189"/>
      <c r="U123" s="189"/>
      <c r="V123" s="189"/>
      <c r="W123" s="189"/>
      <c r="X123" s="189"/>
      <c r="Y123" s="189"/>
      <c r="Z123" s="189"/>
      <c r="AA123" s="189"/>
      <c r="AB123" s="189"/>
      <c r="AC123" s="189"/>
      <c r="AD123" s="189"/>
      <c r="AE123" s="189"/>
      <c r="AF123" s="189"/>
      <c r="AG123" s="189"/>
      <c r="AH123" s="189"/>
      <c r="AI123" s="189"/>
      <c r="AJ123" s="189"/>
      <c r="AK123" s="189"/>
      <c r="AL123" s="189"/>
      <c r="AM123" s="189"/>
      <c r="AN123" s="189"/>
      <c r="AO123" s="189"/>
      <c r="AP123" s="189"/>
    </row>
    <row r="124" spans="1:43" s="166" customFormat="1" ht="15.9" thickTop="1" thickBot="1">
      <c r="A124" s="18">
        <f t="shared" si="4"/>
        <v>43</v>
      </c>
      <c r="B124" s="146" t="s">
        <v>224</v>
      </c>
      <c r="C124" s="13" t="s">
        <v>535</v>
      </c>
      <c r="D124" s="13"/>
      <c r="E124" s="13"/>
      <c r="F124" s="189"/>
      <c r="G124" s="189"/>
      <c r="H124" s="189"/>
      <c r="I124" s="189"/>
      <c r="J124" s="189"/>
      <c r="K124" s="189"/>
      <c r="L124" s="189"/>
      <c r="M124" s="189"/>
      <c r="N124" s="189"/>
      <c r="O124" s="189"/>
      <c r="P124" s="189"/>
      <c r="Q124" s="189"/>
      <c r="R124" s="189"/>
      <c r="S124" s="189"/>
      <c r="T124" s="189"/>
      <c r="U124" s="189"/>
      <c r="V124" s="189"/>
      <c r="W124" s="189"/>
      <c r="X124" s="189"/>
      <c r="Y124" s="189"/>
      <c r="Z124" s="189"/>
      <c r="AA124" s="189"/>
      <c r="AB124" s="189"/>
      <c r="AC124" s="189"/>
      <c r="AD124" s="189"/>
      <c r="AE124" s="189"/>
      <c r="AF124" s="189"/>
      <c r="AG124" s="189"/>
      <c r="AH124" s="189"/>
      <c r="AI124" s="189"/>
      <c r="AJ124" s="189"/>
      <c r="AK124" s="189"/>
      <c r="AL124" s="189"/>
      <c r="AM124" s="189"/>
      <c r="AN124" s="189"/>
      <c r="AO124" s="189"/>
      <c r="AP124" s="189"/>
    </row>
    <row r="125" spans="1:43" s="166" customFormat="1" ht="15.9" thickTop="1" thickBot="1">
      <c r="A125" s="18">
        <f t="shared" si="4"/>
        <v>44</v>
      </c>
      <c r="B125" s="146" t="s">
        <v>225</v>
      </c>
      <c r="C125" s="13" t="s">
        <v>536</v>
      </c>
      <c r="D125" s="13"/>
      <c r="E125" s="13"/>
      <c r="F125" s="189"/>
      <c r="G125" s="189"/>
      <c r="H125" s="189"/>
      <c r="I125" s="189"/>
      <c r="J125" s="189"/>
      <c r="K125" s="189"/>
      <c r="L125" s="189"/>
      <c r="M125" s="189"/>
      <c r="N125" s="189"/>
      <c r="O125" s="189"/>
      <c r="P125" s="189"/>
      <c r="Q125" s="189"/>
      <c r="R125" s="189"/>
      <c r="S125" s="189"/>
      <c r="T125" s="189"/>
      <c r="U125" s="189"/>
      <c r="V125" s="189"/>
      <c r="W125" s="189"/>
      <c r="X125" s="189"/>
      <c r="Y125" s="189"/>
      <c r="Z125" s="189"/>
      <c r="AA125" s="189"/>
      <c r="AB125" s="189"/>
      <c r="AC125" s="189"/>
      <c r="AD125" s="189"/>
      <c r="AE125" s="189"/>
      <c r="AF125" s="189"/>
      <c r="AG125" s="189"/>
      <c r="AH125" s="189"/>
      <c r="AI125" s="189"/>
      <c r="AJ125" s="189"/>
      <c r="AK125" s="189"/>
      <c r="AL125" s="189"/>
      <c r="AM125" s="189"/>
      <c r="AN125" s="189"/>
      <c r="AO125" s="189"/>
      <c r="AP125" s="189"/>
    </row>
    <row r="126" spans="1:43" s="166" customFormat="1" ht="15.9" thickTop="1" thickBot="1">
      <c r="A126" s="18">
        <f t="shared" si="4"/>
        <v>45</v>
      </c>
      <c r="B126" s="146" t="s">
        <v>226</v>
      </c>
      <c r="C126" s="13" t="s">
        <v>537</v>
      </c>
      <c r="D126" s="13"/>
      <c r="E126" s="13"/>
      <c r="F126" s="189"/>
      <c r="G126" s="189"/>
      <c r="H126" s="189"/>
      <c r="I126" s="189"/>
      <c r="J126" s="189"/>
      <c r="K126" s="189"/>
      <c r="L126" s="189"/>
      <c r="M126" s="189"/>
      <c r="N126" s="189"/>
      <c r="O126" s="189"/>
      <c r="P126" s="189"/>
      <c r="Q126" s="189"/>
      <c r="R126" s="189"/>
      <c r="S126" s="189"/>
      <c r="T126" s="189"/>
      <c r="U126" s="189"/>
      <c r="V126" s="189"/>
      <c r="W126" s="189"/>
      <c r="X126" s="189"/>
      <c r="Y126" s="189"/>
      <c r="Z126" s="189"/>
      <c r="AA126" s="189"/>
      <c r="AB126" s="189"/>
      <c r="AC126" s="189"/>
      <c r="AD126" s="189"/>
      <c r="AE126" s="189"/>
      <c r="AF126" s="189"/>
      <c r="AG126" s="189"/>
      <c r="AH126" s="189"/>
      <c r="AI126" s="189"/>
      <c r="AJ126" s="189"/>
      <c r="AK126" s="189"/>
      <c r="AL126" s="189"/>
      <c r="AM126" s="189"/>
      <c r="AN126" s="189"/>
      <c r="AO126" s="189"/>
      <c r="AP126" s="189"/>
    </row>
    <row r="127" spans="1:43" s="166" customFormat="1" ht="15.9" thickTop="1" thickBot="1">
      <c r="A127" s="18">
        <f t="shared" si="4"/>
        <v>46</v>
      </c>
      <c r="B127" s="146" t="s">
        <v>227</v>
      </c>
      <c r="C127" s="13" t="s">
        <v>922</v>
      </c>
      <c r="D127" s="13"/>
      <c r="E127" s="13"/>
      <c r="F127" s="189"/>
      <c r="G127" s="189"/>
      <c r="H127" s="189"/>
      <c r="I127" s="189"/>
      <c r="J127" s="189"/>
      <c r="K127" s="189"/>
      <c r="L127" s="189"/>
      <c r="M127" s="189"/>
      <c r="N127" s="189"/>
      <c r="O127" s="189"/>
      <c r="P127" s="189"/>
      <c r="Q127" s="189"/>
      <c r="R127" s="189"/>
      <c r="S127" s="189"/>
      <c r="T127" s="189"/>
      <c r="U127" s="189"/>
      <c r="V127" s="189"/>
      <c r="W127" s="189"/>
      <c r="X127" s="189"/>
      <c r="Y127" s="189"/>
      <c r="Z127" s="189"/>
      <c r="AA127" s="189"/>
      <c r="AB127" s="189"/>
      <c r="AC127" s="189"/>
      <c r="AD127" s="189"/>
      <c r="AE127" s="189"/>
      <c r="AF127" s="189"/>
      <c r="AG127" s="189"/>
      <c r="AH127" s="189"/>
      <c r="AI127" s="189"/>
      <c r="AJ127" s="189"/>
      <c r="AK127" s="189"/>
      <c r="AL127" s="189"/>
      <c r="AM127" s="189"/>
      <c r="AN127" s="189"/>
      <c r="AO127" s="189"/>
      <c r="AP127" s="189"/>
    </row>
    <row r="128" spans="1:43" s="166" customFormat="1" ht="15.9" thickTop="1" thickBot="1">
      <c r="A128" s="18">
        <f t="shared" si="4"/>
        <v>47</v>
      </c>
      <c r="B128" s="16" t="s">
        <v>228</v>
      </c>
      <c r="C128" s="13" t="s">
        <v>135</v>
      </c>
      <c r="D128" s="13"/>
      <c r="E128" s="13"/>
      <c r="F128" s="189"/>
      <c r="G128" s="189"/>
      <c r="H128" s="189"/>
      <c r="I128" s="189"/>
      <c r="J128" s="189"/>
      <c r="K128" s="189"/>
      <c r="L128" s="189"/>
      <c r="M128" s="189"/>
      <c r="N128" s="189"/>
      <c r="O128" s="189"/>
      <c r="P128" s="189"/>
      <c r="Q128" s="189"/>
      <c r="R128" s="189"/>
      <c r="S128" s="189"/>
      <c r="T128" s="189"/>
      <c r="U128" s="189"/>
      <c r="V128" s="189"/>
      <c r="W128" s="189"/>
      <c r="X128" s="189"/>
      <c r="Y128" s="189"/>
      <c r="Z128" s="189"/>
      <c r="AA128" s="189"/>
      <c r="AB128" s="189"/>
      <c r="AC128" s="189"/>
      <c r="AD128" s="189"/>
      <c r="AE128" s="189"/>
      <c r="AF128" s="189"/>
      <c r="AG128" s="189"/>
      <c r="AH128" s="189"/>
      <c r="AI128" s="189"/>
      <c r="AJ128" s="189"/>
      <c r="AK128" s="189"/>
      <c r="AL128" s="189"/>
      <c r="AM128" s="189"/>
      <c r="AN128" s="189"/>
      <c r="AO128" s="189"/>
      <c r="AP128" s="189"/>
      <c r="AQ128" s="391"/>
    </row>
    <row r="129" spans="1:43" s="166" customFormat="1" ht="15.9" thickTop="1" thickBot="1">
      <c r="A129" s="18">
        <f t="shared" si="4"/>
        <v>48</v>
      </c>
      <c r="B129" s="146" t="s">
        <v>121</v>
      </c>
      <c r="C129" s="13" t="s">
        <v>539</v>
      </c>
      <c r="D129" s="13"/>
      <c r="E129" s="13"/>
      <c r="F129" s="189"/>
      <c r="G129" s="189"/>
      <c r="H129" s="189"/>
      <c r="I129" s="189"/>
      <c r="J129" s="189"/>
      <c r="K129" s="189"/>
      <c r="L129" s="189"/>
      <c r="M129" s="189"/>
      <c r="N129" s="189"/>
      <c r="O129" s="189"/>
      <c r="P129" s="189"/>
      <c r="Q129" s="189"/>
      <c r="R129" s="189"/>
      <c r="S129" s="189"/>
      <c r="T129" s="189"/>
      <c r="U129" s="189"/>
      <c r="V129" s="189"/>
      <c r="W129" s="189"/>
      <c r="X129" s="189"/>
      <c r="Y129" s="189"/>
      <c r="Z129" s="189"/>
      <c r="AA129" s="189"/>
      <c r="AB129" s="189"/>
      <c r="AC129" s="189"/>
      <c r="AD129" s="189"/>
      <c r="AE129" s="189"/>
      <c r="AF129" s="189"/>
      <c r="AG129" s="189"/>
      <c r="AH129" s="189"/>
      <c r="AI129" s="189"/>
      <c r="AJ129" s="189"/>
      <c r="AK129" s="189"/>
      <c r="AL129" s="189"/>
      <c r="AM129" s="189"/>
      <c r="AN129" s="189"/>
      <c r="AO129" s="189"/>
      <c r="AP129" s="189"/>
      <c r="AQ129" s="391"/>
    </row>
    <row r="130" spans="1:43" s="166" customFormat="1" ht="15.9" thickTop="1" thickBot="1">
      <c r="A130" s="18">
        <f t="shared" si="4"/>
        <v>49</v>
      </c>
      <c r="B130" s="146" t="s">
        <v>122</v>
      </c>
      <c r="C130" s="13" t="s">
        <v>540</v>
      </c>
      <c r="D130" s="13"/>
      <c r="E130" s="13"/>
      <c r="F130" s="189"/>
      <c r="G130" s="189"/>
      <c r="H130" s="189"/>
      <c r="I130" s="189"/>
      <c r="J130" s="189"/>
      <c r="K130" s="189"/>
      <c r="L130" s="189"/>
      <c r="M130" s="189"/>
      <c r="N130" s="189"/>
      <c r="O130" s="189"/>
      <c r="P130" s="189"/>
      <c r="Q130" s="189"/>
      <c r="R130" s="189"/>
      <c r="S130" s="189"/>
      <c r="T130" s="189"/>
      <c r="U130" s="189"/>
      <c r="V130" s="189"/>
      <c r="W130" s="189"/>
      <c r="X130" s="189"/>
      <c r="Y130" s="189"/>
      <c r="Z130" s="189"/>
      <c r="AA130" s="189"/>
      <c r="AB130" s="189"/>
      <c r="AC130" s="189"/>
      <c r="AD130" s="189"/>
      <c r="AE130" s="189"/>
      <c r="AF130" s="189"/>
      <c r="AG130" s="189"/>
      <c r="AH130" s="189"/>
      <c r="AI130" s="189"/>
      <c r="AJ130" s="189"/>
      <c r="AK130" s="189"/>
      <c r="AL130" s="189"/>
      <c r="AM130" s="189"/>
      <c r="AN130" s="189"/>
      <c r="AO130" s="189"/>
      <c r="AP130" s="189"/>
    </row>
    <row r="131" spans="1:43" s="166" customFormat="1" ht="15.9" thickTop="1" thickBot="1">
      <c r="A131" s="18">
        <f t="shared" si="4"/>
        <v>50</v>
      </c>
      <c r="B131" s="146" t="s">
        <v>123</v>
      </c>
      <c r="C131" s="13" t="s">
        <v>541</v>
      </c>
      <c r="D131" s="13"/>
      <c r="E131" s="13"/>
      <c r="F131" s="189"/>
      <c r="G131" s="189"/>
      <c r="H131" s="189"/>
      <c r="I131" s="189"/>
      <c r="J131" s="189"/>
      <c r="K131" s="189"/>
      <c r="L131" s="189"/>
      <c r="M131" s="189"/>
      <c r="N131" s="189"/>
      <c r="O131" s="189"/>
      <c r="P131" s="189"/>
      <c r="Q131" s="189"/>
      <c r="R131" s="189"/>
      <c r="S131" s="189"/>
      <c r="T131" s="189"/>
      <c r="U131" s="189"/>
      <c r="V131" s="189"/>
      <c r="W131" s="189"/>
      <c r="X131" s="189"/>
      <c r="Y131" s="189"/>
      <c r="Z131" s="189"/>
      <c r="AA131" s="189"/>
      <c r="AB131" s="189"/>
      <c r="AC131" s="189"/>
      <c r="AD131" s="189"/>
      <c r="AE131" s="189"/>
      <c r="AF131" s="189"/>
      <c r="AG131" s="189"/>
      <c r="AH131" s="189"/>
      <c r="AI131" s="189"/>
      <c r="AJ131" s="189"/>
      <c r="AK131" s="189"/>
      <c r="AL131" s="189"/>
      <c r="AM131" s="189"/>
      <c r="AN131" s="189"/>
      <c r="AO131" s="189"/>
      <c r="AP131" s="189"/>
    </row>
    <row r="132" spans="1:43" s="166" customFormat="1" ht="15.9" thickTop="1" thickBot="1">
      <c r="A132" s="18">
        <f t="shared" si="4"/>
        <v>51</v>
      </c>
      <c r="B132" s="146" t="s">
        <v>297</v>
      </c>
      <c r="C132" s="13" t="s">
        <v>237</v>
      </c>
      <c r="D132" s="13"/>
      <c r="E132" s="13"/>
      <c r="F132" s="189"/>
      <c r="G132" s="189"/>
      <c r="H132" s="189"/>
      <c r="I132" s="189"/>
      <c r="J132" s="189"/>
      <c r="K132" s="189"/>
      <c r="L132" s="189"/>
      <c r="M132" s="189"/>
      <c r="N132" s="189"/>
      <c r="O132" s="189"/>
      <c r="P132" s="189"/>
      <c r="Q132" s="189"/>
      <c r="R132" s="189"/>
      <c r="S132" s="189"/>
      <c r="T132" s="189"/>
      <c r="U132" s="189"/>
      <c r="V132" s="189"/>
      <c r="W132" s="189"/>
      <c r="X132" s="189"/>
      <c r="Y132" s="189"/>
      <c r="Z132" s="189"/>
      <c r="AA132" s="189"/>
      <c r="AB132" s="189"/>
      <c r="AC132" s="189"/>
      <c r="AD132" s="189"/>
      <c r="AE132" s="189"/>
      <c r="AF132" s="189"/>
      <c r="AG132" s="189"/>
      <c r="AH132" s="189"/>
      <c r="AI132" s="189"/>
      <c r="AJ132" s="189"/>
      <c r="AK132" s="189"/>
      <c r="AL132" s="189"/>
      <c r="AM132" s="189"/>
      <c r="AN132" s="189"/>
      <c r="AO132" s="189"/>
      <c r="AP132" s="189"/>
    </row>
    <row r="133" spans="1:43" s="166" customFormat="1" ht="15.9" thickTop="1" thickBot="1">
      <c r="A133" s="18">
        <f t="shared" si="4"/>
        <v>52</v>
      </c>
      <c r="B133" s="146" t="s">
        <v>124</v>
      </c>
      <c r="C133" s="13" t="s">
        <v>542</v>
      </c>
      <c r="D133" s="13"/>
      <c r="E133" s="13"/>
      <c r="F133" s="189"/>
      <c r="G133" s="189"/>
      <c r="H133" s="189"/>
      <c r="I133" s="189"/>
      <c r="J133" s="189"/>
      <c r="K133" s="189"/>
      <c r="L133" s="189"/>
      <c r="M133" s="189"/>
      <c r="N133" s="189"/>
      <c r="O133" s="189"/>
      <c r="P133" s="189"/>
      <c r="Q133" s="189"/>
      <c r="R133" s="189"/>
      <c r="S133" s="189"/>
      <c r="T133" s="189"/>
      <c r="U133" s="189"/>
      <c r="V133" s="189"/>
      <c r="W133" s="189"/>
      <c r="X133" s="189"/>
      <c r="Y133" s="189"/>
      <c r="Z133" s="189"/>
      <c r="AA133" s="189"/>
      <c r="AB133" s="189"/>
      <c r="AC133" s="189"/>
      <c r="AD133" s="189"/>
      <c r="AE133" s="189"/>
      <c r="AF133" s="189"/>
      <c r="AG133" s="189"/>
      <c r="AH133" s="189"/>
      <c r="AI133" s="189"/>
      <c r="AJ133" s="189"/>
      <c r="AK133" s="189"/>
      <c r="AL133" s="189"/>
      <c r="AM133" s="189"/>
      <c r="AN133" s="189"/>
      <c r="AO133" s="189"/>
      <c r="AP133" s="189"/>
    </row>
    <row r="134" spans="1:43" s="166" customFormat="1" ht="15.9" thickTop="1" thickBot="1">
      <c r="A134" s="18">
        <f t="shared" si="4"/>
        <v>53</v>
      </c>
      <c r="B134" s="146" t="s">
        <v>125</v>
      </c>
      <c r="C134" s="13" t="s">
        <v>543</v>
      </c>
      <c r="D134" s="13"/>
      <c r="E134" s="13"/>
      <c r="F134" s="189"/>
      <c r="G134" s="189"/>
      <c r="H134" s="189"/>
      <c r="I134" s="189"/>
      <c r="J134" s="189"/>
      <c r="K134" s="189"/>
      <c r="L134" s="189"/>
      <c r="M134" s="189"/>
      <c r="N134" s="189"/>
      <c r="O134" s="189"/>
      <c r="P134" s="189"/>
      <c r="Q134" s="189"/>
      <c r="R134" s="189"/>
      <c r="S134" s="189"/>
      <c r="T134" s="189"/>
      <c r="U134" s="189"/>
      <c r="V134" s="189"/>
      <c r="W134" s="189"/>
      <c r="X134" s="189"/>
      <c r="Y134" s="189"/>
      <c r="Z134" s="189"/>
      <c r="AA134" s="189"/>
      <c r="AB134" s="189"/>
      <c r="AC134" s="189"/>
      <c r="AD134" s="189"/>
      <c r="AE134" s="189"/>
      <c r="AF134" s="189"/>
      <c r="AG134" s="189"/>
      <c r="AH134" s="189"/>
      <c r="AI134" s="189"/>
      <c r="AJ134" s="189"/>
      <c r="AK134" s="189"/>
      <c r="AL134" s="189"/>
      <c r="AM134" s="189"/>
      <c r="AN134" s="189"/>
      <c r="AO134" s="189"/>
      <c r="AP134" s="189"/>
      <c r="AQ134" s="391"/>
    </row>
    <row r="135" spans="1:43" s="166" customFormat="1" ht="15.9" thickTop="1" thickBot="1">
      <c r="A135" s="18">
        <f t="shared" si="4"/>
        <v>54</v>
      </c>
      <c r="B135" s="146" t="s">
        <v>126</v>
      </c>
      <c r="C135" s="13" t="s">
        <v>544</v>
      </c>
      <c r="D135" s="13"/>
      <c r="E135" s="13"/>
      <c r="F135" s="189"/>
      <c r="G135" s="189"/>
      <c r="H135" s="189"/>
      <c r="I135" s="189"/>
      <c r="J135" s="189"/>
      <c r="K135" s="189"/>
      <c r="L135" s="189"/>
      <c r="M135" s="189"/>
      <c r="N135" s="189"/>
      <c r="O135" s="189"/>
      <c r="P135" s="189"/>
      <c r="Q135" s="189"/>
      <c r="R135" s="189"/>
      <c r="S135" s="189"/>
      <c r="T135" s="189"/>
      <c r="U135" s="189"/>
      <c r="V135" s="189"/>
      <c r="W135" s="189"/>
      <c r="X135" s="189"/>
      <c r="Y135" s="189"/>
      <c r="Z135" s="189"/>
      <c r="AA135" s="189"/>
      <c r="AB135" s="189"/>
      <c r="AC135" s="189"/>
      <c r="AD135" s="189"/>
      <c r="AE135" s="189"/>
      <c r="AF135" s="189"/>
      <c r="AG135" s="189"/>
      <c r="AH135" s="189"/>
      <c r="AI135" s="189"/>
      <c r="AJ135" s="189"/>
      <c r="AK135" s="189"/>
      <c r="AL135" s="189"/>
      <c r="AM135" s="189"/>
      <c r="AN135" s="189"/>
      <c r="AO135" s="189"/>
      <c r="AP135" s="189"/>
      <c r="AQ135" s="391"/>
    </row>
    <row r="136" spans="1:43" s="166" customFormat="1" ht="15.9" thickTop="1" thickBot="1">
      <c r="A136" s="18">
        <f t="shared" si="4"/>
        <v>55</v>
      </c>
      <c r="B136" s="146" t="s">
        <v>665</v>
      </c>
      <c r="C136" s="13" t="s">
        <v>545</v>
      </c>
      <c r="D136" s="13"/>
      <c r="E136" s="13"/>
      <c r="F136" s="189"/>
      <c r="G136" s="189"/>
      <c r="H136" s="189"/>
      <c r="I136" s="189"/>
      <c r="J136" s="189"/>
      <c r="K136" s="189"/>
      <c r="L136" s="189"/>
      <c r="M136" s="189"/>
      <c r="N136" s="189"/>
      <c r="O136" s="189"/>
      <c r="P136" s="189"/>
      <c r="Q136" s="189"/>
      <c r="R136" s="189"/>
      <c r="S136" s="189"/>
      <c r="T136" s="189"/>
      <c r="U136" s="189"/>
      <c r="V136" s="189"/>
      <c r="W136" s="189"/>
      <c r="X136" s="189"/>
      <c r="Y136" s="189"/>
      <c r="Z136" s="189"/>
      <c r="AA136" s="189"/>
      <c r="AB136" s="189"/>
      <c r="AC136" s="189"/>
      <c r="AD136" s="189"/>
      <c r="AE136" s="189"/>
      <c r="AF136" s="189"/>
      <c r="AG136" s="189"/>
      <c r="AH136" s="189"/>
      <c r="AI136" s="189"/>
      <c r="AJ136" s="189"/>
      <c r="AK136" s="189"/>
      <c r="AL136" s="189"/>
      <c r="AM136" s="189"/>
      <c r="AN136" s="189"/>
      <c r="AO136" s="189"/>
      <c r="AP136" s="189"/>
    </row>
    <row r="137" spans="1:43" s="166" customFormat="1" ht="15.9" thickTop="1" thickBot="1">
      <c r="A137" s="18">
        <f t="shared" si="4"/>
        <v>56</v>
      </c>
      <c r="B137" s="146" t="s">
        <v>666</v>
      </c>
      <c r="C137" s="13" t="s">
        <v>546</v>
      </c>
      <c r="D137" s="13"/>
      <c r="E137" s="13"/>
      <c r="F137" s="189"/>
      <c r="G137" s="189"/>
      <c r="H137" s="189"/>
      <c r="I137" s="189"/>
      <c r="J137" s="189"/>
      <c r="K137" s="189"/>
      <c r="L137" s="189"/>
      <c r="M137" s="189"/>
      <c r="N137" s="189"/>
      <c r="O137" s="189"/>
      <c r="P137" s="189"/>
      <c r="Q137" s="189"/>
      <c r="R137" s="189"/>
      <c r="S137" s="189"/>
      <c r="T137" s="189"/>
      <c r="U137" s="189"/>
      <c r="V137" s="189"/>
      <c r="W137" s="189"/>
      <c r="X137" s="189"/>
      <c r="Y137" s="189"/>
      <c r="Z137" s="189"/>
      <c r="AA137" s="189"/>
      <c r="AB137" s="189"/>
      <c r="AC137" s="189"/>
      <c r="AD137" s="189"/>
      <c r="AE137" s="189"/>
      <c r="AF137" s="189"/>
      <c r="AG137" s="189"/>
      <c r="AH137" s="189"/>
      <c r="AI137" s="189"/>
      <c r="AJ137" s="189"/>
      <c r="AK137" s="189"/>
      <c r="AL137" s="189"/>
      <c r="AM137" s="189"/>
      <c r="AN137" s="189"/>
      <c r="AO137" s="189"/>
      <c r="AP137" s="189"/>
      <c r="AQ137" s="391"/>
    </row>
    <row r="138" spans="1:43" s="166" customFormat="1" ht="15.9" thickTop="1" thickBot="1">
      <c r="A138" s="18">
        <f t="shared" si="4"/>
        <v>57</v>
      </c>
      <c r="B138" s="146" t="s">
        <v>667</v>
      </c>
      <c r="C138" s="13" t="s">
        <v>238</v>
      </c>
      <c r="D138" s="13"/>
      <c r="E138" s="13"/>
      <c r="F138" s="189"/>
      <c r="G138" s="189"/>
      <c r="H138" s="189"/>
      <c r="I138" s="189"/>
      <c r="J138" s="189"/>
      <c r="K138" s="189"/>
      <c r="L138" s="189"/>
      <c r="M138" s="189"/>
      <c r="N138" s="189"/>
      <c r="O138" s="189"/>
      <c r="P138" s="189"/>
      <c r="Q138" s="189"/>
      <c r="R138" s="189"/>
      <c r="S138" s="189"/>
      <c r="T138" s="189"/>
      <c r="U138" s="189"/>
      <c r="V138" s="189"/>
      <c r="W138" s="189"/>
      <c r="X138" s="189"/>
      <c r="Y138" s="189"/>
      <c r="Z138" s="189"/>
      <c r="AA138" s="189"/>
      <c r="AB138" s="189"/>
      <c r="AC138" s="189"/>
      <c r="AD138" s="189"/>
      <c r="AE138" s="189"/>
      <c r="AF138" s="189"/>
      <c r="AG138" s="189"/>
      <c r="AH138" s="189"/>
      <c r="AI138" s="189"/>
      <c r="AJ138" s="189"/>
      <c r="AK138" s="189"/>
      <c r="AL138" s="189"/>
      <c r="AM138" s="189"/>
      <c r="AN138" s="189"/>
      <c r="AO138" s="189"/>
      <c r="AP138" s="189"/>
      <c r="AQ138" s="391"/>
    </row>
    <row r="139" spans="1:43" s="166" customFormat="1" ht="15.9" thickTop="1" thickBot="1">
      <c r="A139" s="18">
        <f t="shared" si="4"/>
        <v>58</v>
      </c>
      <c r="B139" s="146" t="s">
        <v>668</v>
      </c>
      <c r="C139" s="13" t="s">
        <v>239</v>
      </c>
      <c r="D139" s="13"/>
      <c r="E139" s="13"/>
      <c r="F139" s="189"/>
      <c r="G139" s="189"/>
      <c r="H139" s="189"/>
      <c r="I139" s="189"/>
      <c r="J139" s="189"/>
      <c r="K139" s="189"/>
      <c r="L139" s="189"/>
      <c r="M139" s="189"/>
      <c r="N139" s="189"/>
      <c r="O139" s="189"/>
      <c r="P139" s="189"/>
      <c r="Q139" s="189"/>
      <c r="R139" s="189"/>
      <c r="S139" s="189"/>
      <c r="T139" s="189"/>
      <c r="U139" s="189"/>
      <c r="V139" s="189"/>
      <c r="W139" s="189"/>
      <c r="X139" s="189"/>
      <c r="Y139" s="189"/>
      <c r="Z139" s="189"/>
      <c r="AA139" s="189"/>
      <c r="AB139" s="189"/>
      <c r="AC139" s="189"/>
      <c r="AD139" s="189"/>
      <c r="AE139" s="189"/>
      <c r="AF139" s="189"/>
      <c r="AG139" s="189"/>
      <c r="AH139" s="189"/>
      <c r="AI139" s="189"/>
      <c r="AJ139" s="189"/>
      <c r="AK139" s="189"/>
      <c r="AL139" s="189"/>
      <c r="AM139" s="189"/>
      <c r="AN139" s="189"/>
      <c r="AO139" s="189"/>
      <c r="AP139" s="189"/>
      <c r="AQ139" s="391"/>
    </row>
    <row r="140" spans="1:43" s="166" customFormat="1" ht="15.9" thickTop="1" thickBot="1">
      <c r="A140" s="18">
        <f t="shared" si="4"/>
        <v>59</v>
      </c>
      <c r="B140" s="146" t="s">
        <v>603</v>
      </c>
      <c r="C140" s="13" t="s">
        <v>547</v>
      </c>
      <c r="D140" s="13"/>
      <c r="E140" s="13"/>
      <c r="F140" s="189"/>
      <c r="G140" s="189"/>
      <c r="H140" s="189"/>
      <c r="I140" s="189"/>
      <c r="J140" s="189"/>
      <c r="K140" s="189"/>
      <c r="L140" s="189"/>
      <c r="M140" s="189"/>
      <c r="N140" s="189"/>
      <c r="O140" s="189"/>
      <c r="P140" s="189"/>
      <c r="Q140" s="189"/>
      <c r="R140" s="189"/>
      <c r="S140" s="189"/>
      <c r="T140" s="189"/>
      <c r="U140" s="189"/>
      <c r="V140" s="189"/>
      <c r="W140" s="189"/>
      <c r="X140" s="189"/>
      <c r="Y140" s="189"/>
      <c r="Z140" s="189"/>
      <c r="AA140" s="189"/>
      <c r="AB140" s="189"/>
      <c r="AC140" s="189"/>
      <c r="AD140" s="189"/>
      <c r="AE140" s="189"/>
      <c r="AF140" s="189"/>
      <c r="AG140" s="189"/>
      <c r="AH140" s="189"/>
      <c r="AI140" s="189"/>
      <c r="AJ140" s="189"/>
      <c r="AK140" s="189"/>
      <c r="AL140" s="189"/>
      <c r="AM140" s="189"/>
      <c r="AN140" s="189"/>
      <c r="AO140" s="189"/>
      <c r="AP140" s="189"/>
    </row>
    <row r="141" spans="1:43" s="166" customFormat="1" ht="15.9" thickTop="1" thickBot="1">
      <c r="A141" s="18">
        <f t="shared" si="4"/>
        <v>60</v>
      </c>
      <c r="B141" s="146" t="s">
        <v>604</v>
      </c>
      <c r="C141" s="13" t="s">
        <v>240</v>
      </c>
      <c r="D141" s="13"/>
      <c r="E141" s="13"/>
      <c r="F141" s="189"/>
      <c r="G141" s="189"/>
      <c r="H141" s="189"/>
      <c r="I141" s="189"/>
      <c r="J141" s="189"/>
      <c r="K141" s="189"/>
      <c r="L141" s="189"/>
      <c r="M141" s="189"/>
      <c r="N141" s="189"/>
      <c r="O141" s="189"/>
      <c r="P141" s="189"/>
      <c r="Q141" s="189"/>
      <c r="R141" s="189"/>
      <c r="S141" s="189"/>
      <c r="T141" s="189"/>
      <c r="U141" s="189"/>
      <c r="V141" s="189"/>
      <c r="W141" s="189"/>
      <c r="X141" s="189"/>
      <c r="Y141" s="189"/>
      <c r="Z141" s="189"/>
      <c r="AA141" s="189"/>
      <c r="AB141" s="189"/>
      <c r="AC141" s="189"/>
      <c r="AD141" s="189"/>
      <c r="AE141" s="189"/>
      <c r="AF141" s="189"/>
      <c r="AG141" s="189"/>
      <c r="AH141" s="189"/>
      <c r="AI141" s="189"/>
      <c r="AJ141" s="189"/>
      <c r="AK141" s="189"/>
      <c r="AL141" s="189"/>
      <c r="AM141" s="189"/>
      <c r="AN141" s="189"/>
      <c r="AO141" s="189"/>
      <c r="AP141" s="189"/>
      <c r="AQ141" s="391"/>
    </row>
    <row r="142" spans="1:43" s="166" customFormat="1" ht="15.9" thickTop="1" thickBot="1">
      <c r="A142" s="18">
        <f t="shared" si="4"/>
        <v>61</v>
      </c>
      <c r="B142" s="146" t="s">
        <v>669</v>
      </c>
      <c r="C142" s="13" t="s">
        <v>241</v>
      </c>
      <c r="D142" s="13"/>
      <c r="E142" s="13"/>
      <c r="F142" s="189"/>
      <c r="G142" s="189"/>
      <c r="H142" s="189"/>
      <c r="I142" s="189"/>
      <c r="J142" s="189"/>
      <c r="K142" s="189"/>
      <c r="L142" s="189"/>
      <c r="M142" s="189"/>
      <c r="N142" s="189"/>
      <c r="O142" s="189"/>
      <c r="P142" s="189"/>
      <c r="Q142" s="189"/>
      <c r="R142" s="189"/>
      <c r="S142" s="189"/>
      <c r="T142" s="189"/>
      <c r="U142" s="189"/>
      <c r="V142" s="189"/>
      <c r="W142" s="189"/>
      <c r="X142" s="189"/>
      <c r="Y142" s="189"/>
      <c r="Z142" s="189"/>
      <c r="AA142" s="189"/>
      <c r="AB142" s="189"/>
      <c r="AC142" s="189"/>
      <c r="AD142" s="189"/>
      <c r="AE142" s="189"/>
      <c r="AF142" s="189"/>
      <c r="AG142" s="189"/>
      <c r="AH142" s="189"/>
      <c r="AI142" s="189"/>
      <c r="AJ142" s="189"/>
      <c r="AK142" s="189"/>
      <c r="AL142" s="189"/>
      <c r="AM142" s="189"/>
      <c r="AN142" s="189"/>
      <c r="AO142" s="189"/>
      <c r="AP142" s="189"/>
    </row>
    <row r="143" spans="1:43" s="166" customFormat="1" ht="15.9" thickTop="1" thickBot="1">
      <c r="A143" s="18">
        <f t="shared" si="4"/>
        <v>62</v>
      </c>
      <c r="B143" s="146" t="s">
        <v>192</v>
      </c>
      <c r="C143" s="13" t="s">
        <v>242</v>
      </c>
      <c r="D143" s="13"/>
      <c r="E143" s="13"/>
      <c r="F143" s="189"/>
      <c r="G143" s="189"/>
      <c r="H143" s="189"/>
      <c r="I143" s="189"/>
      <c r="J143" s="189"/>
      <c r="K143" s="189"/>
      <c r="L143" s="189"/>
      <c r="M143" s="189"/>
      <c r="N143" s="189"/>
      <c r="O143" s="189"/>
      <c r="P143" s="189"/>
      <c r="Q143" s="189"/>
      <c r="R143" s="189"/>
      <c r="S143" s="189"/>
      <c r="T143" s="189"/>
      <c r="U143" s="189"/>
      <c r="V143" s="189"/>
      <c r="W143" s="189"/>
      <c r="X143" s="189"/>
      <c r="Y143" s="189"/>
      <c r="Z143" s="189"/>
      <c r="AA143" s="189"/>
      <c r="AB143" s="189"/>
      <c r="AC143" s="189"/>
      <c r="AD143" s="189"/>
      <c r="AE143" s="189"/>
      <c r="AF143" s="189"/>
      <c r="AG143" s="189"/>
      <c r="AH143" s="189"/>
      <c r="AI143" s="189"/>
      <c r="AJ143" s="189"/>
      <c r="AK143" s="189"/>
      <c r="AL143" s="189"/>
      <c r="AM143" s="189"/>
      <c r="AN143" s="189"/>
      <c r="AO143" s="189"/>
      <c r="AP143" s="189"/>
    </row>
    <row r="144" spans="1:43" s="166" customFormat="1" ht="15.9" thickTop="1" thickBot="1">
      <c r="A144" s="18">
        <f t="shared" si="4"/>
        <v>63</v>
      </c>
      <c r="B144" s="146" t="s">
        <v>193</v>
      </c>
      <c r="C144" s="13" t="s">
        <v>243</v>
      </c>
      <c r="D144" s="13"/>
      <c r="E144" s="13"/>
      <c r="F144" s="189"/>
      <c r="G144" s="189"/>
      <c r="H144" s="189"/>
      <c r="I144" s="189"/>
      <c r="J144" s="189"/>
      <c r="K144" s="189"/>
      <c r="L144" s="189"/>
      <c r="M144" s="189"/>
      <c r="N144" s="189"/>
      <c r="O144" s="189"/>
      <c r="P144" s="189"/>
      <c r="Q144" s="189"/>
      <c r="R144" s="189"/>
      <c r="S144" s="189"/>
      <c r="T144" s="189"/>
      <c r="U144" s="189"/>
      <c r="V144" s="189"/>
      <c r="W144" s="189"/>
      <c r="X144" s="189"/>
      <c r="Y144" s="189"/>
      <c r="Z144" s="189"/>
      <c r="AA144" s="189"/>
      <c r="AB144" s="189"/>
      <c r="AC144" s="189"/>
      <c r="AD144" s="189"/>
      <c r="AE144" s="189"/>
      <c r="AF144" s="189"/>
      <c r="AG144" s="189"/>
      <c r="AH144" s="189"/>
      <c r="AI144" s="189"/>
      <c r="AJ144" s="189"/>
      <c r="AK144" s="189"/>
      <c r="AL144" s="189"/>
      <c r="AM144" s="189"/>
      <c r="AN144" s="189"/>
      <c r="AO144" s="189"/>
      <c r="AP144" s="189"/>
      <c r="AQ144" s="391"/>
    </row>
    <row r="145" spans="1:43" s="166" customFormat="1" ht="15.9" thickTop="1" thickBot="1">
      <c r="A145" s="18">
        <f t="shared" si="4"/>
        <v>64</v>
      </c>
      <c r="B145" s="146" t="s">
        <v>194</v>
      </c>
      <c r="C145" s="13" t="s">
        <v>244</v>
      </c>
      <c r="D145" s="13"/>
      <c r="E145" s="13"/>
      <c r="F145" s="189"/>
      <c r="G145" s="189"/>
      <c r="H145" s="189"/>
      <c r="I145" s="189"/>
      <c r="J145" s="189"/>
      <c r="K145" s="189"/>
      <c r="L145" s="189"/>
      <c r="M145" s="189"/>
      <c r="N145" s="189"/>
      <c r="O145" s="189"/>
      <c r="P145" s="189"/>
      <c r="Q145" s="189"/>
      <c r="R145" s="189"/>
      <c r="S145" s="189"/>
      <c r="T145" s="189"/>
      <c r="U145" s="189"/>
      <c r="V145" s="189"/>
      <c r="W145" s="189"/>
      <c r="X145" s="189"/>
      <c r="Y145" s="189"/>
      <c r="Z145" s="189"/>
      <c r="AA145" s="189"/>
      <c r="AB145" s="189"/>
      <c r="AC145" s="189"/>
      <c r="AD145" s="189"/>
      <c r="AE145" s="189"/>
      <c r="AF145" s="189"/>
      <c r="AG145" s="189"/>
      <c r="AH145" s="189"/>
      <c r="AI145" s="189"/>
      <c r="AJ145" s="189"/>
      <c r="AK145" s="189"/>
      <c r="AL145" s="189"/>
      <c r="AM145" s="189"/>
      <c r="AN145" s="189"/>
      <c r="AO145" s="189"/>
      <c r="AP145" s="189"/>
    </row>
    <row r="146" spans="1:43" s="166" customFormat="1" ht="15.9" thickTop="1" thickBot="1">
      <c r="A146" s="18">
        <f t="shared" si="4"/>
        <v>65</v>
      </c>
      <c r="B146" s="146" t="s">
        <v>195</v>
      </c>
      <c r="C146" s="13" t="s">
        <v>245</v>
      </c>
      <c r="D146" s="13"/>
      <c r="E146" s="13"/>
      <c r="F146" s="189"/>
      <c r="G146" s="189"/>
      <c r="H146" s="189"/>
      <c r="I146" s="189"/>
      <c r="J146" s="189"/>
      <c r="K146" s="189"/>
      <c r="L146" s="189"/>
      <c r="M146" s="189"/>
      <c r="N146" s="189"/>
      <c r="O146" s="189"/>
      <c r="P146" s="189"/>
      <c r="Q146" s="189"/>
      <c r="R146" s="189"/>
      <c r="S146" s="189"/>
      <c r="T146" s="189"/>
      <c r="U146" s="189"/>
      <c r="V146" s="189"/>
      <c r="W146" s="189"/>
      <c r="X146" s="189"/>
      <c r="Y146" s="189"/>
      <c r="Z146" s="189"/>
      <c r="AA146" s="189"/>
      <c r="AB146" s="189"/>
      <c r="AC146" s="189"/>
      <c r="AD146" s="189"/>
      <c r="AE146" s="189"/>
      <c r="AF146" s="189"/>
      <c r="AG146" s="189"/>
      <c r="AH146" s="189"/>
      <c r="AI146" s="189"/>
      <c r="AJ146" s="189"/>
      <c r="AK146" s="189"/>
      <c r="AL146" s="189"/>
      <c r="AM146" s="189"/>
      <c r="AN146" s="189"/>
      <c r="AO146" s="189"/>
      <c r="AP146" s="189"/>
    </row>
    <row r="147" spans="1:43" s="166" customFormat="1" ht="15.9" thickTop="1" thickBot="1">
      <c r="A147" s="18">
        <f t="shared" ref="A147:A178" si="5">A146+1</f>
        <v>66</v>
      </c>
      <c r="B147" s="146" t="s">
        <v>196</v>
      </c>
      <c r="C147" s="13" t="s">
        <v>137</v>
      </c>
      <c r="D147" s="13"/>
      <c r="E147" s="13"/>
      <c r="F147" s="189"/>
      <c r="G147" s="189"/>
      <c r="H147" s="189"/>
      <c r="I147" s="189"/>
      <c r="J147" s="189"/>
      <c r="K147" s="189"/>
      <c r="L147" s="189"/>
      <c r="M147" s="189"/>
      <c r="N147" s="189"/>
      <c r="O147" s="189"/>
      <c r="P147" s="189"/>
      <c r="Q147" s="189"/>
      <c r="R147" s="189"/>
      <c r="S147" s="189"/>
      <c r="T147" s="189"/>
      <c r="U147" s="189"/>
      <c r="V147" s="189"/>
      <c r="W147" s="189"/>
      <c r="X147" s="189"/>
      <c r="Y147" s="189"/>
      <c r="Z147" s="189"/>
      <c r="AA147" s="189"/>
      <c r="AB147" s="189"/>
      <c r="AC147" s="189"/>
      <c r="AD147" s="189"/>
      <c r="AE147" s="189"/>
      <c r="AF147" s="189"/>
      <c r="AG147" s="189"/>
      <c r="AH147" s="189"/>
      <c r="AI147" s="189"/>
      <c r="AJ147" s="189"/>
      <c r="AK147" s="189"/>
      <c r="AL147" s="189"/>
      <c r="AM147" s="189"/>
      <c r="AN147" s="189"/>
      <c r="AO147" s="189"/>
      <c r="AP147" s="189"/>
      <c r="AQ147" s="391"/>
    </row>
    <row r="148" spans="1:43" s="166" customFormat="1" ht="15.9" thickTop="1" thickBot="1">
      <c r="A148" s="18">
        <f t="shared" si="5"/>
        <v>67</v>
      </c>
      <c r="B148" s="146" t="s">
        <v>88</v>
      </c>
      <c r="C148" s="13" t="s">
        <v>246</v>
      </c>
      <c r="D148" s="13"/>
      <c r="E148" s="13"/>
      <c r="F148" s="189"/>
      <c r="G148" s="189"/>
      <c r="H148" s="189"/>
      <c r="I148" s="189"/>
      <c r="J148" s="189"/>
      <c r="K148" s="189"/>
      <c r="L148" s="189"/>
      <c r="M148" s="189"/>
      <c r="N148" s="189"/>
      <c r="O148" s="189"/>
      <c r="P148" s="189"/>
      <c r="Q148" s="189"/>
      <c r="R148" s="189"/>
      <c r="S148" s="189"/>
      <c r="T148" s="189"/>
      <c r="U148" s="189"/>
      <c r="V148" s="189"/>
      <c r="W148" s="189"/>
      <c r="X148" s="189"/>
      <c r="Y148" s="189"/>
      <c r="Z148" s="189"/>
      <c r="AA148" s="189"/>
      <c r="AB148" s="189"/>
      <c r="AC148" s="189"/>
      <c r="AD148" s="189"/>
      <c r="AE148" s="189"/>
      <c r="AF148" s="189"/>
      <c r="AG148" s="189"/>
      <c r="AH148" s="189"/>
      <c r="AI148" s="189"/>
      <c r="AJ148" s="189"/>
      <c r="AK148" s="189"/>
      <c r="AL148" s="189"/>
      <c r="AM148" s="189"/>
      <c r="AN148" s="189"/>
      <c r="AO148" s="189"/>
      <c r="AP148" s="189"/>
    </row>
    <row r="149" spans="1:43" s="166" customFormat="1" ht="15.9" thickTop="1" thickBot="1">
      <c r="A149" s="18">
        <f t="shared" si="5"/>
        <v>68</v>
      </c>
      <c r="B149" s="146" t="s">
        <v>89</v>
      </c>
      <c r="C149" s="13" t="s">
        <v>247</v>
      </c>
      <c r="D149" s="13"/>
      <c r="E149" s="13"/>
      <c r="F149" s="189"/>
      <c r="G149" s="189"/>
      <c r="H149" s="189"/>
      <c r="I149" s="189"/>
      <c r="J149" s="189"/>
      <c r="K149" s="189"/>
      <c r="L149" s="189"/>
      <c r="M149" s="189"/>
      <c r="N149" s="189"/>
      <c r="O149" s="189"/>
      <c r="P149" s="189"/>
      <c r="Q149" s="189"/>
      <c r="R149" s="189"/>
      <c r="S149" s="189"/>
      <c r="T149" s="189"/>
      <c r="U149" s="189"/>
      <c r="V149" s="189"/>
      <c r="W149" s="189"/>
      <c r="X149" s="189"/>
      <c r="Y149" s="189"/>
      <c r="Z149" s="189"/>
      <c r="AA149" s="189"/>
      <c r="AB149" s="189"/>
      <c r="AC149" s="189"/>
      <c r="AD149" s="189"/>
      <c r="AE149" s="189"/>
      <c r="AF149" s="189"/>
      <c r="AG149" s="189"/>
      <c r="AH149" s="189"/>
      <c r="AI149" s="189"/>
      <c r="AJ149" s="189"/>
      <c r="AK149" s="189"/>
      <c r="AL149" s="189"/>
      <c r="AM149" s="189"/>
      <c r="AN149" s="189"/>
      <c r="AO149" s="189"/>
      <c r="AP149" s="189"/>
    </row>
    <row r="150" spans="1:43" s="166" customFormat="1" ht="15.9" thickTop="1" thickBot="1">
      <c r="A150" s="18">
        <f t="shared" si="5"/>
        <v>69</v>
      </c>
      <c r="B150" s="146" t="s">
        <v>605</v>
      </c>
      <c r="C150" s="13" t="s">
        <v>248</v>
      </c>
      <c r="D150" s="13"/>
      <c r="E150" s="13"/>
      <c r="F150" s="189"/>
      <c r="G150" s="189"/>
      <c r="H150" s="189"/>
      <c r="I150" s="189"/>
      <c r="J150" s="189"/>
      <c r="K150" s="189"/>
      <c r="L150" s="189"/>
      <c r="M150" s="189"/>
      <c r="N150" s="189"/>
      <c r="O150" s="189"/>
      <c r="P150" s="189"/>
      <c r="Q150" s="189"/>
      <c r="R150" s="189"/>
      <c r="S150" s="189"/>
      <c r="T150" s="189"/>
      <c r="U150" s="189"/>
      <c r="V150" s="189"/>
      <c r="W150" s="189"/>
      <c r="X150" s="189"/>
      <c r="Y150" s="189"/>
      <c r="Z150" s="189"/>
      <c r="AA150" s="189"/>
      <c r="AB150" s="189"/>
      <c r="AC150" s="189"/>
      <c r="AD150" s="189"/>
      <c r="AE150" s="189"/>
      <c r="AF150" s="189"/>
      <c r="AG150" s="189"/>
      <c r="AH150" s="189"/>
      <c r="AI150" s="189"/>
      <c r="AJ150" s="189"/>
      <c r="AK150" s="189"/>
      <c r="AL150" s="189"/>
      <c r="AM150" s="189"/>
      <c r="AN150" s="189"/>
      <c r="AO150" s="189"/>
      <c r="AP150" s="189"/>
      <c r="AQ150" s="391"/>
    </row>
    <row r="151" spans="1:43" s="166" customFormat="1" ht="15.9" thickTop="1" thickBot="1">
      <c r="A151" s="18">
        <f t="shared" si="5"/>
        <v>70</v>
      </c>
      <c r="B151" s="146" t="s">
        <v>606</v>
      </c>
      <c r="C151" s="13" t="s">
        <v>249</v>
      </c>
      <c r="D151" s="13"/>
      <c r="E151" s="13"/>
      <c r="F151" s="189"/>
      <c r="G151" s="189"/>
      <c r="H151" s="189"/>
      <c r="I151" s="189"/>
      <c r="J151" s="189"/>
      <c r="K151" s="189"/>
      <c r="L151" s="189"/>
      <c r="M151" s="189"/>
      <c r="N151" s="189"/>
      <c r="O151" s="189"/>
      <c r="P151" s="189"/>
      <c r="Q151" s="189"/>
      <c r="R151" s="189"/>
      <c r="S151" s="189"/>
      <c r="T151" s="189"/>
      <c r="U151" s="189"/>
      <c r="V151" s="189"/>
      <c r="W151" s="189"/>
      <c r="X151" s="189"/>
      <c r="Y151" s="189"/>
      <c r="Z151" s="189"/>
      <c r="AA151" s="189"/>
      <c r="AB151" s="189"/>
      <c r="AC151" s="189"/>
      <c r="AD151" s="189"/>
      <c r="AE151" s="189"/>
      <c r="AF151" s="189"/>
      <c r="AG151" s="189"/>
      <c r="AH151" s="189"/>
      <c r="AI151" s="189"/>
      <c r="AJ151" s="189"/>
      <c r="AK151" s="189"/>
      <c r="AL151" s="189"/>
      <c r="AM151" s="189"/>
      <c r="AN151" s="189"/>
      <c r="AO151" s="189"/>
      <c r="AP151" s="189"/>
      <c r="AQ151" s="391"/>
    </row>
    <row r="152" spans="1:43" s="166" customFormat="1" ht="15.9" thickTop="1" thickBot="1">
      <c r="A152" s="18">
        <f t="shared" si="5"/>
        <v>71</v>
      </c>
      <c r="B152" s="146" t="s">
        <v>90</v>
      </c>
      <c r="C152" s="13" t="s">
        <v>548</v>
      </c>
      <c r="D152" s="13"/>
      <c r="E152" s="13"/>
      <c r="F152" s="189"/>
      <c r="G152" s="189"/>
      <c r="H152" s="189"/>
      <c r="I152" s="189"/>
      <c r="J152" s="189"/>
      <c r="K152" s="189"/>
      <c r="L152" s="189"/>
      <c r="M152" s="189"/>
      <c r="N152" s="189"/>
      <c r="O152" s="189"/>
      <c r="P152" s="189"/>
      <c r="Q152" s="189"/>
      <c r="R152" s="189"/>
      <c r="S152" s="189"/>
      <c r="T152" s="189"/>
      <c r="U152" s="189"/>
      <c r="V152" s="189"/>
      <c r="W152" s="189"/>
      <c r="X152" s="189"/>
      <c r="Y152" s="189"/>
      <c r="Z152" s="189"/>
      <c r="AA152" s="189"/>
      <c r="AB152" s="189"/>
      <c r="AC152" s="189"/>
      <c r="AD152" s="189"/>
      <c r="AE152" s="189"/>
      <c r="AF152" s="189"/>
      <c r="AG152" s="189"/>
      <c r="AH152" s="189"/>
      <c r="AI152" s="189"/>
      <c r="AJ152" s="189"/>
      <c r="AK152" s="189"/>
      <c r="AL152" s="189"/>
      <c r="AM152" s="189"/>
      <c r="AN152" s="189"/>
      <c r="AO152" s="189"/>
      <c r="AP152" s="189"/>
    </row>
    <row r="153" spans="1:43" s="166" customFormat="1" ht="15.9" thickTop="1" thickBot="1">
      <c r="A153" s="18">
        <f t="shared" si="5"/>
        <v>72</v>
      </c>
      <c r="B153" s="146" t="s">
        <v>91</v>
      </c>
      <c r="C153" s="13" t="s">
        <v>250</v>
      </c>
      <c r="D153" s="13"/>
      <c r="E153" s="13"/>
      <c r="F153" s="189"/>
      <c r="G153" s="189"/>
      <c r="H153" s="189"/>
      <c r="I153" s="189"/>
      <c r="J153" s="189"/>
      <c r="K153" s="189"/>
      <c r="L153" s="189"/>
      <c r="M153" s="189"/>
      <c r="N153" s="189"/>
      <c r="O153" s="189"/>
      <c r="P153" s="189"/>
      <c r="Q153" s="189"/>
      <c r="R153" s="189"/>
      <c r="S153" s="189"/>
      <c r="T153" s="189"/>
      <c r="U153" s="189"/>
      <c r="V153" s="189"/>
      <c r="W153" s="189"/>
      <c r="X153" s="189"/>
      <c r="Y153" s="189"/>
      <c r="Z153" s="189"/>
      <c r="AA153" s="189"/>
      <c r="AB153" s="189"/>
      <c r="AC153" s="189"/>
      <c r="AD153" s="189"/>
      <c r="AE153" s="189"/>
      <c r="AF153" s="189"/>
      <c r="AG153" s="189"/>
      <c r="AH153" s="189"/>
      <c r="AI153" s="189"/>
      <c r="AJ153" s="189"/>
      <c r="AK153" s="189"/>
      <c r="AL153" s="189"/>
      <c r="AM153" s="189"/>
      <c r="AN153" s="189"/>
      <c r="AO153" s="189"/>
      <c r="AP153" s="189"/>
    </row>
    <row r="154" spans="1:43" s="166" customFormat="1" ht="15.9" thickTop="1" thickBot="1">
      <c r="A154" s="18">
        <f t="shared" si="5"/>
        <v>73</v>
      </c>
      <c r="B154" s="146" t="s">
        <v>92</v>
      </c>
      <c r="C154" s="13" t="s">
        <v>251</v>
      </c>
      <c r="D154" s="13"/>
      <c r="E154" s="13"/>
      <c r="F154" s="189"/>
      <c r="G154" s="189"/>
      <c r="H154" s="189"/>
      <c r="I154" s="189"/>
      <c r="J154" s="189"/>
      <c r="K154" s="189"/>
      <c r="L154" s="189"/>
      <c r="M154" s="189"/>
      <c r="N154" s="189"/>
      <c r="O154" s="189"/>
      <c r="P154" s="189"/>
      <c r="Q154" s="189"/>
      <c r="R154" s="189"/>
      <c r="S154" s="189"/>
      <c r="T154" s="189"/>
      <c r="U154" s="189"/>
      <c r="V154" s="189"/>
      <c r="W154" s="189"/>
      <c r="X154" s="189"/>
      <c r="Y154" s="189"/>
      <c r="Z154" s="189"/>
      <c r="AA154" s="189"/>
      <c r="AB154" s="189"/>
      <c r="AC154" s="189"/>
      <c r="AD154" s="189"/>
      <c r="AE154" s="189"/>
      <c r="AF154" s="189"/>
      <c r="AG154" s="189"/>
      <c r="AH154" s="189"/>
      <c r="AI154" s="189"/>
      <c r="AJ154" s="189"/>
      <c r="AK154" s="189"/>
      <c r="AL154" s="189"/>
      <c r="AM154" s="189"/>
      <c r="AN154" s="189"/>
      <c r="AO154" s="189"/>
      <c r="AP154" s="189"/>
      <c r="AQ154" s="391"/>
    </row>
    <row r="155" spans="1:43" s="166" customFormat="1" ht="15.9" thickTop="1" thickBot="1">
      <c r="A155" s="18">
        <f t="shared" si="5"/>
        <v>74</v>
      </c>
      <c r="B155" s="146" t="s">
        <v>93</v>
      </c>
      <c r="C155" s="13" t="s">
        <v>1</v>
      </c>
      <c r="D155" s="13"/>
      <c r="E155" s="13"/>
      <c r="F155" s="189"/>
      <c r="G155" s="189"/>
      <c r="H155" s="189"/>
      <c r="I155" s="189"/>
      <c r="J155" s="189"/>
      <c r="K155" s="189"/>
      <c r="L155" s="189"/>
      <c r="M155" s="189"/>
      <c r="N155" s="189"/>
      <c r="O155" s="189"/>
      <c r="P155" s="189"/>
      <c r="Q155" s="189"/>
      <c r="R155" s="189"/>
      <c r="S155" s="189"/>
      <c r="T155" s="189"/>
      <c r="U155" s="189"/>
      <c r="V155" s="189"/>
      <c r="W155" s="189"/>
      <c r="X155" s="189"/>
      <c r="Y155" s="189"/>
      <c r="Z155" s="189"/>
      <c r="AA155" s="189"/>
      <c r="AB155" s="189"/>
      <c r="AC155" s="189"/>
      <c r="AD155" s="189"/>
      <c r="AE155" s="189"/>
      <c r="AF155" s="189"/>
      <c r="AG155" s="189"/>
      <c r="AH155" s="189"/>
      <c r="AI155" s="189"/>
      <c r="AJ155" s="189"/>
      <c r="AK155" s="189"/>
      <c r="AL155" s="189"/>
      <c r="AM155" s="189"/>
      <c r="AN155" s="189"/>
      <c r="AO155" s="189"/>
      <c r="AP155" s="189"/>
    </row>
    <row r="156" spans="1:43" s="166" customFormat="1" ht="15.9" thickTop="1" thickBot="1">
      <c r="A156" s="18">
        <f t="shared" si="5"/>
        <v>75</v>
      </c>
      <c r="B156" s="16" t="s">
        <v>94</v>
      </c>
      <c r="C156" s="13" t="s">
        <v>549</v>
      </c>
      <c r="D156" s="13"/>
      <c r="E156" s="13"/>
      <c r="F156" s="189"/>
      <c r="G156" s="189"/>
      <c r="H156" s="189"/>
      <c r="I156" s="189"/>
      <c r="J156" s="189"/>
      <c r="K156" s="189"/>
      <c r="L156" s="189"/>
      <c r="M156" s="189"/>
      <c r="N156" s="189"/>
      <c r="O156" s="189"/>
      <c r="P156" s="189"/>
      <c r="Q156" s="189"/>
      <c r="R156" s="189"/>
      <c r="S156" s="189"/>
      <c r="T156" s="189"/>
      <c r="U156" s="189"/>
      <c r="V156" s="189"/>
      <c r="W156" s="189"/>
      <c r="X156" s="189"/>
      <c r="Y156" s="189"/>
      <c r="Z156" s="189"/>
      <c r="AA156" s="189"/>
      <c r="AB156" s="189"/>
      <c r="AC156" s="189"/>
      <c r="AD156" s="189"/>
      <c r="AE156" s="189"/>
      <c r="AF156" s="189"/>
      <c r="AG156" s="189"/>
      <c r="AH156" s="189"/>
      <c r="AI156" s="189"/>
      <c r="AJ156" s="189"/>
      <c r="AK156" s="189"/>
      <c r="AL156" s="189"/>
      <c r="AM156" s="189"/>
      <c r="AN156" s="189"/>
      <c r="AO156" s="189"/>
      <c r="AP156" s="189"/>
    </row>
    <row r="157" spans="1:43" s="166" customFormat="1" ht="15.9" thickTop="1" thickBot="1">
      <c r="A157" s="18">
        <f t="shared" si="5"/>
        <v>76</v>
      </c>
      <c r="B157" s="16" t="s">
        <v>638</v>
      </c>
      <c r="C157" s="13" t="s">
        <v>550</v>
      </c>
      <c r="D157" s="13"/>
      <c r="E157" s="13"/>
      <c r="F157" s="189"/>
      <c r="G157" s="189"/>
      <c r="H157" s="189"/>
      <c r="I157" s="189"/>
      <c r="J157" s="189"/>
      <c r="K157" s="189"/>
      <c r="L157" s="189"/>
      <c r="M157" s="189"/>
      <c r="N157" s="189"/>
      <c r="O157" s="189"/>
      <c r="P157" s="189"/>
      <c r="Q157" s="189"/>
      <c r="R157" s="189"/>
      <c r="S157" s="189"/>
      <c r="T157" s="189"/>
      <c r="U157" s="189"/>
      <c r="V157" s="189"/>
      <c r="W157" s="189"/>
      <c r="X157" s="189"/>
      <c r="Y157" s="189"/>
      <c r="Z157" s="189"/>
      <c r="AA157" s="189"/>
      <c r="AB157" s="189"/>
      <c r="AC157" s="189"/>
      <c r="AD157" s="189"/>
      <c r="AE157" s="189"/>
      <c r="AF157" s="189"/>
      <c r="AG157" s="189"/>
      <c r="AH157" s="189"/>
      <c r="AI157" s="189"/>
      <c r="AJ157" s="189"/>
      <c r="AK157" s="189"/>
      <c r="AL157" s="189"/>
      <c r="AM157" s="189"/>
      <c r="AN157" s="189"/>
      <c r="AO157" s="189"/>
      <c r="AP157" s="189"/>
      <c r="AQ157" s="391"/>
    </row>
    <row r="158" spans="1:43" s="166" customFormat="1" ht="14.25" customHeight="1" thickTop="1" thickBot="1">
      <c r="A158" s="18">
        <f t="shared" si="5"/>
        <v>77</v>
      </c>
      <c r="B158" s="16" t="s">
        <v>95</v>
      </c>
      <c r="C158" s="13" t="s">
        <v>253</v>
      </c>
      <c r="D158" s="13"/>
      <c r="E158" s="13"/>
      <c r="F158" s="189"/>
      <c r="G158" s="189"/>
      <c r="H158" s="189"/>
      <c r="I158" s="189"/>
      <c r="J158" s="189"/>
      <c r="K158" s="189"/>
      <c r="L158" s="189"/>
      <c r="M158" s="189"/>
      <c r="N158" s="189"/>
      <c r="O158" s="189"/>
      <c r="P158" s="189"/>
      <c r="Q158" s="189"/>
      <c r="R158" s="189"/>
      <c r="S158" s="189"/>
      <c r="T158" s="189"/>
      <c r="U158" s="189"/>
      <c r="V158" s="189"/>
      <c r="W158" s="189"/>
      <c r="X158" s="189"/>
      <c r="Y158" s="189"/>
      <c r="Z158" s="189"/>
      <c r="AA158" s="189"/>
      <c r="AB158" s="189"/>
      <c r="AC158" s="189"/>
      <c r="AD158" s="189"/>
      <c r="AE158" s="189"/>
      <c r="AF158" s="189"/>
      <c r="AG158" s="189"/>
      <c r="AH158" s="189"/>
      <c r="AI158" s="189"/>
      <c r="AJ158" s="189"/>
      <c r="AK158" s="189"/>
      <c r="AL158" s="189"/>
      <c r="AM158" s="189"/>
      <c r="AN158" s="189"/>
      <c r="AO158" s="189"/>
      <c r="AP158" s="189"/>
    </row>
    <row r="159" spans="1:43" s="166" customFormat="1" ht="15.9" thickTop="1" thickBot="1">
      <c r="A159" s="18">
        <f t="shared" si="5"/>
        <v>78</v>
      </c>
      <c r="B159" s="16" t="s">
        <v>96</v>
      </c>
      <c r="C159" s="13" t="s">
        <v>551</v>
      </c>
      <c r="D159" s="13"/>
      <c r="E159" s="13"/>
      <c r="F159" s="189"/>
      <c r="G159" s="189"/>
      <c r="H159" s="189"/>
      <c r="I159" s="189"/>
      <c r="J159" s="189"/>
      <c r="K159" s="189"/>
      <c r="L159" s="189"/>
      <c r="M159" s="189"/>
      <c r="N159" s="189"/>
      <c r="O159" s="189"/>
      <c r="P159" s="189"/>
      <c r="Q159" s="189"/>
      <c r="R159" s="189"/>
      <c r="S159" s="189"/>
      <c r="T159" s="189"/>
      <c r="U159" s="189"/>
      <c r="V159" s="189"/>
      <c r="W159" s="189"/>
      <c r="X159" s="189"/>
      <c r="Y159" s="189"/>
      <c r="Z159" s="189"/>
      <c r="AA159" s="189"/>
      <c r="AB159" s="189"/>
      <c r="AC159" s="189"/>
      <c r="AD159" s="189"/>
      <c r="AE159" s="189"/>
      <c r="AF159" s="189"/>
      <c r="AG159" s="189"/>
      <c r="AH159" s="189"/>
      <c r="AI159" s="189"/>
      <c r="AJ159" s="189"/>
      <c r="AK159" s="189"/>
      <c r="AL159" s="189"/>
      <c r="AM159" s="189"/>
      <c r="AN159" s="189"/>
      <c r="AO159" s="189"/>
      <c r="AP159" s="189"/>
    </row>
    <row r="160" spans="1:43" s="166" customFormat="1" ht="15.9" thickTop="1" thickBot="1">
      <c r="A160" s="18">
        <f t="shared" si="5"/>
        <v>79</v>
      </c>
      <c r="B160" s="16" t="s">
        <v>97</v>
      </c>
      <c r="C160" s="13" t="s">
        <v>552</v>
      </c>
      <c r="D160" s="13"/>
      <c r="E160" s="13"/>
      <c r="F160" s="189"/>
      <c r="G160" s="189"/>
      <c r="H160" s="189"/>
      <c r="I160" s="189"/>
      <c r="J160" s="189"/>
      <c r="K160" s="189"/>
      <c r="L160" s="189"/>
      <c r="M160" s="189"/>
      <c r="N160" s="189"/>
      <c r="O160" s="189"/>
      <c r="P160" s="189"/>
      <c r="Q160" s="189"/>
      <c r="R160" s="189"/>
      <c r="S160" s="189"/>
      <c r="T160" s="189"/>
      <c r="U160" s="189"/>
      <c r="V160" s="189"/>
      <c r="W160" s="189"/>
      <c r="X160" s="189"/>
      <c r="Y160" s="189"/>
      <c r="Z160" s="189"/>
      <c r="AA160" s="189"/>
      <c r="AB160" s="189"/>
      <c r="AC160" s="189"/>
      <c r="AD160" s="189"/>
      <c r="AE160" s="189"/>
      <c r="AF160" s="189"/>
      <c r="AG160" s="189"/>
      <c r="AH160" s="189"/>
      <c r="AI160" s="189"/>
      <c r="AJ160" s="189"/>
      <c r="AK160" s="189"/>
      <c r="AL160" s="189"/>
      <c r="AM160" s="189"/>
      <c r="AN160" s="189"/>
      <c r="AO160" s="189"/>
      <c r="AP160" s="189"/>
    </row>
    <row r="161" spans="1:43" s="166" customFormat="1" ht="15.9" thickTop="1" thickBot="1">
      <c r="A161" s="18">
        <f t="shared" si="5"/>
        <v>80</v>
      </c>
      <c r="B161" s="16" t="s">
        <v>637</v>
      </c>
      <c r="C161" s="147" t="s">
        <v>252</v>
      </c>
      <c r="D161" s="147"/>
      <c r="E161" s="147"/>
      <c r="F161" s="189"/>
      <c r="G161" s="189"/>
      <c r="H161" s="189"/>
      <c r="I161" s="189"/>
      <c r="J161" s="189"/>
      <c r="K161" s="189"/>
      <c r="L161" s="189"/>
      <c r="M161" s="189"/>
      <c r="N161" s="189"/>
      <c r="O161" s="189"/>
      <c r="P161" s="189"/>
      <c r="Q161" s="189"/>
      <c r="R161" s="189"/>
      <c r="S161" s="189"/>
      <c r="T161" s="189"/>
      <c r="U161" s="189"/>
      <c r="V161" s="189"/>
      <c r="W161" s="189"/>
      <c r="X161" s="189"/>
      <c r="Y161" s="189"/>
      <c r="Z161" s="189"/>
      <c r="AA161" s="189"/>
      <c r="AB161" s="189"/>
      <c r="AC161" s="189"/>
      <c r="AD161" s="189"/>
      <c r="AE161" s="189"/>
      <c r="AF161" s="189"/>
      <c r="AG161" s="189"/>
      <c r="AH161" s="189"/>
      <c r="AI161" s="189"/>
      <c r="AJ161" s="189"/>
      <c r="AK161" s="189"/>
      <c r="AL161" s="189"/>
      <c r="AM161" s="189"/>
      <c r="AN161" s="189"/>
      <c r="AO161" s="189"/>
      <c r="AP161" s="189"/>
    </row>
    <row r="162" spans="1:43" s="166" customFormat="1" ht="15.9" thickTop="1" thickBot="1">
      <c r="A162" s="18">
        <f t="shared" si="5"/>
        <v>81</v>
      </c>
      <c r="B162" s="16" t="s">
        <v>298</v>
      </c>
      <c r="C162" s="13" t="s">
        <v>553</v>
      </c>
      <c r="D162" s="13"/>
      <c r="E162" s="13"/>
      <c r="F162" s="189"/>
      <c r="G162" s="189"/>
      <c r="H162" s="189"/>
      <c r="I162" s="189"/>
      <c r="J162" s="189"/>
      <c r="K162" s="189"/>
      <c r="L162" s="189"/>
      <c r="M162" s="189"/>
      <c r="N162" s="189"/>
      <c r="O162" s="189"/>
      <c r="P162" s="189"/>
      <c r="Q162" s="189"/>
      <c r="R162" s="189"/>
      <c r="S162" s="189"/>
      <c r="T162" s="189"/>
      <c r="U162" s="189"/>
      <c r="V162" s="189"/>
      <c r="W162" s="189"/>
      <c r="X162" s="189"/>
      <c r="Y162" s="189"/>
      <c r="Z162" s="189"/>
      <c r="AA162" s="189"/>
      <c r="AB162" s="189"/>
      <c r="AC162" s="189"/>
      <c r="AD162" s="189"/>
      <c r="AE162" s="189"/>
      <c r="AF162" s="189"/>
      <c r="AG162" s="189"/>
      <c r="AH162" s="189"/>
      <c r="AI162" s="189"/>
      <c r="AJ162" s="189"/>
      <c r="AK162" s="189"/>
      <c r="AL162" s="189"/>
      <c r="AM162" s="189"/>
      <c r="AN162" s="189"/>
      <c r="AO162" s="189"/>
      <c r="AP162" s="189"/>
    </row>
    <row r="163" spans="1:43" s="166" customFormat="1" ht="15.9" thickTop="1" thickBot="1">
      <c r="A163" s="18">
        <f t="shared" si="5"/>
        <v>82</v>
      </c>
      <c r="B163" s="16" t="s">
        <v>257</v>
      </c>
      <c r="C163" s="13" t="s">
        <v>258</v>
      </c>
      <c r="D163" s="13"/>
      <c r="E163" s="13"/>
      <c r="F163" s="189"/>
      <c r="G163" s="189"/>
      <c r="H163" s="189"/>
      <c r="I163" s="189"/>
      <c r="J163" s="189"/>
      <c r="K163" s="189"/>
      <c r="L163" s="189"/>
      <c r="M163" s="189"/>
      <c r="N163" s="189"/>
      <c r="O163" s="189"/>
      <c r="P163" s="189"/>
      <c r="Q163" s="189"/>
      <c r="R163" s="189"/>
      <c r="S163" s="189"/>
      <c r="T163" s="189"/>
      <c r="U163" s="189"/>
      <c r="V163" s="189"/>
      <c r="W163" s="189"/>
      <c r="X163" s="189"/>
      <c r="Y163" s="189"/>
      <c r="Z163" s="189"/>
      <c r="AA163" s="189"/>
      <c r="AB163" s="189"/>
      <c r="AC163" s="189"/>
      <c r="AD163" s="189"/>
      <c r="AE163" s="189"/>
      <c r="AF163" s="189"/>
      <c r="AG163" s="189"/>
      <c r="AH163" s="189"/>
      <c r="AI163" s="189"/>
      <c r="AJ163" s="189"/>
      <c r="AK163" s="189"/>
      <c r="AL163" s="189"/>
      <c r="AM163" s="189"/>
      <c r="AN163" s="189"/>
      <c r="AO163" s="189"/>
      <c r="AP163" s="189"/>
    </row>
    <row r="164" spans="1:43" s="166" customFormat="1" ht="15.9" thickTop="1" thickBot="1">
      <c r="A164" s="18">
        <f t="shared" si="5"/>
        <v>83</v>
      </c>
      <c r="B164" s="16" t="s">
        <v>299</v>
      </c>
      <c r="C164" s="13" t="s">
        <v>139</v>
      </c>
      <c r="D164" s="13"/>
      <c r="E164" s="13"/>
      <c r="F164" s="189"/>
      <c r="G164" s="189"/>
      <c r="H164" s="189"/>
      <c r="I164" s="189"/>
      <c r="J164" s="189"/>
      <c r="K164" s="189"/>
      <c r="L164" s="189"/>
      <c r="M164" s="189"/>
      <c r="N164" s="189"/>
      <c r="O164" s="189"/>
      <c r="P164" s="189"/>
      <c r="Q164" s="189"/>
      <c r="R164" s="189"/>
      <c r="S164" s="189"/>
      <c r="T164" s="189"/>
      <c r="U164" s="189"/>
      <c r="V164" s="189"/>
      <c r="W164" s="189"/>
      <c r="X164" s="189"/>
      <c r="Y164" s="189"/>
      <c r="Z164" s="189"/>
      <c r="AA164" s="189"/>
      <c r="AB164" s="189"/>
      <c r="AC164" s="189"/>
      <c r="AD164" s="189"/>
      <c r="AE164" s="189"/>
      <c r="AF164" s="189"/>
      <c r="AG164" s="189"/>
      <c r="AH164" s="189"/>
      <c r="AI164" s="189"/>
      <c r="AJ164" s="189"/>
      <c r="AK164" s="189"/>
      <c r="AL164" s="189"/>
      <c r="AM164" s="189"/>
      <c r="AN164" s="189"/>
      <c r="AO164" s="189"/>
      <c r="AP164" s="189"/>
    </row>
    <row r="165" spans="1:43" s="166" customFormat="1" ht="15.9" thickTop="1" thickBot="1">
      <c r="A165" s="18">
        <f t="shared" si="5"/>
        <v>84</v>
      </c>
      <c r="B165" s="16" t="s">
        <v>639</v>
      </c>
      <c r="C165" s="13" t="s">
        <v>140</v>
      </c>
      <c r="D165" s="13"/>
      <c r="E165" s="13"/>
      <c r="F165" s="189"/>
      <c r="G165" s="189"/>
      <c r="H165" s="189"/>
      <c r="I165" s="189"/>
      <c r="J165" s="189"/>
      <c r="K165" s="189"/>
      <c r="L165" s="189"/>
      <c r="M165" s="189"/>
      <c r="N165" s="189"/>
      <c r="O165" s="189"/>
      <c r="P165" s="189"/>
      <c r="Q165" s="189"/>
      <c r="R165" s="189"/>
      <c r="S165" s="189"/>
      <c r="T165" s="189"/>
      <c r="U165" s="189"/>
      <c r="V165" s="189"/>
      <c r="W165" s="189"/>
      <c r="X165" s="189"/>
      <c r="Y165" s="189"/>
      <c r="Z165" s="189"/>
      <c r="AA165" s="189"/>
      <c r="AB165" s="189"/>
      <c r="AC165" s="189"/>
      <c r="AD165" s="189"/>
      <c r="AE165" s="189"/>
      <c r="AF165" s="189"/>
      <c r="AG165" s="189"/>
      <c r="AH165" s="189"/>
      <c r="AI165" s="189"/>
      <c r="AJ165" s="189"/>
      <c r="AK165" s="189"/>
      <c r="AL165" s="189"/>
      <c r="AM165" s="189"/>
      <c r="AN165" s="189"/>
      <c r="AO165" s="189"/>
      <c r="AP165" s="189"/>
      <c r="AQ165" s="391"/>
    </row>
    <row r="166" spans="1:43" s="166" customFormat="1" ht="15.9" thickTop="1" thickBot="1">
      <c r="A166" s="18">
        <f t="shared" si="5"/>
        <v>85</v>
      </c>
      <c r="B166" s="16" t="s">
        <v>300</v>
      </c>
      <c r="C166" s="13" t="s">
        <v>74</v>
      </c>
      <c r="D166" s="13"/>
      <c r="E166" s="13"/>
      <c r="F166" s="189"/>
      <c r="G166" s="189"/>
      <c r="H166" s="189"/>
      <c r="I166" s="189"/>
      <c r="J166" s="189"/>
      <c r="K166" s="189"/>
      <c r="L166" s="189"/>
      <c r="M166" s="189"/>
      <c r="N166" s="189"/>
      <c r="O166" s="189"/>
      <c r="P166" s="189"/>
      <c r="Q166" s="189"/>
      <c r="R166" s="189"/>
      <c r="S166" s="189"/>
      <c r="T166" s="189"/>
      <c r="U166" s="189"/>
      <c r="V166" s="189"/>
      <c r="W166" s="189"/>
      <c r="X166" s="189"/>
      <c r="Y166" s="189"/>
      <c r="Z166" s="189"/>
      <c r="AA166" s="189"/>
      <c r="AB166" s="189"/>
      <c r="AC166" s="189"/>
      <c r="AD166" s="189"/>
      <c r="AE166" s="189"/>
      <c r="AF166" s="189"/>
      <c r="AG166" s="189"/>
      <c r="AH166" s="189"/>
      <c r="AI166" s="189"/>
      <c r="AJ166" s="189"/>
      <c r="AK166" s="189"/>
      <c r="AL166" s="189"/>
      <c r="AM166" s="189"/>
      <c r="AN166" s="189"/>
      <c r="AO166" s="189"/>
      <c r="AP166" s="189"/>
      <c r="AQ166" s="391"/>
    </row>
    <row r="167" spans="1:43" s="166" customFormat="1" ht="15.9" thickTop="1" thickBot="1">
      <c r="A167" s="18">
        <f t="shared" si="5"/>
        <v>86</v>
      </c>
      <c r="B167" s="16" t="s">
        <v>301</v>
      </c>
      <c r="C167" s="13" t="s">
        <v>554</v>
      </c>
      <c r="D167" s="13"/>
      <c r="E167" s="13"/>
      <c r="F167" s="189"/>
      <c r="G167" s="189"/>
      <c r="H167" s="189"/>
      <c r="I167" s="189"/>
      <c r="J167" s="189"/>
      <c r="K167" s="189"/>
      <c r="L167" s="189"/>
      <c r="M167" s="189"/>
      <c r="N167" s="189"/>
      <c r="O167" s="189"/>
      <c r="P167" s="189"/>
      <c r="Q167" s="189"/>
      <c r="R167" s="189"/>
      <c r="S167" s="189"/>
      <c r="T167" s="189"/>
      <c r="U167" s="189"/>
      <c r="V167" s="189"/>
      <c r="W167" s="189"/>
      <c r="X167" s="189"/>
      <c r="Y167" s="189"/>
      <c r="Z167" s="189"/>
      <c r="AA167" s="189"/>
      <c r="AB167" s="189"/>
      <c r="AC167" s="189"/>
      <c r="AD167" s="189"/>
      <c r="AE167" s="189"/>
      <c r="AF167" s="189"/>
      <c r="AG167" s="189"/>
      <c r="AH167" s="189"/>
      <c r="AI167" s="189"/>
      <c r="AJ167" s="189"/>
      <c r="AK167" s="189"/>
      <c r="AL167" s="189"/>
      <c r="AM167" s="189"/>
      <c r="AN167" s="189"/>
      <c r="AO167" s="189"/>
      <c r="AP167" s="189"/>
      <c r="AQ167" s="391"/>
    </row>
    <row r="168" spans="1:43" s="166" customFormat="1" ht="15.9" thickTop="1" thickBot="1">
      <c r="A168" s="18">
        <f t="shared" si="5"/>
        <v>87</v>
      </c>
      <c r="B168" s="16" t="s">
        <v>302</v>
      </c>
      <c r="C168" s="13" t="s">
        <v>555</v>
      </c>
      <c r="D168" s="13"/>
      <c r="E168" s="13"/>
      <c r="F168" s="189"/>
      <c r="G168" s="189"/>
      <c r="H168" s="189"/>
      <c r="I168" s="189"/>
      <c r="J168" s="189"/>
      <c r="K168" s="189"/>
      <c r="L168" s="189"/>
      <c r="M168" s="189"/>
      <c r="N168" s="189"/>
      <c r="O168" s="189"/>
      <c r="P168" s="189"/>
      <c r="Q168" s="189"/>
      <c r="R168" s="189"/>
      <c r="S168" s="189"/>
      <c r="T168" s="189"/>
      <c r="U168" s="189"/>
      <c r="V168" s="189"/>
      <c r="W168" s="189"/>
      <c r="X168" s="189"/>
      <c r="Y168" s="189"/>
      <c r="Z168" s="189"/>
      <c r="AA168" s="189"/>
      <c r="AB168" s="189"/>
      <c r="AC168" s="189"/>
      <c r="AD168" s="189"/>
      <c r="AE168" s="189"/>
      <c r="AF168" s="189"/>
      <c r="AG168" s="189"/>
      <c r="AH168" s="189"/>
      <c r="AI168" s="189"/>
      <c r="AJ168" s="189"/>
      <c r="AK168" s="189"/>
      <c r="AL168" s="189"/>
      <c r="AM168" s="189"/>
      <c r="AN168" s="189"/>
      <c r="AO168" s="189"/>
      <c r="AP168" s="189"/>
      <c r="AQ168" s="391"/>
    </row>
    <row r="169" spans="1:43" s="166" customFormat="1" ht="15.9" thickTop="1" thickBot="1">
      <c r="A169" s="18">
        <f t="shared" si="5"/>
        <v>88</v>
      </c>
      <c r="B169" s="16" t="s">
        <v>303</v>
      </c>
      <c r="C169" s="13" t="s">
        <v>556</v>
      </c>
      <c r="D169" s="13"/>
      <c r="E169" s="13"/>
      <c r="F169" s="189"/>
      <c r="G169" s="189"/>
      <c r="H169" s="189"/>
      <c r="I169" s="189"/>
      <c r="J169" s="189"/>
      <c r="K169" s="189"/>
      <c r="L169" s="189"/>
      <c r="M169" s="189"/>
      <c r="N169" s="189"/>
      <c r="O169" s="189"/>
      <c r="P169" s="189"/>
      <c r="Q169" s="189"/>
      <c r="R169" s="189"/>
      <c r="S169" s="189"/>
      <c r="T169" s="189"/>
      <c r="U169" s="189"/>
      <c r="V169" s="189"/>
      <c r="W169" s="189"/>
      <c r="X169" s="189"/>
      <c r="Y169" s="189"/>
      <c r="Z169" s="189"/>
      <c r="AA169" s="189"/>
      <c r="AB169" s="189"/>
      <c r="AC169" s="189"/>
      <c r="AD169" s="189"/>
      <c r="AE169" s="189"/>
      <c r="AF169" s="189"/>
      <c r="AG169" s="189"/>
      <c r="AH169" s="189"/>
      <c r="AI169" s="189"/>
      <c r="AJ169" s="189"/>
      <c r="AK169" s="189"/>
      <c r="AL169" s="189"/>
      <c r="AM169" s="189"/>
      <c r="AN169" s="189"/>
      <c r="AO169" s="189"/>
      <c r="AP169" s="189"/>
      <c r="AQ169" s="391"/>
    </row>
    <row r="170" spans="1:43" s="166" customFormat="1" ht="15.9" thickTop="1" thickBot="1">
      <c r="A170" s="18">
        <f t="shared" si="5"/>
        <v>89</v>
      </c>
      <c r="B170" s="16" t="s">
        <v>640</v>
      </c>
      <c r="C170" s="13" t="s">
        <v>557</v>
      </c>
      <c r="D170" s="13"/>
      <c r="E170" s="13"/>
      <c r="F170" s="189"/>
      <c r="G170" s="189"/>
      <c r="H170" s="189"/>
      <c r="I170" s="189"/>
      <c r="J170" s="189"/>
      <c r="K170" s="189"/>
      <c r="L170" s="189"/>
      <c r="M170" s="189"/>
      <c r="N170" s="189"/>
      <c r="O170" s="189"/>
      <c r="P170" s="189"/>
      <c r="Q170" s="189"/>
      <c r="R170" s="189"/>
      <c r="S170" s="189"/>
      <c r="T170" s="189"/>
      <c r="U170" s="189"/>
      <c r="V170" s="189"/>
      <c r="W170" s="189"/>
      <c r="X170" s="189"/>
      <c r="Y170" s="189"/>
      <c r="Z170" s="189"/>
      <c r="AA170" s="189"/>
      <c r="AB170" s="189"/>
      <c r="AC170" s="189"/>
      <c r="AD170" s="189"/>
      <c r="AE170" s="189"/>
      <c r="AF170" s="189"/>
      <c r="AG170" s="189"/>
      <c r="AH170" s="189"/>
      <c r="AI170" s="189"/>
      <c r="AJ170" s="189"/>
      <c r="AK170" s="189"/>
      <c r="AL170" s="189"/>
      <c r="AM170" s="189"/>
      <c r="AN170" s="189"/>
      <c r="AO170" s="189"/>
      <c r="AP170" s="189"/>
      <c r="AQ170" s="391"/>
    </row>
    <row r="171" spans="1:43" s="166" customFormat="1" ht="15.9" thickTop="1" thickBot="1">
      <c r="A171" s="18">
        <f t="shared" si="5"/>
        <v>90</v>
      </c>
      <c r="B171" s="16" t="s">
        <v>304</v>
      </c>
      <c r="C171" s="13" t="s">
        <v>75</v>
      </c>
      <c r="D171" s="13"/>
      <c r="E171" s="13"/>
      <c r="F171" s="189"/>
      <c r="G171" s="189"/>
      <c r="H171" s="189"/>
      <c r="I171" s="189"/>
      <c r="J171" s="189"/>
      <c r="K171" s="189"/>
      <c r="L171" s="189"/>
      <c r="M171" s="189"/>
      <c r="N171" s="189"/>
      <c r="O171" s="189"/>
      <c r="P171" s="189"/>
      <c r="Q171" s="189"/>
      <c r="R171" s="189"/>
      <c r="S171" s="189"/>
      <c r="T171" s="189"/>
      <c r="U171" s="189"/>
      <c r="V171" s="189"/>
      <c r="W171" s="189"/>
      <c r="X171" s="189"/>
      <c r="Y171" s="189"/>
      <c r="Z171" s="189"/>
      <c r="AA171" s="189"/>
      <c r="AB171" s="189"/>
      <c r="AC171" s="189"/>
      <c r="AD171" s="189"/>
      <c r="AE171" s="189"/>
      <c r="AF171" s="189"/>
      <c r="AG171" s="189"/>
      <c r="AH171" s="189"/>
      <c r="AI171" s="189"/>
      <c r="AJ171" s="189"/>
      <c r="AK171" s="189"/>
      <c r="AL171" s="189"/>
      <c r="AM171" s="189"/>
      <c r="AN171" s="189"/>
      <c r="AO171" s="189"/>
      <c r="AP171" s="189"/>
      <c r="AQ171" s="391"/>
    </row>
    <row r="172" spans="1:43" s="166" customFormat="1" ht="15.9" thickTop="1" thickBot="1">
      <c r="A172" s="18">
        <f t="shared" si="5"/>
        <v>91</v>
      </c>
      <c r="B172" s="16" t="s">
        <v>305</v>
      </c>
      <c r="C172" s="13" t="s">
        <v>558</v>
      </c>
      <c r="D172" s="13"/>
      <c r="E172" s="13"/>
      <c r="F172" s="189"/>
      <c r="G172" s="189"/>
      <c r="H172" s="189"/>
      <c r="I172" s="189"/>
      <c r="J172" s="189"/>
      <c r="K172" s="189"/>
      <c r="L172" s="189"/>
      <c r="M172" s="189"/>
      <c r="N172" s="189"/>
      <c r="O172" s="189"/>
      <c r="P172" s="189"/>
      <c r="Q172" s="189"/>
      <c r="R172" s="189"/>
      <c r="S172" s="189"/>
      <c r="T172" s="189"/>
      <c r="U172" s="189"/>
      <c r="V172" s="189"/>
      <c r="W172" s="189"/>
      <c r="X172" s="189"/>
      <c r="Y172" s="189"/>
      <c r="Z172" s="189"/>
      <c r="AA172" s="189"/>
      <c r="AB172" s="189"/>
      <c r="AC172" s="189"/>
      <c r="AD172" s="189"/>
      <c r="AE172" s="189"/>
      <c r="AF172" s="189"/>
      <c r="AG172" s="189"/>
      <c r="AH172" s="189"/>
      <c r="AI172" s="189"/>
      <c r="AJ172" s="189"/>
      <c r="AK172" s="189"/>
      <c r="AL172" s="189"/>
      <c r="AM172" s="189"/>
      <c r="AN172" s="189"/>
      <c r="AO172" s="189"/>
      <c r="AP172" s="189"/>
      <c r="AQ172" s="391"/>
    </row>
    <row r="173" spans="1:43" s="166" customFormat="1" ht="15.9" thickTop="1" thickBot="1">
      <c r="A173" s="18">
        <f t="shared" si="5"/>
        <v>92</v>
      </c>
      <c r="B173" s="16" t="s">
        <v>306</v>
      </c>
      <c r="C173" s="13" t="s">
        <v>559</v>
      </c>
      <c r="D173" s="13"/>
      <c r="E173" s="13"/>
      <c r="F173" s="189"/>
      <c r="G173" s="189"/>
      <c r="H173" s="189"/>
      <c r="I173" s="189"/>
      <c r="J173" s="189"/>
      <c r="K173" s="189"/>
      <c r="L173" s="189"/>
      <c r="M173" s="189"/>
      <c r="N173" s="189"/>
      <c r="O173" s="189"/>
      <c r="P173" s="189"/>
      <c r="Q173" s="189"/>
      <c r="R173" s="189"/>
      <c r="S173" s="189"/>
      <c r="T173" s="189"/>
      <c r="U173" s="189"/>
      <c r="V173" s="189"/>
      <c r="W173" s="189"/>
      <c r="X173" s="189"/>
      <c r="Y173" s="189"/>
      <c r="Z173" s="189"/>
      <c r="AA173" s="189"/>
      <c r="AB173" s="189"/>
      <c r="AC173" s="189"/>
      <c r="AD173" s="189"/>
      <c r="AE173" s="189"/>
      <c r="AF173" s="189"/>
      <c r="AG173" s="189"/>
      <c r="AH173" s="189"/>
      <c r="AI173" s="189"/>
      <c r="AJ173" s="189"/>
      <c r="AK173" s="189"/>
      <c r="AL173" s="189"/>
      <c r="AM173" s="189"/>
      <c r="AN173" s="189"/>
      <c r="AO173" s="189"/>
      <c r="AP173" s="189"/>
      <c r="AQ173" s="391"/>
    </row>
    <row r="174" spans="1:43" s="166" customFormat="1" ht="15.9" thickTop="1" thickBot="1">
      <c r="A174" s="18">
        <f t="shared" si="5"/>
        <v>93</v>
      </c>
      <c r="B174" s="16" t="s">
        <v>307</v>
      </c>
      <c r="C174" s="13" t="s">
        <v>560</v>
      </c>
      <c r="D174" s="13"/>
      <c r="E174" s="13"/>
      <c r="F174" s="189"/>
      <c r="G174" s="189"/>
      <c r="H174" s="189"/>
      <c r="I174" s="189"/>
      <c r="J174" s="189"/>
      <c r="K174" s="189"/>
      <c r="L174" s="189"/>
      <c r="M174" s="189"/>
      <c r="N174" s="189"/>
      <c r="O174" s="189"/>
      <c r="P174" s="189"/>
      <c r="Q174" s="189"/>
      <c r="R174" s="189"/>
      <c r="S174" s="189"/>
      <c r="T174" s="189"/>
      <c r="U174" s="189"/>
      <c r="V174" s="189"/>
      <c r="W174" s="189"/>
      <c r="X174" s="189"/>
      <c r="Y174" s="189"/>
      <c r="Z174" s="189"/>
      <c r="AA174" s="189"/>
      <c r="AB174" s="189"/>
      <c r="AC174" s="189"/>
      <c r="AD174" s="189"/>
      <c r="AE174" s="189"/>
      <c r="AF174" s="189"/>
      <c r="AG174" s="189"/>
      <c r="AH174" s="189"/>
      <c r="AI174" s="189"/>
      <c r="AJ174" s="189"/>
      <c r="AK174" s="189"/>
      <c r="AL174" s="189"/>
      <c r="AM174" s="189"/>
      <c r="AN174" s="189"/>
      <c r="AO174" s="189"/>
      <c r="AP174" s="189"/>
      <c r="AQ174" s="391"/>
    </row>
    <row r="175" spans="1:43" s="166" customFormat="1" ht="15.9" thickTop="1" thickBot="1">
      <c r="A175" s="18">
        <f t="shared" si="5"/>
        <v>94</v>
      </c>
      <c r="B175" s="16" t="s">
        <v>607</v>
      </c>
      <c r="C175" s="13" t="s">
        <v>561</v>
      </c>
      <c r="D175" s="13"/>
      <c r="E175" s="13"/>
      <c r="F175" s="189"/>
      <c r="G175" s="189"/>
      <c r="H175" s="189"/>
      <c r="I175" s="189"/>
      <c r="J175" s="189"/>
      <c r="K175" s="189"/>
      <c r="L175" s="189"/>
      <c r="M175" s="189"/>
      <c r="N175" s="189"/>
      <c r="O175" s="189"/>
      <c r="P175" s="189"/>
      <c r="Q175" s="189"/>
      <c r="R175" s="189"/>
      <c r="S175" s="189"/>
      <c r="T175" s="189"/>
      <c r="U175" s="189"/>
      <c r="V175" s="189"/>
      <c r="W175" s="189"/>
      <c r="X175" s="189"/>
      <c r="Y175" s="189"/>
      <c r="Z175" s="189"/>
      <c r="AA175" s="189"/>
      <c r="AB175" s="189"/>
      <c r="AC175" s="189"/>
      <c r="AD175" s="189"/>
      <c r="AE175" s="189"/>
      <c r="AF175" s="189"/>
      <c r="AG175" s="189"/>
      <c r="AH175" s="189"/>
      <c r="AI175" s="189"/>
      <c r="AJ175" s="189"/>
      <c r="AK175" s="189"/>
      <c r="AL175" s="189"/>
      <c r="AM175" s="189"/>
      <c r="AN175" s="189"/>
      <c r="AO175" s="189"/>
      <c r="AP175" s="189"/>
      <c r="AQ175" s="391"/>
    </row>
    <row r="176" spans="1:43" s="166" customFormat="1" ht="15.9" thickTop="1" thickBot="1">
      <c r="A176" s="18">
        <f t="shared" si="5"/>
        <v>95</v>
      </c>
      <c r="B176" s="16" t="s">
        <v>608</v>
      </c>
      <c r="C176" s="393" t="s">
        <v>76</v>
      </c>
      <c r="D176" s="393"/>
      <c r="E176" s="393"/>
      <c r="F176" s="189"/>
      <c r="G176" s="189"/>
      <c r="H176" s="189"/>
      <c r="I176" s="189"/>
      <c r="J176" s="189"/>
      <c r="K176" s="189"/>
      <c r="L176" s="189"/>
      <c r="M176" s="189"/>
      <c r="N176" s="189"/>
      <c r="O176" s="189"/>
      <c r="P176" s="189"/>
      <c r="Q176" s="189"/>
      <c r="R176" s="189"/>
      <c r="S176" s="189"/>
      <c r="T176" s="189"/>
      <c r="U176" s="189"/>
      <c r="V176" s="189"/>
      <c r="W176" s="189"/>
      <c r="X176" s="189"/>
      <c r="Y176" s="189"/>
      <c r="Z176" s="189"/>
      <c r="AA176" s="189"/>
      <c r="AB176" s="189"/>
      <c r="AC176" s="189"/>
      <c r="AD176" s="189"/>
      <c r="AE176" s="189"/>
      <c r="AF176" s="189"/>
      <c r="AG176" s="189"/>
      <c r="AH176" s="189"/>
      <c r="AI176" s="189"/>
      <c r="AJ176" s="189"/>
      <c r="AK176" s="189"/>
      <c r="AL176" s="189"/>
      <c r="AM176" s="189"/>
      <c r="AN176" s="189"/>
      <c r="AO176" s="189"/>
      <c r="AP176" s="189"/>
    </row>
    <row r="177" spans="1:43" s="166" customFormat="1" ht="15.9" thickTop="1" thickBot="1">
      <c r="A177" s="18">
        <f t="shared" si="5"/>
        <v>96</v>
      </c>
      <c r="B177" s="16" t="s">
        <v>609</v>
      </c>
      <c r="C177" s="393" t="s">
        <v>77</v>
      </c>
      <c r="D177" s="393"/>
      <c r="E177" s="393"/>
      <c r="F177" s="189"/>
      <c r="G177" s="189"/>
      <c r="H177" s="189"/>
      <c r="I177" s="189"/>
      <c r="J177" s="189"/>
      <c r="K177" s="189"/>
      <c r="L177" s="189"/>
      <c r="M177" s="189"/>
      <c r="N177" s="189"/>
      <c r="O177" s="189"/>
      <c r="P177" s="189"/>
      <c r="Q177" s="189"/>
      <c r="R177" s="189"/>
      <c r="S177" s="189"/>
      <c r="T177" s="189"/>
      <c r="U177" s="189"/>
      <c r="V177" s="189"/>
      <c r="W177" s="189"/>
      <c r="X177" s="189"/>
      <c r="Y177" s="189"/>
      <c r="Z177" s="189"/>
      <c r="AA177" s="189"/>
      <c r="AB177" s="189"/>
      <c r="AC177" s="189"/>
      <c r="AD177" s="189"/>
      <c r="AE177" s="189"/>
      <c r="AF177" s="189"/>
      <c r="AG177" s="189"/>
      <c r="AH177" s="189"/>
      <c r="AI177" s="189"/>
      <c r="AJ177" s="189"/>
      <c r="AK177" s="189"/>
      <c r="AL177" s="189"/>
      <c r="AM177" s="189"/>
      <c r="AN177" s="189"/>
      <c r="AO177" s="189"/>
      <c r="AP177" s="189"/>
    </row>
    <row r="178" spans="1:43" s="166" customFormat="1" ht="15.9" thickTop="1" thickBot="1">
      <c r="A178" s="18">
        <f t="shared" si="5"/>
        <v>97</v>
      </c>
      <c r="B178" s="16" t="s">
        <v>308</v>
      </c>
      <c r="C178" s="13" t="s">
        <v>78</v>
      </c>
      <c r="D178" s="13"/>
      <c r="E178" s="13"/>
      <c r="F178" s="189"/>
      <c r="G178" s="189"/>
      <c r="H178" s="189"/>
      <c r="I178" s="189"/>
      <c r="J178" s="189"/>
      <c r="K178" s="189"/>
      <c r="L178" s="189"/>
      <c r="M178" s="189"/>
      <c r="N178" s="189"/>
      <c r="O178" s="189"/>
      <c r="P178" s="189"/>
      <c r="Q178" s="189"/>
      <c r="R178" s="189"/>
      <c r="S178" s="189"/>
      <c r="T178" s="189"/>
      <c r="U178" s="189"/>
      <c r="V178" s="189"/>
      <c r="W178" s="189"/>
      <c r="X178" s="189"/>
      <c r="Y178" s="189"/>
      <c r="Z178" s="189"/>
      <c r="AA178" s="189"/>
      <c r="AB178" s="189"/>
      <c r="AC178" s="189"/>
      <c r="AD178" s="189"/>
      <c r="AE178" s="189"/>
      <c r="AF178" s="189"/>
      <c r="AG178" s="189"/>
      <c r="AH178" s="189"/>
      <c r="AI178" s="189"/>
      <c r="AJ178" s="189"/>
      <c r="AK178" s="189"/>
      <c r="AL178" s="189"/>
      <c r="AM178" s="189"/>
      <c r="AN178" s="189"/>
      <c r="AO178" s="189"/>
      <c r="AP178" s="189"/>
      <c r="AQ178" s="391"/>
    </row>
    <row r="179" spans="1:43" s="166" customFormat="1" ht="15.9" thickTop="1" thickBot="1">
      <c r="A179" s="18">
        <f t="shared" ref="A179:A210" si="6">A178+1</f>
        <v>98</v>
      </c>
      <c r="B179" s="16" t="s">
        <v>309</v>
      </c>
      <c r="C179" s="13" t="s">
        <v>562</v>
      </c>
      <c r="D179" s="13"/>
      <c r="E179" s="13"/>
      <c r="F179" s="189"/>
      <c r="G179" s="189"/>
      <c r="H179" s="189"/>
      <c r="I179" s="189"/>
      <c r="J179" s="189"/>
      <c r="K179" s="189"/>
      <c r="L179" s="189"/>
      <c r="M179" s="189"/>
      <c r="N179" s="189"/>
      <c r="O179" s="189"/>
      <c r="P179" s="189"/>
      <c r="Q179" s="189"/>
      <c r="R179" s="189"/>
      <c r="S179" s="189"/>
      <c r="T179" s="189"/>
      <c r="U179" s="189"/>
      <c r="V179" s="189"/>
      <c r="W179" s="189"/>
      <c r="X179" s="189"/>
      <c r="Y179" s="189"/>
      <c r="Z179" s="189"/>
      <c r="AA179" s="189"/>
      <c r="AB179" s="189"/>
      <c r="AC179" s="189"/>
      <c r="AD179" s="189"/>
      <c r="AE179" s="189"/>
      <c r="AF179" s="189"/>
      <c r="AG179" s="189"/>
      <c r="AH179" s="189"/>
      <c r="AI179" s="189"/>
      <c r="AJ179" s="189"/>
      <c r="AK179" s="189"/>
      <c r="AL179" s="189"/>
      <c r="AM179" s="189"/>
      <c r="AN179" s="189"/>
      <c r="AO179" s="189"/>
      <c r="AP179" s="189"/>
      <c r="AQ179" s="391"/>
    </row>
    <row r="180" spans="1:43" s="166" customFormat="1" ht="15.9" thickTop="1" thickBot="1">
      <c r="A180" s="18">
        <f t="shared" si="6"/>
        <v>99</v>
      </c>
      <c r="B180" s="16" t="s">
        <v>310</v>
      </c>
      <c r="C180" s="13" t="s">
        <v>563</v>
      </c>
      <c r="D180" s="13"/>
      <c r="E180" s="13"/>
      <c r="F180" s="189"/>
      <c r="G180" s="189"/>
      <c r="H180" s="189"/>
      <c r="I180" s="189"/>
      <c r="J180" s="189"/>
      <c r="K180" s="189"/>
      <c r="L180" s="189"/>
      <c r="M180" s="189"/>
      <c r="N180" s="189"/>
      <c r="O180" s="189"/>
      <c r="P180" s="189"/>
      <c r="Q180" s="189"/>
      <c r="R180" s="189"/>
      <c r="S180" s="189"/>
      <c r="T180" s="189"/>
      <c r="U180" s="189"/>
      <c r="V180" s="189"/>
      <c r="W180" s="189"/>
      <c r="X180" s="189"/>
      <c r="Y180" s="189"/>
      <c r="Z180" s="189"/>
      <c r="AA180" s="189"/>
      <c r="AB180" s="189"/>
      <c r="AC180" s="189"/>
      <c r="AD180" s="189"/>
      <c r="AE180" s="189"/>
      <c r="AF180" s="189"/>
      <c r="AG180" s="189"/>
      <c r="AH180" s="189"/>
      <c r="AI180" s="189"/>
      <c r="AJ180" s="189"/>
      <c r="AK180" s="189"/>
      <c r="AL180" s="189"/>
      <c r="AM180" s="189"/>
      <c r="AN180" s="189"/>
      <c r="AO180" s="189"/>
      <c r="AP180" s="189"/>
      <c r="AQ180" s="391"/>
    </row>
    <row r="181" spans="1:43" s="166" customFormat="1" ht="15.9" thickTop="1" thickBot="1">
      <c r="A181" s="18">
        <f t="shared" si="6"/>
        <v>100</v>
      </c>
      <c r="B181" s="16" t="s">
        <v>311</v>
      </c>
      <c r="C181" s="13" t="s">
        <v>564</v>
      </c>
      <c r="D181" s="13"/>
      <c r="E181" s="13"/>
      <c r="F181" s="189"/>
      <c r="G181" s="189"/>
      <c r="H181" s="189"/>
      <c r="I181" s="189"/>
      <c r="J181" s="189"/>
      <c r="K181" s="189"/>
      <c r="L181" s="189"/>
      <c r="M181" s="189"/>
      <c r="N181" s="189"/>
      <c r="O181" s="189"/>
      <c r="P181" s="189"/>
      <c r="Q181" s="189"/>
      <c r="R181" s="189"/>
      <c r="S181" s="189"/>
      <c r="T181" s="189"/>
      <c r="U181" s="189"/>
      <c r="V181" s="189"/>
      <c r="W181" s="189"/>
      <c r="X181" s="189"/>
      <c r="Y181" s="189"/>
      <c r="Z181" s="189"/>
      <c r="AA181" s="189"/>
      <c r="AB181" s="189"/>
      <c r="AC181" s="189"/>
      <c r="AD181" s="189"/>
      <c r="AE181" s="189"/>
      <c r="AF181" s="189"/>
      <c r="AG181" s="189"/>
      <c r="AH181" s="189"/>
      <c r="AI181" s="189"/>
      <c r="AJ181" s="189"/>
      <c r="AK181" s="189"/>
      <c r="AL181" s="189"/>
      <c r="AM181" s="189"/>
      <c r="AN181" s="189"/>
      <c r="AO181" s="189"/>
      <c r="AP181" s="189"/>
    </row>
    <row r="182" spans="1:43" s="166" customFormat="1" ht="15.9" thickTop="1" thickBot="1">
      <c r="A182" s="18">
        <f t="shared" si="6"/>
        <v>101</v>
      </c>
      <c r="B182" s="16" t="s">
        <v>641</v>
      </c>
      <c r="C182" s="13" t="s">
        <v>565</v>
      </c>
      <c r="D182" s="13"/>
      <c r="E182" s="13"/>
      <c r="F182" s="189"/>
      <c r="G182" s="189"/>
      <c r="H182" s="189"/>
      <c r="I182" s="189"/>
      <c r="J182" s="189"/>
      <c r="K182" s="189"/>
      <c r="L182" s="189"/>
      <c r="M182" s="189"/>
      <c r="N182" s="189"/>
      <c r="O182" s="189"/>
      <c r="P182" s="189"/>
      <c r="Q182" s="189"/>
      <c r="R182" s="189"/>
      <c r="S182" s="189"/>
      <c r="T182" s="189"/>
      <c r="U182" s="189"/>
      <c r="V182" s="189"/>
      <c r="W182" s="189"/>
      <c r="X182" s="189"/>
      <c r="Y182" s="189"/>
      <c r="Z182" s="189"/>
      <c r="AA182" s="189"/>
      <c r="AB182" s="189"/>
      <c r="AC182" s="189"/>
      <c r="AD182" s="189"/>
      <c r="AE182" s="189"/>
      <c r="AF182" s="189"/>
      <c r="AG182" s="189"/>
      <c r="AH182" s="189"/>
      <c r="AI182" s="189"/>
      <c r="AJ182" s="189"/>
      <c r="AK182" s="189"/>
      <c r="AL182" s="189"/>
      <c r="AM182" s="189"/>
      <c r="AN182" s="189"/>
      <c r="AO182" s="189"/>
      <c r="AP182" s="189"/>
      <c r="AQ182" s="391"/>
    </row>
    <row r="183" spans="1:43" s="166" customFormat="1" ht="15.9" thickTop="1" thickBot="1">
      <c r="A183" s="18">
        <f t="shared" si="6"/>
        <v>102</v>
      </c>
      <c r="B183" s="16" t="s">
        <v>312</v>
      </c>
      <c r="C183" s="13" t="s">
        <v>566</v>
      </c>
      <c r="D183" s="13"/>
      <c r="E183" s="13"/>
      <c r="F183" s="189"/>
      <c r="G183" s="189"/>
      <c r="H183" s="189"/>
      <c r="I183" s="189"/>
      <c r="J183" s="189"/>
      <c r="K183" s="189"/>
      <c r="L183" s="189"/>
      <c r="M183" s="189"/>
      <c r="N183" s="189"/>
      <c r="O183" s="189"/>
      <c r="P183" s="189"/>
      <c r="Q183" s="189"/>
      <c r="R183" s="189"/>
      <c r="S183" s="189"/>
      <c r="T183" s="189"/>
      <c r="U183" s="189"/>
      <c r="V183" s="189"/>
      <c r="W183" s="189"/>
      <c r="X183" s="189"/>
      <c r="Y183" s="189"/>
      <c r="Z183" s="189"/>
      <c r="AA183" s="189"/>
      <c r="AB183" s="189"/>
      <c r="AC183" s="189"/>
      <c r="AD183" s="189"/>
      <c r="AE183" s="189"/>
      <c r="AF183" s="189"/>
      <c r="AG183" s="189"/>
      <c r="AH183" s="189"/>
      <c r="AI183" s="189"/>
      <c r="AJ183" s="189"/>
      <c r="AK183" s="189"/>
      <c r="AL183" s="189"/>
      <c r="AM183" s="189"/>
      <c r="AN183" s="189"/>
      <c r="AO183" s="189"/>
      <c r="AP183" s="189"/>
    </row>
    <row r="184" spans="1:43" s="166" customFormat="1" ht="15.9" thickTop="1" thickBot="1">
      <c r="A184" s="18">
        <f t="shared" si="6"/>
        <v>103</v>
      </c>
      <c r="B184" s="16" t="s">
        <v>642</v>
      </c>
      <c r="C184" s="13" t="s">
        <v>384</v>
      </c>
      <c r="D184" s="13"/>
      <c r="E184" s="13"/>
      <c r="F184" s="189"/>
      <c r="G184" s="189"/>
      <c r="H184" s="189"/>
      <c r="I184" s="189"/>
      <c r="J184" s="189"/>
      <c r="K184" s="189"/>
      <c r="L184" s="189"/>
      <c r="M184" s="189"/>
      <c r="N184" s="189"/>
      <c r="O184" s="189"/>
      <c r="P184" s="189"/>
      <c r="Q184" s="189"/>
      <c r="R184" s="189"/>
      <c r="S184" s="189"/>
      <c r="T184" s="189"/>
      <c r="U184" s="189"/>
      <c r="V184" s="189"/>
      <c r="W184" s="189"/>
      <c r="X184" s="189"/>
      <c r="Y184" s="189"/>
      <c r="Z184" s="189"/>
      <c r="AA184" s="189"/>
      <c r="AB184" s="189"/>
      <c r="AC184" s="189"/>
      <c r="AD184" s="189"/>
      <c r="AE184" s="189"/>
      <c r="AF184" s="189"/>
      <c r="AG184" s="189"/>
      <c r="AH184" s="189"/>
      <c r="AI184" s="189"/>
      <c r="AJ184" s="189"/>
      <c r="AK184" s="189"/>
      <c r="AL184" s="189"/>
      <c r="AM184" s="189"/>
      <c r="AN184" s="189"/>
      <c r="AO184" s="189"/>
      <c r="AP184" s="189"/>
    </row>
    <row r="185" spans="1:43" s="166" customFormat="1" ht="15.9" thickTop="1" thickBot="1">
      <c r="A185" s="18">
        <f t="shared" si="6"/>
        <v>104</v>
      </c>
      <c r="B185" s="16" t="s">
        <v>610</v>
      </c>
      <c r="C185" s="13" t="s">
        <v>236</v>
      </c>
      <c r="D185" s="13"/>
      <c r="E185" s="13"/>
      <c r="F185" s="189"/>
      <c r="G185" s="189"/>
      <c r="H185" s="189"/>
      <c r="I185" s="189"/>
      <c r="J185" s="189"/>
      <c r="K185" s="189"/>
      <c r="L185" s="189"/>
      <c r="M185" s="189"/>
      <c r="N185" s="189"/>
      <c r="O185" s="189"/>
      <c r="P185" s="189"/>
      <c r="Q185" s="189"/>
      <c r="R185" s="189"/>
      <c r="S185" s="189"/>
      <c r="T185" s="189"/>
      <c r="U185" s="189"/>
      <c r="V185" s="189"/>
      <c r="W185" s="189"/>
      <c r="X185" s="189"/>
      <c r="Y185" s="189"/>
      <c r="Z185" s="189"/>
      <c r="AA185" s="189"/>
      <c r="AB185" s="189"/>
      <c r="AC185" s="189"/>
      <c r="AD185" s="189"/>
      <c r="AE185" s="189"/>
      <c r="AF185" s="189"/>
      <c r="AG185" s="189"/>
      <c r="AH185" s="189"/>
      <c r="AI185" s="189"/>
      <c r="AJ185" s="189"/>
      <c r="AK185" s="189"/>
      <c r="AL185" s="189"/>
      <c r="AM185" s="189"/>
      <c r="AN185" s="189"/>
      <c r="AO185" s="189"/>
      <c r="AP185" s="189"/>
    </row>
    <row r="186" spans="1:43" s="166" customFormat="1" ht="15.9" thickTop="1" thickBot="1">
      <c r="A186" s="18">
        <f t="shared" si="6"/>
        <v>105</v>
      </c>
      <c r="B186" s="16" t="s">
        <v>611</v>
      </c>
      <c r="C186" s="13" t="s">
        <v>567</v>
      </c>
      <c r="D186" s="13"/>
      <c r="E186" s="13"/>
      <c r="F186" s="189"/>
      <c r="G186" s="189"/>
      <c r="H186" s="189"/>
      <c r="I186" s="189"/>
      <c r="J186" s="189"/>
      <c r="K186" s="189"/>
      <c r="L186" s="189"/>
      <c r="M186" s="189"/>
      <c r="N186" s="189"/>
      <c r="O186" s="189"/>
      <c r="P186" s="189"/>
      <c r="Q186" s="189"/>
      <c r="R186" s="189"/>
      <c r="S186" s="189"/>
      <c r="T186" s="189"/>
      <c r="U186" s="189"/>
      <c r="V186" s="189"/>
      <c r="W186" s="189"/>
      <c r="X186" s="189"/>
      <c r="Y186" s="189"/>
      <c r="Z186" s="189"/>
      <c r="AA186" s="189"/>
      <c r="AB186" s="189"/>
      <c r="AC186" s="189"/>
      <c r="AD186" s="189"/>
      <c r="AE186" s="189"/>
      <c r="AF186" s="189"/>
      <c r="AG186" s="189"/>
      <c r="AH186" s="189"/>
      <c r="AI186" s="189"/>
      <c r="AJ186" s="189"/>
      <c r="AK186" s="189"/>
      <c r="AL186" s="189"/>
      <c r="AM186" s="189"/>
      <c r="AN186" s="189"/>
      <c r="AO186" s="189"/>
      <c r="AP186" s="189"/>
    </row>
    <row r="187" spans="1:43" s="166" customFormat="1" ht="15.9" thickTop="1" thickBot="1">
      <c r="A187" s="18">
        <f t="shared" si="6"/>
        <v>106</v>
      </c>
      <c r="B187" s="16" t="s">
        <v>313</v>
      </c>
      <c r="C187" s="13" t="s">
        <v>568</v>
      </c>
      <c r="D187" s="13"/>
      <c r="E187" s="13"/>
      <c r="F187" s="189"/>
      <c r="G187" s="189"/>
      <c r="H187" s="189"/>
      <c r="I187" s="189"/>
      <c r="J187" s="189"/>
      <c r="K187" s="189"/>
      <c r="L187" s="189"/>
      <c r="M187" s="189"/>
      <c r="N187" s="189"/>
      <c r="O187" s="189"/>
      <c r="P187" s="189"/>
      <c r="Q187" s="189"/>
      <c r="R187" s="189"/>
      <c r="S187" s="189"/>
      <c r="T187" s="189"/>
      <c r="U187" s="189"/>
      <c r="V187" s="189"/>
      <c r="W187" s="189"/>
      <c r="X187" s="189"/>
      <c r="Y187" s="189"/>
      <c r="Z187" s="189"/>
      <c r="AA187" s="189"/>
      <c r="AB187" s="189"/>
      <c r="AC187" s="189"/>
      <c r="AD187" s="189"/>
      <c r="AE187" s="189"/>
      <c r="AF187" s="189"/>
      <c r="AG187" s="189"/>
      <c r="AH187" s="189"/>
      <c r="AI187" s="189"/>
      <c r="AJ187" s="189"/>
      <c r="AK187" s="189"/>
      <c r="AL187" s="189"/>
      <c r="AM187" s="189"/>
      <c r="AN187" s="189"/>
      <c r="AO187" s="189"/>
      <c r="AP187" s="189"/>
      <c r="AQ187" s="391"/>
    </row>
    <row r="188" spans="1:43" s="166" customFormat="1" ht="15.9" thickTop="1" thickBot="1">
      <c r="A188" s="18">
        <f t="shared" si="6"/>
        <v>107</v>
      </c>
      <c r="B188" s="16" t="s">
        <v>314</v>
      </c>
      <c r="C188" s="13" t="s">
        <v>569</v>
      </c>
      <c r="D188" s="13"/>
      <c r="E188" s="13"/>
      <c r="F188" s="189"/>
      <c r="G188" s="189"/>
      <c r="H188" s="189"/>
      <c r="I188" s="189"/>
      <c r="J188" s="189"/>
      <c r="K188" s="189"/>
      <c r="L188" s="189"/>
      <c r="M188" s="189"/>
      <c r="N188" s="189"/>
      <c r="O188" s="189"/>
      <c r="P188" s="189"/>
      <c r="Q188" s="189"/>
      <c r="R188" s="189"/>
      <c r="S188" s="189"/>
      <c r="T188" s="189"/>
      <c r="U188" s="189"/>
      <c r="V188" s="189"/>
      <c r="W188" s="189"/>
      <c r="X188" s="189"/>
      <c r="Y188" s="189"/>
      <c r="Z188" s="189"/>
      <c r="AA188" s="189"/>
      <c r="AB188" s="189"/>
      <c r="AC188" s="189"/>
      <c r="AD188" s="189"/>
      <c r="AE188" s="189"/>
      <c r="AF188" s="189"/>
      <c r="AG188" s="189"/>
      <c r="AH188" s="189"/>
      <c r="AI188" s="189"/>
      <c r="AJ188" s="189"/>
      <c r="AK188" s="189"/>
      <c r="AL188" s="189"/>
      <c r="AM188" s="189"/>
      <c r="AN188" s="189"/>
      <c r="AO188" s="189"/>
      <c r="AP188" s="189"/>
      <c r="AQ188" s="391"/>
    </row>
    <row r="189" spans="1:43" s="14" customFormat="1" ht="15.9" thickTop="1" thickBot="1">
      <c r="A189" s="18">
        <f t="shared" si="6"/>
        <v>108</v>
      </c>
      <c r="B189" s="16" t="s">
        <v>315</v>
      </c>
      <c r="C189" s="13" t="s">
        <v>570</v>
      </c>
      <c r="D189" s="13"/>
      <c r="E189" s="13"/>
      <c r="F189" s="189"/>
      <c r="G189" s="189"/>
      <c r="H189" s="189"/>
      <c r="I189" s="189"/>
      <c r="J189" s="189"/>
      <c r="K189" s="189"/>
      <c r="L189" s="189"/>
      <c r="M189" s="189"/>
      <c r="N189" s="189"/>
      <c r="O189" s="189"/>
      <c r="P189" s="189"/>
      <c r="Q189" s="189"/>
      <c r="R189" s="189"/>
      <c r="S189" s="189"/>
      <c r="T189" s="189"/>
      <c r="U189" s="189"/>
      <c r="V189" s="189"/>
      <c r="W189" s="189"/>
      <c r="X189" s="189"/>
      <c r="Y189" s="189"/>
      <c r="Z189" s="189"/>
      <c r="AA189" s="189"/>
      <c r="AB189" s="189"/>
      <c r="AC189" s="189"/>
      <c r="AD189" s="189"/>
      <c r="AE189" s="189"/>
      <c r="AF189" s="189"/>
      <c r="AG189" s="189"/>
      <c r="AH189" s="189"/>
      <c r="AI189" s="189"/>
      <c r="AJ189" s="189"/>
      <c r="AK189" s="189"/>
      <c r="AL189" s="189"/>
      <c r="AM189" s="189"/>
      <c r="AN189" s="189"/>
      <c r="AO189" s="189"/>
      <c r="AP189" s="189"/>
      <c r="AQ189" s="26"/>
    </row>
    <row r="190" spans="1:43" s="14" customFormat="1" ht="15.9" thickTop="1" thickBot="1">
      <c r="A190" s="18">
        <f t="shared" si="6"/>
        <v>109</v>
      </c>
      <c r="B190" s="16" t="s">
        <v>316</v>
      </c>
      <c r="C190" s="13" t="s">
        <v>6</v>
      </c>
      <c r="D190" s="13"/>
      <c r="E190" s="13"/>
      <c r="F190" s="189"/>
      <c r="G190" s="189"/>
      <c r="H190" s="189"/>
      <c r="I190" s="189"/>
      <c r="J190" s="189"/>
      <c r="K190" s="189"/>
      <c r="L190" s="189"/>
      <c r="M190" s="189"/>
      <c r="N190" s="189"/>
      <c r="O190" s="189"/>
      <c r="P190" s="189"/>
      <c r="Q190" s="189"/>
      <c r="R190" s="189"/>
      <c r="S190" s="189"/>
      <c r="T190" s="189"/>
      <c r="U190" s="189"/>
      <c r="V190" s="189"/>
      <c r="W190" s="189"/>
      <c r="X190" s="189"/>
      <c r="Y190" s="189"/>
      <c r="Z190" s="189"/>
      <c r="AA190" s="189"/>
      <c r="AB190" s="189"/>
      <c r="AC190" s="189"/>
      <c r="AD190" s="189"/>
      <c r="AE190" s="189"/>
      <c r="AF190" s="189"/>
      <c r="AG190" s="189"/>
      <c r="AH190" s="189"/>
      <c r="AI190" s="189"/>
      <c r="AJ190" s="189"/>
      <c r="AK190" s="189"/>
      <c r="AL190" s="189"/>
      <c r="AM190" s="189"/>
      <c r="AN190" s="189"/>
      <c r="AO190" s="189"/>
      <c r="AP190" s="189"/>
      <c r="AQ190" s="26"/>
    </row>
    <row r="191" spans="1:43" s="14" customFormat="1" ht="15.9" thickTop="1" thickBot="1">
      <c r="A191" s="18">
        <f t="shared" si="6"/>
        <v>110</v>
      </c>
      <c r="B191" s="16" t="s">
        <v>612</v>
      </c>
      <c r="C191" s="393" t="s">
        <v>24</v>
      </c>
      <c r="D191" s="393"/>
      <c r="E191" s="393"/>
      <c r="F191" s="189"/>
      <c r="G191" s="189"/>
      <c r="H191" s="189"/>
      <c r="I191" s="189"/>
      <c r="J191" s="189"/>
      <c r="K191" s="189"/>
      <c r="L191" s="189"/>
      <c r="M191" s="189"/>
      <c r="N191" s="189"/>
      <c r="O191" s="189"/>
      <c r="P191" s="189"/>
      <c r="Q191" s="189"/>
      <c r="R191" s="189"/>
      <c r="S191" s="189"/>
      <c r="T191" s="189"/>
      <c r="U191" s="189"/>
      <c r="V191" s="189"/>
      <c r="W191" s="189"/>
      <c r="X191" s="189"/>
      <c r="Y191" s="189"/>
      <c r="Z191" s="189"/>
      <c r="AA191" s="189"/>
      <c r="AB191" s="189"/>
      <c r="AC191" s="189"/>
      <c r="AD191" s="189"/>
      <c r="AE191" s="189"/>
      <c r="AF191" s="189"/>
      <c r="AG191" s="189"/>
      <c r="AH191" s="189"/>
      <c r="AI191" s="189"/>
      <c r="AJ191" s="189"/>
      <c r="AK191" s="189"/>
      <c r="AL191" s="189"/>
      <c r="AM191" s="189"/>
      <c r="AN191" s="189"/>
      <c r="AO191" s="189"/>
      <c r="AP191" s="189"/>
      <c r="AQ191" s="26"/>
    </row>
    <row r="192" spans="1:43" s="14" customFormat="1" ht="15.9" thickTop="1" thickBot="1">
      <c r="A192" s="18">
        <f t="shared" si="6"/>
        <v>111</v>
      </c>
      <c r="B192" s="16" t="s">
        <v>613</v>
      </c>
      <c r="C192" s="13" t="s">
        <v>571</v>
      </c>
      <c r="D192" s="13"/>
      <c r="E192" s="13"/>
      <c r="F192" s="189"/>
      <c r="G192" s="189"/>
      <c r="H192" s="189"/>
      <c r="I192" s="189"/>
      <c r="J192" s="189"/>
      <c r="K192" s="189"/>
      <c r="L192" s="189"/>
      <c r="M192" s="189"/>
      <c r="N192" s="189"/>
      <c r="O192" s="189"/>
      <c r="P192" s="189"/>
      <c r="Q192" s="189"/>
      <c r="R192" s="189"/>
      <c r="S192" s="189"/>
      <c r="T192" s="189"/>
      <c r="U192" s="189"/>
      <c r="V192" s="189"/>
      <c r="W192" s="189"/>
      <c r="X192" s="189"/>
      <c r="Y192" s="189"/>
      <c r="Z192" s="189"/>
      <c r="AA192" s="189"/>
      <c r="AB192" s="189"/>
      <c r="AC192" s="189"/>
      <c r="AD192" s="189"/>
      <c r="AE192" s="189"/>
      <c r="AF192" s="189"/>
      <c r="AG192" s="189"/>
      <c r="AH192" s="189"/>
      <c r="AI192" s="189"/>
      <c r="AJ192" s="189"/>
      <c r="AK192" s="189"/>
      <c r="AL192" s="189"/>
      <c r="AM192" s="189"/>
      <c r="AN192" s="189"/>
      <c r="AO192" s="189"/>
      <c r="AP192" s="189"/>
    </row>
    <row r="193" spans="1:42" s="14" customFormat="1" ht="15.9" thickTop="1" thickBot="1">
      <c r="A193" s="18">
        <f t="shared" si="6"/>
        <v>112</v>
      </c>
      <c r="B193" s="16" t="s">
        <v>317</v>
      </c>
      <c r="C193" s="13" t="s">
        <v>25</v>
      </c>
      <c r="D193" s="13"/>
      <c r="E193" s="13"/>
      <c r="F193" s="189"/>
      <c r="G193" s="189"/>
      <c r="H193" s="189"/>
      <c r="I193" s="189"/>
      <c r="J193" s="189"/>
      <c r="K193" s="189"/>
      <c r="L193" s="189"/>
      <c r="M193" s="189"/>
      <c r="N193" s="189"/>
      <c r="O193" s="189"/>
      <c r="P193" s="189"/>
      <c r="Q193" s="189"/>
      <c r="R193" s="189"/>
      <c r="S193" s="189"/>
      <c r="T193" s="189"/>
      <c r="U193" s="189"/>
      <c r="V193" s="189"/>
      <c r="W193" s="189"/>
      <c r="X193" s="189"/>
      <c r="Y193" s="189"/>
      <c r="Z193" s="189"/>
      <c r="AA193" s="189"/>
      <c r="AB193" s="189"/>
      <c r="AC193" s="189"/>
      <c r="AD193" s="189"/>
      <c r="AE193" s="189"/>
      <c r="AF193" s="189"/>
      <c r="AG193" s="189"/>
      <c r="AH193" s="189"/>
      <c r="AI193" s="189"/>
      <c r="AJ193" s="189"/>
      <c r="AK193" s="189"/>
      <c r="AL193" s="189"/>
      <c r="AM193" s="189"/>
      <c r="AN193" s="189"/>
      <c r="AO193" s="189"/>
      <c r="AP193" s="189"/>
    </row>
    <row r="194" spans="1:42" s="14" customFormat="1" ht="15.9" thickTop="1" thickBot="1">
      <c r="A194" s="18">
        <f t="shared" si="6"/>
        <v>113</v>
      </c>
      <c r="B194" s="16" t="s">
        <v>410</v>
      </c>
      <c r="C194" s="13" t="s">
        <v>26</v>
      </c>
      <c r="D194" s="13"/>
      <c r="E194" s="13"/>
      <c r="F194" s="189"/>
      <c r="G194" s="189"/>
      <c r="H194" s="189"/>
      <c r="I194" s="189"/>
      <c r="J194" s="189"/>
      <c r="K194" s="189"/>
      <c r="L194" s="189"/>
      <c r="M194" s="189"/>
      <c r="N194" s="189"/>
      <c r="O194" s="189"/>
      <c r="P194" s="189"/>
      <c r="Q194" s="189"/>
      <c r="R194" s="189"/>
      <c r="S194" s="189"/>
      <c r="T194" s="189"/>
      <c r="U194" s="189"/>
      <c r="V194" s="189"/>
      <c r="W194" s="612"/>
      <c r="X194" s="612"/>
      <c r="Y194" s="612"/>
      <c r="Z194" s="189"/>
      <c r="AA194" s="189"/>
      <c r="AB194" s="189"/>
      <c r="AC194" s="189"/>
      <c r="AD194" s="189"/>
      <c r="AE194" s="189"/>
      <c r="AF194" s="189"/>
      <c r="AG194" s="189"/>
      <c r="AH194" s="189"/>
      <c r="AI194" s="189"/>
      <c r="AJ194" s="189"/>
      <c r="AK194" s="189"/>
      <c r="AL194" s="189"/>
      <c r="AM194" s="189"/>
      <c r="AN194" s="189"/>
      <c r="AO194" s="189"/>
      <c r="AP194" s="189"/>
    </row>
    <row r="195" spans="1:42" s="166" customFormat="1" ht="15.9" thickTop="1" thickBot="1">
      <c r="A195" s="18">
        <f t="shared" si="6"/>
        <v>114</v>
      </c>
      <c r="B195" s="16" t="s">
        <v>318</v>
      </c>
      <c r="C195" s="13" t="s">
        <v>27</v>
      </c>
      <c r="D195" s="13"/>
      <c r="E195" s="13"/>
      <c r="F195" s="189"/>
      <c r="G195" s="189"/>
      <c r="H195" s="189"/>
      <c r="I195" s="189"/>
      <c r="J195" s="189"/>
      <c r="K195" s="189"/>
      <c r="L195" s="189"/>
      <c r="M195" s="189"/>
      <c r="N195" s="189"/>
      <c r="O195" s="189"/>
      <c r="P195" s="189"/>
      <c r="Q195" s="189"/>
      <c r="R195" s="189"/>
      <c r="S195" s="189"/>
      <c r="T195" s="189"/>
      <c r="U195" s="189"/>
      <c r="V195" s="189"/>
      <c r="W195" s="189"/>
      <c r="X195" s="189"/>
      <c r="Y195" s="189"/>
      <c r="Z195" s="189"/>
      <c r="AA195" s="189"/>
      <c r="AB195" s="189"/>
      <c r="AC195" s="189"/>
      <c r="AD195" s="189"/>
      <c r="AE195" s="189"/>
      <c r="AF195" s="189"/>
      <c r="AG195" s="189"/>
      <c r="AH195" s="189"/>
      <c r="AI195" s="189"/>
      <c r="AJ195" s="189"/>
      <c r="AK195" s="189"/>
      <c r="AL195" s="189"/>
      <c r="AM195" s="189"/>
      <c r="AN195" s="189"/>
      <c r="AO195" s="189"/>
      <c r="AP195" s="189"/>
    </row>
    <row r="196" spans="1:42" s="166" customFormat="1" ht="15.9" thickTop="1" thickBot="1">
      <c r="A196" s="18">
        <f t="shared" si="6"/>
        <v>115</v>
      </c>
      <c r="B196" s="16" t="s">
        <v>319</v>
      </c>
      <c r="C196" s="13" t="s">
        <v>572</v>
      </c>
      <c r="D196" s="13"/>
      <c r="E196" s="13"/>
      <c r="F196" s="189"/>
      <c r="G196" s="189"/>
      <c r="H196" s="189"/>
      <c r="I196" s="189"/>
      <c r="J196" s="189"/>
      <c r="K196" s="189"/>
      <c r="L196" s="189"/>
      <c r="M196" s="189"/>
      <c r="N196" s="189"/>
      <c r="O196" s="189"/>
      <c r="P196" s="189"/>
      <c r="Q196" s="189"/>
      <c r="R196" s="189"/>
      <c r="S196" s="189"/>
      <c r="T196" s="189"/>
      <c r="U196" s="189"/>
      <c r="V196" s="189"/>
      <c r="W196" s="189"/>
      <c r="X196" s="189"/>
      <c r="Y196" s="189"/>
      <c r="Z196" s="189"/>
      <c r="AA196" s="189"/>
      <c r="AB196" s="189"/>
      <c r="AC196" s="189"/>
      <c r="AD196" s="189"/>
      <c r="AE196" s="189"/>
      <c r="AF196" s="189"/>
      <c r="AG196" s="189"/>
      <c r="AH196" s="189"/>
      <c r="AI196" s="189"/>
      <c r="AJ196" s="189"/>
      <c r="AK196" s="189"/>
      <c r="AL196" s="189"/>
      <c r="AM196" s="189"/>
      <c r="AN196" s="189"/>
      <c r="AO196" s="189"/>
      <c r="AP196" s="189"/>
    </row>
    <row r="197" spans="1:42" s="166" customFormat="1" ht="15.9" thickTop="1" thickBot="1">
      <c r="A197" s="18">
        <f t="shared" si="6"/>
        <v>116</v>
      </c>
      <c r="B197" s="16" t="s">
        <v>320</v>
      </c>
      <c r="C197" s="13" t="s">
        <v>573</v>
      </c>
      <c r="D197" s="13"/>
      <c r="E197" s="13"/>
      <c r="F197" s="189"/>
      <c r="G197" s="189"/>
      <c r="H197" s="189"/>
      <c r="I197" s="189"/>
      <c r="J197" s="189"/>
      <c r="K197" s="189"/>
      <c r="L197" s="189"/>
      <c r="M197" s="189"/>
      <c r="N197" s="189"/>
      <c r="O197" s="189"/>
      <c r="P197" s="189"/>
      <c r="Q197" s="189"/>
      <c r="R197" s="189"/>
      <c r="S197" s="189"/>
      <c r="T197" s="189"/>
      <c r="U197" s="189"/>
      <c r="V197" s="189"/>
      <c r="W197" s="189"/>
      <c r="X197" s="189"/>
      <c r="Y197" s="189"/>
      <c r="Z197" s="189"/>
      <c r="AA197" s="189"/>
      <c r="AB197" s="189"/>
      <c r="AC197" s="189"/>
      <c r="AD197" s="189"/>
      <c r="AE197" s="189"/>
      <c r="AF197" s="189"/>
      <c r="AG197" s="189"/>
      <c r="AH197" s="189"/>
      <c r="AI197" s="189"/>
      <c r="AJ197" s="189"/>
      <c r="AK197" s="189"/>
      <c r="AL197" s="189"/>
      <c r="AM197" s="189"/>
      <c r="AN197" s="189"/>
      <c r="AO197" s="189"/>
      <c r="AP197" s="189"/>
    </row>
    <row r="198" spans="1:42" s="166" customFormat="1" ht="15.9" thickTop="1" thickBot="1">
      <c r="A198" s="18">
        <f t="shared" si="6"/>
        <v>117</v>
      </c>
      <c r="B198" s="16" t="s">
        <v>516</v>
      </c>
      <c r="C198" s="13" t="s">
        <v>517</v>
      </c>
      <c r="D198" s="13"/>
      <c r="E198" s="13"/>
      <c r="F198" s="189"/>
      <c r="G198" s="189"/>
      <c r="H198" s="189"/>
      <c r="I198" s="189"/>
      <c r="J198" s="189"/>
      <c r="K198" s="189"/>
      <c r="L198" s="189"/>
      <c r="M198" s="189"/>
      <c r="N198" s="189"/>
      <c r="O198" s="189"/>
      <c r="P198" s="189"/>
      <c r="Q198" s="189"/>
      <c r="R198" s="189"/>
      <c r="S198" s="189"/>
      <c r="T198" s="189"/>
      <c r="U198" s="189"/>
      <c r="V198" s="189"/>
      <c r="W198" s="189"/>
      <c r="X198" s="189"/>
      <c r="Y198" s="189"/>
      <c r="Z198" s="189"/>
      <c r="AA198" s="189"/>
      <c r="AB198" s="189"/>
      <c r="AC198" s="189"/>
      <c r="AD198" s="189"/>
      <c r="AE198" s="189"/>
      <c r="AF198" s="189"/>
      <c r="AG198" s="189"/>
      <c r="AH198" s="189"/>
      <c r="AI198" s="189"/>
      <c r="AJ198" s="189"/>
      <c r="AK198" s="189"/>
      <c r="AL198" s="189"/>
      <c r="AM198" s="189"/>
      <c r="AN198" s="189"/>
      <c r="AO198" s="189"/>
      <c r="AP198" s="189"/>
    </row>
    <row r="199" spans="1:42" s="166" customFormat="1" ht="15.9" thickTop="1" thickBot="1">
      <c r="A199" s="18">
        <f t="shared" si="6"/>
        <v>118</v>
      </c>
      <c r="B199" s="16" t="s">
        <v>321</v>
      </c>
      <c r="C199" s="13" t="s">
        <v>574</v>
      </c>
      <c r="D199" s="13"/>
      <c r="E199" s="13"/>
      <c r="F199" s="189"/>
      <c r="G199" s="189"/>
      <c r="H199" s="189"/>
      <c r="I199" s="189"/>
      <c r="J199" s="189"/>
      <c r="K199" s="189"/>
      <c r="L199" s="189"/>
      <c r="M199" s="189"/>
      <c r="N199" s="189"/>
      <c r="O199" s="189"/>
      <c r="P199" s="189"/>
      <c r="Q199" s="189"/>
      <c r="R199" s="189"/>
      <c r="S199" s="189"/>
      <c r="T199" s="189"/>
      <c r="U199" s="189"/>
      <c r="V199" s="189"/>
      <c r="W199" s="189"/>
      <c r="X199" s="189"/>
      <c r="Y199" s="189"/>
      <c r="Z199" s="189"/>
      <c r="AA199" s="189"/>
      <c r="AB199" s="189"/>
      <c r="AC199" s="189"/>
      <c r="AD199" s="189"/>
      <c r="AE199" s="189"/>
      <c r="AF199" s="189"/>
      <c r="AG199" s="189"/>
      <c r="AH199" s="189"/>
      <c r="AI199" s="189"/>
      <c r="AJ199" s="189"/>
      <c r="AK199" s="189"/>
      <c r="AL199" s="189"/>
      <c r="AM199" s="189"/>
      <c r="AN199" s="189"/>
      <c r="AO199" s="189"/>
      <c r="AP199" s="189"/>
    </row>
    <row r="200" spans="1:42" s="166" customFormat="1" ht="15.9" thickTop="1" thickBot="1">
      <c r="A200" s="18">
        <f t="shared" si="6"/>
        <v>119</v>
      </c>
      <c r="B200" s="16" t="s">
        <v>322</v>
      </c>
      <c r="C200" s="393" t="s">
        <v>254</v>
      </c>
      <c r="D200" s="393"/>
      <c r="E200" s="393"/>
      <c r="F200" s="189"/>
      <c r="G200" s="189"/>
      <c r="H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row>
    <row r="201" spans="1:42" s="166" customFormat="1" ht="15.9" thickTop="1" thickBot="1">
      <c r="A201" s="18">
        <f t="shared" si="6"/>
        <v>120</v>
      </c>
      <c r="B201" s="16" t="s">
        <v>323</v>
      </c>
      <c r="C201" s="13" t="s">
        <v>575</v>
      </c>
      <c r="D201" s="13"/>
      <c r="E201" s="13"/>
      <c r="F201" s="189"/>
      <c r="G201" s="189"/>
      <c r="H201" s="189"/>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row>
    <row r="202" spans="1:42" s="166" customFormat="1" ht="15" customHeight="1" thickTop="1" thickBot="1">
      <c r="A202" s="18">
        <f t="shared" si="6"/>
        <v>121</v>
      </c>
      <c r="B202" s="16" t="s">
        <v>324</v>
      </c>
      <c r="C202" s="13" t="s">
        <v>576</v>
      </c>
      <c r="D202" s="13"/>
      <c r="E202" s="13"/>
      <c r="F202" s="189"/>
      <c r="G202" s="189"/>
      <c r="H202" s="189"/>
      <c r="I202" s="189"/>
      <c r="J202" s="189"/>
      <c r="K202" s="189"/>
      <c r="L202" s="189"/>
      <c r="M202" s="189"/>
      <c r="N202" s="189"/>
      <c r="O202" s="189"/>
      <c r="P202" s="189"/>
      <c r="Q202" s="189"/>
      <c r="R202" s="189"/>
      <c r="S202" s="189"/>
      <c r="T202" s="189"/>
      <c r="U202" s="189"/>
      <c r="V202" s="189"/>
      <c r="W202" s="189"/>
      <c r="X202" s="189"/>
      <c r="Y202" s="189"/>
      <c r="Z202" s="189"/>
      <c r="AA202" s="189"/>
      <c r="AB202" s="189"/>
      <c r="AC202" s="189"/>
      <c r="AD202" s="189"/>
      <c r="AE202" s="189"/>
      <c r="AF202" s="189"/>
      <c r="AG202" s="189"/>
      <c r="AH202" s="189"/>
      <c r="AI202" s="189"/>
      <c r="AJ202" s="189"/>
      <c r="AK202" s="189"/>
      <c r="AL202" s="189"/>
      <c r="AM202" s="189"/>
      <c r="AN202" s="189"/>
      <c r="AO202" s="189"/>
      <c r="AP202" s="189"/>
    </row>
    <row r="203" spans="1:42" s="166" customFormat="1" ht="15.9" thickTop="1" thickBot="1">
      <c r="A203" s="18">
        <f t="shared" si="6"/>
        <v>122</v>
      </c>
      <c r="B203" s="16" t="s">
        <v>325</v>
      </c>
      <c r="C203" s="13" t="s">
        <v>577</v>
      </c>
      <c r="D203" s="13"/>
      <c r="E203" s="13"/>
      <c r="F203" s="189"/>
      <c r="G203" s="189"/>
      <c r="H203" s="189"/>
      <c r="I203" s="189"/>
      <c r="J203" s="189"/>
      <c r="K203" s="189"/>
      <c r="L203" s="189"/>
      <c r="M203" s="189"/>
      <c r="N203" s="189"/>
      <c r="O203" s="189"/>
      <c r="P203" s="189"/>
      <c r="Q203" s="189"/>
      <c r="R203" s="189"/>
      <c r="S203" s="189"/>
      <c r="T203" s="189"/>
      <c r="U203" s="189"/>
      <c r="V203" s="189"/>
      <c r="W203" s="189"/>
      <c r="X203" s="189"/>
      <c r="Y203" s="189"/>
      <c r="Z203" s="189"/>
      <c r="AA203" s="189"/>
      <c r="AB203" s="189"/>
      <c r="AC203" s="189"/>
      <c r="AD203" s="189"/>
      <c r="AE203" s="189"/>
      <c r="AF203" s="189"/>
      <c r="AG203" s="189"/>
      <c r="AH203" s="189"/>
      <c r="AI203" s="189"/>
      <c r="AJ203" s="189"/>
      <c r="AK203" s="189"/>
      <c r="AL203" s="189"/>
      <c r="AM203" s="189"/>
      <c r="AN203" s="189"/>
      <c r="AO203" s="189"/>
      <c r="AP203" s="189"/>
    </row>
    <row r="204" spans="1:42" s="166" customFormat="1" ht="15.9" thickTop="1" thickBot="1">
      <c r="A204" s="18">
        <f t="shared" si="6"/>
        <v>123</v>
      </c>
      <c r="B204" s="16" t="s">
        <v>629</v>
      </c>
      <c r="C204" s="13" t="s">
        <v>578</v>
      </c>
      <c r="D204" s="13"/>
      <c r="E204" s="13"/>
      <c r="F204" s="189"/>
      <c r="G204" s="189"/>
      <c r="H204" s="189"/>
      <c r="I204" s="189"/>
      <c r="J204" s="189"/>
      <c r="K204" s="189"/>
      <c r="L204" s="189"/>
      <c r="M204" s="189"/>
      <c r="N204" s="189"/>
      <c r="O204" s="189"/>
      <c r="P204" s="189"/>
      <c r="Q204" s="189"/>
      <c r="R204" s="189"/>
      <c r="S204" s="189"/>
      <c r="T204" s="189"/>
      <c r="U204" s="189"/>
      <c r="V204" s="189"/>
      <c r="W204" s="189"/>
      <c r="X204" s="189"/>
      <c r="Y204" s="189"/>
      <c r="Z204" s="189"/>
      <c r="AA204" s="189"/>
      <c r="AB204" s="189"/>
      <c r="AC204" s="189"/>
      <c r="AD204" s="189"/>
      <c r="AE204" s="189"/>
      <c r="AF204" s="189"/>
      <c r="AG204" s="189"/>
      <c r="AH204" s="189"/>
      <c r="AI204" s="189"/>
      <c r="AJ204" s="189"/>
      <c r="AK204" s="189"/>
      <c r="AL204" s="189"/>
      <c r="AM204" s="189"/>
      <c r="AN204" s="189"/>
      <c r="AO204" s="189"/>
      <c r="AP204" s="189"/>
    </row>
    <row r="205" spans="1:42" s="166" customFormat="1" ht="15.9" thickTop="1" thickBot="1">
      <c r="A205" s="18">
        <f t="shared" si="6"/>
        <v>124</v>
      </c>
      <c r="B205" s="16" t="s">
        <v>614</v>
      </c>
      <c r="C205" s="13" t="s">
        <v>514</v>
      </c>
      <c r="D205" s="13"/>
      <c r="E205" s="13"/>
      <c r="F205" s="189"/>
      <c r="G205" s="189"/>
      <c r="H205" s="189"/>
      <c r="I205" s="189"/>
      <c r="J205" s="189"/>
      <c r="K205" s="189"/>
      <c r="L205" s="189"/>
      <c r="M205" s="189"/>
      <c r="N205" s="189"/>
      <c r="O205" s="189"/>
      <c r="P205" s="189"/>
      <c r="Q205" s="189"/>
      <c r="R205" s="189"/>
      <c r="S205" s="189"/>
      <c r="T205" s="189"/>
      <c r="U205" s="189"/>
      <c r="V205" s="189"/>
      <c r="W205" s="189"/>
      <c r="X205" s="189"/>
      <c r="Y205" s="189"/>
      <c r="Z205" s="189"/>
      <c r="AA205" s="189"/>
      <c r="AB205" s="189"/>
      <c r="AC205" s="189"/>
      <c r="AD205" s="189"/>
      <c r="AE205" s="189"/>
      <c r="AF205" s="189"/>
      <c r="AG205" s="189"/>
      <c r="AH205" s="189"/>
      <c r="AI205" s="189"/>
      <c r="AJ205" s="189"/>
      <c r="AK205" s="189"/>
      <c r="AL205" s="189"/>
      <c r="AM205" s="189"/>
      <c r="AN205" s="189"/>
      <c r="AO205" s="189"/>
      <c r="AP205" s="189"/>
    </row>
    <row r="206" spans="1:42" s="14" customFormat="1" ht="15.9" thickTop="1" thickBot="1">
      <c r="A206" s="18">
        <f t="shared" si="6"/>
        <v>125</v>
      </c>
      <c r="B206" s="16" t="s">
        <v>630</v>
      </c>
      <c r="C206" s="13" t="s">
        <v>579</v>
      </c>
      <c r="D206" s="13"/>
      <c r="E206" s="13"/>
      <c r="F206" s="189"/>
      <c r="G206" s="189"/>
      <c r="H206" s="189"/>
      <c r="I206" s="189"/>
      <c r="J206" s="189"/>
      <c r="K206" s="189"/>
      <c r="L206" s="189"/>
      <c r="M206" s="189"/>
      <c r="N206" s="189"/>
      <c r="O206" s="189"/>
      <c r="P206" s="189"/>
      <c r="Q206" s="189"/>
      <c r="R206" s="189"/>
      <c r="S206" s="189"/>
      <c r="T206" s="189"/>
      <c r="U206" s="189"/>
      <c r="V206" s="189"/>
      <c r="W206" s="189"/>
      <c r="X206" s="189"/>
      <c r="Y206" s="189"/>
      <c r="Z206" s="189"/>
      <c r="AA206" s="189"/>
      <c r="AB206" s="189"/>
      <c r="AC206" s="189"/>
      <c r="AD206" s="189"/>
      <c r="AE206" s="189"/>
      <c r="AF206" s="189"/>
      <c r="AG206" s="189"/>
      <c r="AH206" s="189"/>
      <c r="AI206" s="189"/>
      <c r="AJ206" s="189"/>
      <c r="AK206" s="189"/>
      <c r="AL206" s="189"/>
      <c r="AM206" s="189"/>
      <c r="AN206" s="189"/>
      <c r="AO206" s="189"/>
      <c r="AP206" s="189"/>
    </row>
    <row r="207" spans="1:42" s="166" customFormat="1" ht="15.9" thickTop="1" thickBot="1">
      <c r="A207" s="18">
        <f t="shared" si="6"/>
        <v>126</v>
      </c>
      <c r="B207" s="16" t="s">
        <v>631</v>
      </c>
      <c r="C207" s="13" t="s">
        <v>110</v>
      </c>
      <c r="D207" s="13"/>
      <c r="E207" s="13"/>
      <c r="F207" s="189"/>
      <c r="G207" s="189"/>
      <c r="H207" s="189"/>
      <c r="I207" s="189"/>
      <c r="J207" s="189"/>
      <c r="K207" s="189"/>
      <c r="L207" s="189"/>
      <c r="M207" s="189"/>
      <c r="N207" s="189"/>
      <c r="O207" s="189"/>
      <c r="P207" s="189"/>
      <c r="Q207" s="189"/>
      <c r="R207" s="189"/>
      <c r="S207" s="189"/>
      <c r="T207" s="189"/>
      <c r="U207" s="189"/>
      <c r="V207" s="189"/>
      <c r="W207" s="189"/>
      <c r="X207" s="189"/>
      <c r="Y207" s="189"/>
      <c r="Z207" s="189"/>
      <c r="AA207" s="189"/>
      <c r="AB207" s="189"/>
      <c r="AC207" s="189"/>
      <c r="AD207" s="189"/>
      <c r="AE207" s="189"/>
      <c r="AF207" s="189"/>
      <c r="AG207" s="189"/>
      <c r="AH207" s="189"/>
      <c r="AI207" s="189"/>
      <c r="AJ207" s="189"/>
      <c r="AK207" s="189"/>
      <c r="AL207" s="189"/>
      <c r="AM207" s="189"/>
      <c r="AN207" s="189"/>
      <c r="AO207" s="189"/>
      <c r="AP207" s="189"/>
    </row>
    <row r="208" spans="1:42" s="14" customFormat="1" ht="15.9" thickTop="1" thickBot="1">
      <c r="A208" s="18">
        <f t="shared" si="6"/>
        <v>127</v>
      </c>
      <c r="B208" s="16" t="s">
        <v>632</v>
      </c>
      <c r="C208" s="13" t="s">
        <v>87</v>
      </c>
      <c r="D208" s="13"/>
      <c r="E208" s="13"/>
      <c r="F208" s="189"/>
      <c r="G208" s="189"/>
      <c r="H208" s="189"/>
      <c r="I208" s="189"/>
      <c r="J208" s="189"/>
      <c r="K208" s="189"/>
      <c r="L208" s="189"/>
      <c r="M208" s="189"/>
      <c r="N208" s="189"/>
      <c r="O208" s="189"/>
      <c r="P208" s="189"/>
      <c r="Q208" s="189"/>
      <c r="R208" s="189"/>
      <c r="S208" s="189"/>
      <c r="T208" s="189"/>
      <c r="U208" s="189"/>
      <c r="V208" s="189"/>
      <c r="W208" s="189"/>
      <c r="X208" s="189"/>
      <c r="Y208" s="189"/>
      <c r="Z208" s="189"/>
      <c r="AA208" s="189"/>
      <c r="AB208" s="189"/>
      <c r="AC208" s="189"/>
      <c r="AD208" s="189"/>
      <c r="AE208" s="189"/>
      <c r="AF208" s="189"/>
      <c r="AG208" s="189"/>
      <c r="AH208" s="189"/>
      <c r="AI208" s="189"/>
      <c r="AJ208" s="189"/>
      <c r="AK208" s="189"/>
      <c r="AL208" s="189"/>
      <c r="AM208" s="189"/>
      <c r="AN208" s="189"/>
      <c r="AO208" s="189"/>
      <c r="AP208" s="189"/>
    </row>
    <row r="209" spans="1:43" s="14" customFormat="1" ht="15.9" thickTop="1" thickBot="1">
      <c r="A209" s="18">
        <f t="shared" si="6"/>
        <v>128</v>
      </c>
      <c r="B209" s="16" t="s">
        <v>633</v>
      </c>
      <c r="C209" s="13" t="s">
        <v>653</v>
      </c>
      <c r="D209" s="13"/>
      <c r="E209" s="13"/>
      <c r="F209" s="189"/>
      <c r="G209" s="189"/>
      <c r="H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row>
    <row r="210" spans="1:43" s="14" customFormat="1" ht="15.9" thickTop="1" thickBot="1">
      <c r="A210" s="18">
        <f t="shared" si="6"/>
        <v>129</v>
      </c>
      <c r="B210" s="16" t="s">
        <v>634</v>
      </c>
      <c r="C210" s="13" t="s">
        <v>515</v>
      </c>
      <c r="D210" s="13"/>
      <c r="E210" s="13"/>
      <c r="F210" s="189"/>
      <c r="G210" s="189"/>
      <c r="H210" s="189"/>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row>
    <row r="211" spans="1:43" s="14" customFormat="1" ht="15.9" thickTop="1" thickBot="1">
      <c r="A211" s="18">
        <f t="shared" ref="A211:A217" si="7">A210+1</f>
        <v>130</v>
      </c>
      <c r="B211" s="16" t="s">
        <v>635</v>
      </c>
      <c r="C211" s="13" t="s">
        <v>111</v>
      </c>
      <c r="D211" s="13"/>
      <c r="E211" s="13"/>
      <c r="F211" s="189"/>
      <c r="G211" s="189"/>
      <c r="H211" s="189"/>
      <c r="I211" s="189"/>
      <c r="J211" s="189"/>
      <c r="K211" s="189"/>
      <c r="L211" s="189"/>
      <c r="M211" s="189"/>
      <c r="N211" s="189"/>
      <c r="O211" s="189"/>
      <c r="P211" s="189"/>
      <c r="Q211" s="189"/>
      <c r="R211" s="189"/>
      <c r="S211" s="189"/>
      <c r="T211" s="189"/>
      <c r="U211" s="189"/>
      <c r="V211" s="189"/>
      <c r="W211" s="189"/>
      <c r="X211" s="189"/>
      <c r="Y211" s="189"/>
      <c r="Z211" s="189"/>
      <c r="AA211" s="189"/>
      <c r="AB211" s="189"/>
      <c r="AC211" s="189"/>
      <c r="AD211" s="189"/>
      <c r="AE211" s="189"/>
      <c r="AF211" s="189"/>
      <c r="AG211" s="189"/>
      <c r="AH211" s="189"/>
      <c r="AI211" s="189"/>
      <c r="AJ211" s="189"/>
      <c r="AK211" s="189"/>
      <c r="AL211" s="189"/>
      <c r="AM211" s="189"/>
      <c r="AN211" s="189"/>
      <c r="AO211" s="189"/>
      <c r="AP211" s="189"/>
    </row>
    <row r="212" spans="1:43" s="14" customFormat="1" ht="15.9" thickTop="1" thickBot="1">
      <c r="A212" s="18">
        <f t="shared" si="7"/>
        <v>131</v>
      </c>
      <c r="B212" s="16" t="s">
        <v>518</v>
      </c>
      <c r="C212" s="613" t="s">
        <v>519</v>
      </c>
      <c r="D212" s="13"/>
      <c r="E212" s="13"/>
      <c r="F212" s="189"/>
      <c r="G212" s="189"/>
      <c r="H212" s="189"/>
      <c r="I212" s="189"/>
      <c r="J212" s="189"/>
      <c r="K212" s="189"/>
      <c r="L212" s="189"/>
      <c r="M212" s="189"/>
      <c r="N212" s="189"/>
      <c r="O212" s="189"/>
      <c r="P212" s="189"/>
      <c r="Q212" s="189"/>
      <c r="R212" s="189"/>
      <c r="S212" s="189"/>
      <c r="T212" s="189"/>
      <c r="U212" s="189"/>
      <c r="V212" s="189"/>
      <c r="W212" s="189"/>
      <c r="X212" s="189"/>
      <c r="Y212" s="189"/>
      <c r="Z212" s="189"/>
      <c r="AA212" s="189"/>
      <c r="AB212" s="189"/>
      <c r="AC212" s="189"/>
      <c r="AD212" s="189"/>
      <c r="AE212" s="189"/>
      <c r="AF212" s="189"/>
      <c r="AG212" s="189"/>
      <c r="AH212" s="189"/>
      <c r="AI212" s="189"/>
      <c r="AJ212" s="189"/>
      <c r="AK212" s="189"/>
      <c r="AL212" s="189"/>
      <c r="AM212" s="189"/>
      <c r="AN212" s="189"/>
      <c r="AO212" s="189"/>
      <c r="AP212" s="189"/>
    </row>
    <row r="213" spans="1:43" s="14" customFormat="1" ht="15.9" thickTop="1" thickBot="1">
      <c r="A213" s="18">
        <f t="shared" si="7"/>
        <v>132</v>
      </c>
      <c r="B213" s="16" t="s">
        <v>615</v>
      </c>
      <c r="C213" s="13" t="s">
        <v>417</v>
      </c>
      <c r="D213" s="13"/>
      <c r="E213" s="13"/>
      <c r="F213" s="189"/>
      <c r="G213" s="189"/>
      <c r="H213" s="189"/>
      <c r="I213" s="189"/>
      <c r="J213" s="189"/>
      <c r="K213" s="189"/>
      <c r="L213" s="189"/>
      <c r="M213" s="189"/>
      <c r="N213" s="189"/>
      <c r="O213" s="189"/>
      <c r="P213" s="189"/>
      <c r="Q213" s="189"/>
      <c r="R213" s="189"/>
      <c r="S213" s="189"/>
      <c r="T213" s="189"/>
      <c r="U213" s="189"/>
      <c r="V213" s="189"/>
      <c r="W213" s="189"/>
      <c r="X213" s="189"/>
      <c r="Y213" s="189"/>
      <c r="Z213" s="189"/>
      <c r="AA213" s="189"/>
      <c r="AB213" s="189"/>
      <c r="AC213" s="189"/>
      <c r="AD213" s="189"/>
      <c r="AE213" s="189"/>
      <c r="AF213" s="189"/>
      <c r="AG213" s="189"/>
      <c r="AH213" s="189"/>
      <c r="AI213" s="189"/>
      <c r="AJ213" s="189"/>
      <c r="AK213" s="189"/>
      <c r="AL213" s="189"/>
      <c r="AM213" s="189"/>
      <c r="AN213" s="189"/>
      <c r="AO213" s="189"/>
      <c r="AP213" s="189"/>
    </row>
    <row r="214" spans="1:43" s="14" customFormat="1" ht="15.9" thickTop="1" thickBot="1">
      <c r="A214" s="18">
        <f t="shared" si="7"/>
        <v>133</v>
      </c>
      <c r="B214" s="16" t="s">
        <v>127</v>
      </c>
      <c r="C214" s="13" t="s">
        <v>144</v>
      </c>
      <c r="D214" s="13"/>
      <c r="E214" s="13"/>
      <c r="F214" s="189"/>
      <c r="G214" s="189"/>
      <c r="H214" s="189"/>
      <c r="I214" s="189"/>
      <c r="J214" s="189"/>
      <c r="K214" s="189"/>
      <c r="L214" s="189"/>
      <c r="M214" s="189"/>
      <c r="N214" s="189"/>
      <c r="O214" s="189"/>
      <c r="P214" s="189"/>
      <c r="Q214" s="189"/>
      <c r="R214" s="189"/>
      <c r="S214" s="189"/>
      <c r="T214" s="189"/>
      <c r="U214" s="189"/>
      <c r="V214" s="189"/>
      <c r="W214" s="189"/>
      <c r="X214" s="189"/>
      <c r="Y214" s="189"/>
      <c r="Z214" s="189"/>
      <c r="AA214" s="189"/>
      <c r="AB214" s="189"/>
      <c r="AC214" s="189"/>
      <c r="AD214" s="189"/>
      <c r="AE214" s="189"/>
      <c r="AF214" s="189"/>
      <c r="AG214" s="189"/>
      <c r="AH214" s="189"/>
      <c r="AI214" s="189"/>
      <c r="AJ214" s="189"/>
      <c r="AK214" s="189"/>
      <c r="AL214" s="189"/>
      <c r="AM214" s="189"/>
      <c r="AN214" s="189"/>
      <c r="AO214" s="189"/>
      <c r="AP214" s="189"/>
    </row>
    <row r="215" spans="1:43" s="14" customFormat="1" ht="15.9" thickTop="1" thickBot="1">
      <c r="A215" s="18">
        <f t="shared" si="7"/>
        <v>134</v>
      </c>
      <c r="B215" s="16" t="s">
        <v>636</v>
      </c>
      <c r="C215" s="13" t="s">
        <v>112</v>
      </c>
      <c r="D215" s="13"/>
      <c r="E215" s="13"/>
      <c r="F215" s="189"/>
      <c r="G215" s="189"/>
      <c r="H215" s="189"/>
      <c r="I215" s="189"/>
      <c r="J215" s="189"/>
      <c r="K215" s="189"/>
      <c r="L215" s="189"/>
      <c r="M215" s="189"/>
      <c r="N215" s="189"/>
      <c r="O215" s="189"/>
      <c r="P215" s="189"/>
      <c r="Q215" s="189"/>
      <c r="R215" s="189"/>
      <c r="S215" s="189"/>
      <c r="T215" s="189"/>
      <c r="U215" s="189"/>
      <c r="V215" s="189"/>
      <c r="W215" s="189"/>
      <c r="X215" s="189"/>
      <c r="Y215" s="189"/>
      <c r="Z215" s="189"/>
      <c r="AA215" s="189"/>
      <c r="AB215" s="189"/>
      <c r="AC215" s="189"/>
      <c r="AD215" s="189"/>
      <c r="AE215" s="189"/>
      <c r="AF215" s="189"/>
      <c r="AG215" s="189"/>
      <c r="AH215" s="189"/>
      <c r="AI215" s="189"/>
      <c r="AJ215" s="189"/>
      <c r="AK215" s="189"/>
      <c r="AL215" s="189"/>
      <c r="AM215" s="189"/>
      <c r="AN215" s="189"/>
      <c r="AO215" s="189"/>
      <c r="AP215" s="189"/>
    </row>
    <row r="216" spans="1:43" s="14" customFormat="1" ht="15.9" thickTop="1" thickBot="1">
      <c r="A216" s="18">
        <f t="shared" si="7"/>
        <v>135</v>
      </c>
      <c r="B216" s="16" t="s">
        <v>521</v>
      </c>
      <c r="C216" s="13" t="s">
        <v>520</v>
      </c>
      <c r="D216" s="13"/>
      <c r="E216" s="13"/>
      <c r="F216" s="189"/>
      <c r="G216" s="189"/>
      <c r="H216" s="189"/>
      <c r="I216" s="189"/>
      <c r="J216" s="189"/>
      <c r="K216" s="189"/>
      <c r="L216" s="189"/>
      <c r="M216" s="189"/>
      <c r="N216" s="189"/>
      <c r="O216" s="189"/>
      <c r="P216" s="189"/>
      <c r="Q216" s="189"/>
      <c r="R216" s="189"/>
      <c r="S216" s="189"/>
      <c r="T216" s="189"/>
      <c r="U216" s="189"/>
      <c r="V216" s="189"/>
      <c r="W216" s="189"/>
      <c r="X216" s="189"/>
      <c r="Y216" s="189"/>
      <c r="Z216" s="189"/>
      <c r="AA216" s="189"/>
      <c r="AB216" s="189"/>
      <c r="AC216" s="189"/>
      <c r="AD216" s="189"/>
      <c r="AE216" s="189"/>
      <c r="AF216" s="189"/>
      <c r="AG216" s="189"/>
      <c r="AH216" s="189"/>
      <c r="AI216" s="189"/>
      <c r="AJ216" s="189"/>
      <c r="AK216" s="189"/>
      <c r="AL216" s="189"/>
      <c r="AM216" s="189"/>
      <c r="AN216" s="189"/>
      <c r="AO216" s="189"/>
      <c r="AP216" s="189"/>
    </row>
    <row r="217" spans="1:43" s="14" customFormat="1" ht="15.9" thickTop="1" thickBot="1">
      <c r="A217" s="18">
        <f t="shared" si="7"/>
        <v>136</v>
      </c>
      <c r="B217" s="16" t="s">
        <v>151</v>
      </c>
      <c r="C217" s="13" t="s">
        <v>113</v>
      </c>
      <c r="D217" s="13"/>
      <c r="E217" s="13"/>
      <c r="F217" s="189"/>
      <c r="G217" s="189"/>
      <c r="H217" s="189"/>
      <c r="I217" s="189"/>
      <c r="J217" s="189"/>
      <c r="K217" s="189"/>
      <c r="L217" s="189"/>
      <c r="M217" s="189"/>
      <c r="N217" s="189"/>
      <c r="O217" s="189"/>
      <c r="P217" s="189"/>
      <c r="Q217" s="189"/>
      <c r="R217" s="189"/>
      <c r="S217" s="189"/>
      <c r="T217" s="189"/>
      <c r="U217" s="189"/>
      <c r="V217" s="189"/>
      <c r="W217" s="189"/>
      <c r="X217" s="189"/>
      <c r="Y217" s="189"/>
      <c r="Z217" s="189"/>
      <c r="AA217" s="189"/>
      <c r="AB217" s="189"/>
      <c r="AC217" s="189"/>
      <c r="AD217" s="189"/>
      <c r="AE217" s="189"/>
      <c r="AF217" s="189"/>
      <c r="AG217" s="189"/>
      <c r="AH217" s="189"/>
      <c r="AI217" s="189"/>
      <c r="AJ217" s="189"/>
      <c r="AK217" s="189"/>
      <c r="AL217" s="189"/>
      <c r="AM217" s="189"/>
      <c r="AN217" s="189"/>
      <c r="AO217" s="189"/>
      <c r="AP217" s="189"/>
    </row>
    <row r="218" spans="1:43" s="14" customFormat="1" ht="15.9" thickTop="1" thickBot="1">
      <c r="A218" s="18">
        <v>137</v>
      </c>
      <c r="B218" s="163" t="s">
        <v>152</v>
      </c>
      <c r="C218" s="13" t="s">
        <v>431</v>
      </c>
      <c r="D218" s="13"/>
      <c r="E218" s="13"/>
      <c r="F218" s="189"/>
      <c r="G218" s="189"/>
      <c r="H218" s="189"/>
      <c r="I218" s="189"/>
      <c r="J218" s="189"/>
      <c r="K218" s="189"/>
      <c r="L218" s="189"/>
      <c r="M218" s="189"/>
      <c r="N218" s="189"/>
      <c r="O218" s="189"/>
      <c r="P218" s="189"/>
      <c r="Q218" s="189"/>
      <c r="R218" s="189"/>
      <c r="S218" s="189"/>
      <c r="T218" s="189"/>
      <c r="U218" s="189"/>
      <c r="V218" s="189"/>
      <c r="W218" s="189"/>
      <c r="X218" s="189"/>
      <c r="Y218" s="189"/>
      <c r="Z218" s="189"/>
      <c r="AA218" s="189"/>
      <c r="AB218" s="189"/>
      <c r="AC218" s="189"/>
      <c r="AD218" s="189"/>
      <c r="AE218" s="189"/>
      <c r="AF218" s="189"/>
      <c r="AG218" s="189"/>
      <c r="AH218" s="189"/>
      <c r="AI218" s="189"/>
      <c r="AJ218" s="189"/>
      <c r="AK218" s="189"/>
      <c r="AL218" s="189"/>
      <c r="AM218" s="189"/>
      <c r="AN218" s="189"/>
      <c r="AO218" s="189"/>
      <c r="AP218" s="189"/>
      <c r="AQ218" s="164"/>
    </row>
    <row r="219" spans="1:43" s="166" customFormat="1" ht="15.9" thickTop="1" thickBot="1">
      <c r="A219" s="18">
        <v>138</v>
      </c>
      <c r="B219" s="163" t="s">
        <v>492</v>
      </c>
      <c r="C219" s="13" t="s">
        <v>491</v>
      </c>
      <c r="D219" s="13"/>
      <c r="E219" s="13"/>
      <c r="F219" s="189"/>
      <c r="G219" s="189"/>
      <c r="H219" s="189"/>
      <c r="I219" s="189"/>
      <c r="J219" s="189"/>
      <c r="K219" s="189"/>
      <c r="L219" s="189"/>
      <c r="M219" s="189"/>
      <c r="N219" s="189"/>
      <c r="O219" s="189"/>
      <c r="P219" s="189"/>
      <c r="Q219" s="189"/>
      <c r="R219" s="189"/>
      <c r="S219" s="189"/>
      <c r="T219" s="189"/>
      <c r="U219" s="189"/>
      <c r="V219" s="189"/>
      <c r="W219" s="189"/>
      <c r="X219" s="189"/>
      <c r="Y219" s="189"/>
      <c r="Z219" s="189"/>
      <c r="AA219" s="189"/>
      <c r="AB219" s="189"/>
      <c r="AC219" s="189"/>
      <c r="AD219" s="189"/>
      <c r="AE219" s="189"/>
      <c r="AF219" s="189"/>
      <c r="AG219" s="189"/>
      <c r="AH219" s="189"/>
      <c r="AI219" s="189"/>
      <c r="AJ219" s="189"/>
      <c r="AK219" s="189"/>
      <c r="AL219" s="189"/>
      <c r="AM219" s="189"/>
      <c r="AN219" s="189"/>
      <c r="AO219" s="189"/>
      <c r="AP219" s="189"/>
      <c r="AQ219" s="384"/>
    </row>
    <row r="220" spans="1:43" s="167" customFormat="1" ht="15.9" thickTop="1" thickBot="1">
      <c r="A220" s="18">
        <v>139</v>
      </c>
      <c r="B220" s="163" t="s">
        <v>808</v>
      </c>
      <c r="C220" s="13" t="s">
        <v>806</v>
      </c>
      <c r="D220" s="13"/>
      <c r="E220" s="13"/>
      <c r="F220" s="189"/>
      <c r="G220" s="189"/>
      <c r="H220" s="189"/>
      <c r="I220" s="189"/>
      <c r="J220" s="189"/>
      <c r="K220" s="189"/>
      <c r="L220" s="189"/>
      <c r="M220" s="189"/>
      <c r="N220" s="189"/>
      <c r="O220" s="189"/>
      <c r="P220" s="189"/>
      <c r="Q220" s="189"/>
      <c r="R220" s="189"/>
      <c r="S220" s="189"/>
      <c r="T220" s="189"/>
      <c r="U220" s="189"/>
      <c r="V220" s="189"/>
      <c r="W220" s="189"/>
      <c r="X220" s="189"/>
      <c r="Y220" s="189"/>
      <c r="Z220" s="189"/>
      <c r="AA220" s="189"/>
      <c r="AB220" s="189"/>
      <c r="AC220" s="189"/>
      <c r="AD220" s="189"/>
      <c r="AE220" s="189"/>
      <c r="AF220" s="189"/>
      <c r="AG220" s="189"/>
      <c r="AH220" s="189"/>
      <c r="AI220" s="189"/>
      <c r="AJ220" s="189"/>
      <c r="AK220" s="189"/>
      <c r="AL220" s="189"/>
      <c r="AM220" s="189"/>
      <c r="AN220" s="189"/>
      <c r="AO220" s="189"/>
      <c r="AP220" s="189"/>
      <c r="AQ220" s="392"/>
    </row>
    <row r="221" spans="1:43" s="167" customFormat="1" ht="15.9" thickTop="1" thickBot="1">
      <c r="A221" s="18">
        <v>140</v>
      </c>
      <c r="B221" s="163" t="s">
        <v>841</v>
      </c>
      <c r="C221" s="13" t="s">
        <v>809</v>
      </c>
      <c r="D221" s="13"/>
      <c r="E221" s="13"/>
      <c r="F221" s="189"/>
      <c r="G221" s="189"/>
      <c r="H221" s="189"/>
      <c r="I221" s="189"/>
      <c r="J221" s="189"/>
      <c r="K221" s="189"/>
      <c r="L221" s="189"/>
      <c r="M221" s="189"/>
      <c r="N221" s="189"/>
      <c r="O221" s="189"/>
      <c r="P221" s="189"/>
      <c r="Q221" s="189"/>
      <c r="R221" s="189"/>
      <c r="S221" s="189"/>
      <c r="T221" s="189"/>
      <c r="U221" s="189"/>
      <c r="V221" s="189"/>
      <c r="W221" s="189"/>
      <c r="X221" s="189"/>
      <c r="Y221" s="189"/>
      <c r="Z221" s="189"/>
      <c r="AA221" s="189"/>
      <c r="AB221" s="189"/>
      <c r="AC221" s="189"/>
      <c r="AD221" s="189"/>
      <c r="AE221" s="189"/>
      <c r="AF221" s="189"/>
      <c r="AG221" s="189"/>
      <c r="AH221" s="189"/>
      <c r="AI221" s="189"/>
      <c r="AJ221" s="189"/>
      <c r="AK221" s="189"/>
      <c r="AL221" s="189"/>
      <c r="AM221" s="189"/>
      <c r="AN221" s="189"/>
      <c r="AO221" s="189"/>
      <c r="AP221" s="189"/>
      <c r="AQ221" s="175"/>
    </row>
    <row r="222" spans="1:43" s="167" customFormat="1" ht="15.9" thickTop="1" thickBot="1">
      <c r="A222" s="18">
        <v>141</v>
      </c>
      <c r="B222" s="163" t="s">
        <v>811</v>
      </c>
      <c r="C222" s="13" t="s">
        <v>810</v>
      </c>
      <c r="D222" s="13"/>
      <c r="E222" s="13"/>
      <c r="F222" s="189"/>
      <c r="G222" s="189"/>
      <c r="H222" s="189"/>
      <c r="I222" s="189"/>
      <c r="J222" s="189"/>
      <c r="K222" s="189"/>
      <c r="L222" s="189"/>
      <c r="M222" s="189"/>
      <c r="N222" s="189"/>
      <c r="O222" s="189"/>
      <c r="P222" s="189"/>
      <c r="Q222" s="189"/>
      <c r="R222" s="189"/>
      <c r="S222" s="189"/>
      <c r="T222" s="189"/>
      <c r="U222" s="189"/>
      <c r="V222" s="189"/>
      <c r="W222" s="189"/>
      <c r="X222" s="189"/>
      <c r="Y222" s="189"/>
      <c r="Z222" s="189"/>
      <c r="AA222" s="189"/>
      <c r="AB222" s="189"/>
      <c r="AC222" s="189"/>
      <c r="AD222" s="189"/>
      <c r="AE222" s="189"/>
      <c r="AF222" s="189"/>
      <c r="AG222" s="189"/>
      <c r="AH222" s="189"/>
      <c r="AI222" s="189"/>
      <c r="AJ222" s="189"/>
      <c r="AK222" s="189"/>
      <c r="AL222" s="189"/>
      <c r="AM222" s="189"/>
      <c r="AN222" s="189"/>
      <c r="AO222" s="189"/>
      <c r="AP222" s="189"/>
      <c r="AQ222" s="175"/>
    </row>
    <row r="223" spans="1:43" s="167" customFormat="1" ht="15.9" thickTop="1" thickBot="1">
      <c r="A223" s="18">
        <v>142</v>
      </c>
      <c r="B223" s="163" t="s">
        <v>812</v>
      </c>
      <c r="C223" s="13" t="s">
        <v>807</v>
      </c>
      <c r="D223" s="13"/>
      <c r="E223" s="13"/>
      <c r="F223" s="13"/>
      <c r="G223" s="13"/>
      <c r="H223" s="189"/>
      <c r="I223" s="189"/>
      <c r="J223" s="189"/>
      <c r="K223" s="189"/>
      <c r="L223" s="189"/>
      <c r="M223" s="189"/>
      <c r="N223" s="189"/>
      <c r="O223" s="189"/>
      <c r="P223" s="189"/>
      <c r="Q223" s="189"/>
      <c r="R223" s="189"/>
      <c r="S223" s="189"/>
      <c r="T223" s="189"/>
      <c r="U223" s="189"/>
      <c r="V223" s="189"/>
      <c r="W223" s="189"/>
      <c r="X223" s="189"/>
      <c r="Y223" s="189"/>
      <c r="Z223" s="189"/>
      <c r="AA223" s="189"/>
      <c r="AB223" s="189"/>
      <c r="AC223" s="189"/>
      <c r="AD223" s="189"/>
      <c r="AE223" s="189"/>
      <c r="AF223" s="189"/>
      <c r="AG223" s="189"/>
      <c r="AH223" s="189"/>
      <c r="AI223" s="189"/>
      <c r="AJ223" s="189"/>
      <c r="AK223" s="189"/>
      <c r="AL223" s="189"/>
      <c r="AM223" s="189"/>
      <c r="AN223" s="189"/>
      <c r="AO223" s="189"/>
      <c r="AP223" s="189"/>
      <c r="AQ223" s="175"/>
    </row>
    <row r="224" spans="1:43" s="167" customFormat="1" ht="15.45" thickTop="1">
      <c r="A224" s="176">
        <v>143</v>
      </c>
      <c r="B224" s="163" t="s">
        <v>814</v>
      </c>
      <c r="C224" s="13" t="s">
        <v>821</v>
      </c>
      <c r="D224" s="13"/>
      <c r="E224" s="13"/>
      <c r="F224" s="13"/>
      <c r="G224" s="13"/>
      <c r="H224" s="13"/>
      <c r="I224" s="13"/>
      <c r="J224" s="13"/>
      <c r="K224" s="13"/>
      <c r="L224" s="13"/>
      <c r="M224" s="13"/>
      <c r="N224" s="13"/>
      <c r="O224" s="13"/>
      <c r="P224" s="13"/>
      <c r="Q224" s="13"/>
      <c r="R224" s="189"/>
      <c r="S224" s="189"/>
      <c r="T224" s="189"/>
      <c r="U224" s="189"/>
      <c r="V224" s="189"/>
      <c r="W224" s="189"/>
      <c r="X224" s="189"/>
      <c r="Y224" s="189"/>
      <c r="Z224" s="189"/>
      <c r="AA224" s="189"/>
      <c r="AB224" s="189"/>
      <c r="AC224" s="189"/>
      <c r="AD224" s="189"/>
      <c r="AE224" s="189"/>
      <c r="AF224" s="189"/>
      <c r="AG224" s="189"/>
      <c r="AH224" s="189"/>
      <c r="AI224" s="189"/>
      <c r="AJ224" s="189"/>
      <c r="AK224" s="189"/>
      <c r="AL224" s="189"/>
      <c r="AM224" s="189"/>
      <c r="AN224" s="189"/>
      <c r="AO224" s="189"/>
      <c r="AP224" s="189"/>
      <c r="AQ224" s="392"/>
    </row>
    <row r="225" spans="1:43" s="167" customFormat="1" ht="15">
      <c r="A225" s="176">
        <v>144</v>
      </c>
      <c r="B225" s="163" t="s">
        <v>830</v>
      </c>
      <c r="C225" s="13" t="s">
        <v>828</v>
      </c>
      <c r="D225" s="13"/>
      <c r="E225" s="13"/>
      <c r="F225" s="13"/>
      <c r="G225" s="13"/>
      <c r="H225" s="13"/>
      <c r="I225" s="13"/>
      <c r="J225" s="13"/>
      <c r="K225" s="13"/>
      <c r="L225" s="13"/>
      <c r="M225" s="13"/>
      <c r="N225" s="13"/>
      <c r="O225" s="13"/>
      <c r="P225" s="13"/>
      <c r="Q225" s="13"/>
      <c r="R225" s="189"/>
      <c r="S225" s="189"/>
      <c r="T225" s="189"/>
      <c r="U225" s="189"/>
      <c r="V225" s="189"/>
      <c r="W225" s="189"/>
      <c r="X225" s="189"/>
      <c r="Y225" s="189"/>
      <c r="Z225" s="189"/>
      <c r="AA225" s="189"/>
      <c r="AB225" s="189"/>
      <c r="AC225" s="189"/>
      <c r="AD225" s="189"/>
      <c r="AE225" s="189"/>
      <c r="AF225" s="189"/>
      <c r="AG225" s="189"/>
      <c r="AH225" s="189"/>
      <c r="AI225" s="189"/>
      <c r="AJ225" s="189"/>
      <c r="AK225" s="189"/>
      <c r="AL225" s="189"/>
      <c r="AM225" s="189"/>
      <c r="AN225" s="189"/>
      <c r="AO225" s="189"/>
      <c r="AP225" s="189"/>
      <c r="AQ225" s="175"/>
    </row>
    <row r="226" spans="1:43" s="167" customFormat="1" ht="15">
      <c r="A226" s="176">
        <v>145</v>
      </c>
      <c r="B226" s="163" t="s">
        <v>831</v>
      </c>
      <c r="C226" s="13" t="s">
        <v>829</v>
      </c>
      <c r="D226" s="13"/>
      <c r="E226" s="13"/>
      <c r="F226" s="13"/>
      <c r="G226" s="13"/>
      <c r="H226" s="13"/>
      <c r="I226" s="13"/>
      <c r="J226" s="13"/>
      <c r="K226" s="13"/>
      <c r="L226" s="13"/>
      <c r="M226" s="13"/>
      <c r="N226" s="13"/>
      <c r="O226" s="13"/>
      <c r="P226" s="13"/>
      <c r="Q226" s="13"/>
      <c r="R226" s="189"/>
      <c r="S226" s="189"/>
      <c r="T226" s="189"/>
      <c r="U226" s="189"/>
      <c r="V226" s="189"/>
      <c r="W226" s="189"/>
      <c r="X226" s="189"/>
      <c r="Y226" s="189"/>
      <c r="Z226" s="189"/>
      <c r="AA226" s="189"/>
      <c r="AB226" s="189"/>
      <c r="AC226" s="189"/>
      <c r="AD226" s="189"/>
      <c r="AE226" s="189"/>
      <c r="AF226" s="189"/>
      <c r="AG226" s="189"/>
      <c r="AH226" s="189"/>
      <c r="AI226" s="189"/>
      <c r="AJ226" s="189"/>
      <c r="AK226" s="189"/>
      <c r="AL226" s="189"/>
      <c r="AM226" s="189"/>
      <c r="AN226" s="189"/>
      <c r="AO226" s="189"/>
      <c r="AP226" s="189"/>
      <c r="AQ226" s="175"/>
    </row>
    <row r="227" spans="1:43" s="167" customFormat="1" ht="15">
      <c r="A227" s="176">
        <v>146</v>
      </c>
      <c r="B227" s="163" t="s">
        <v>864</v>
      </c>
      <c r="C227" s="405" t="s">
        <v>858</v>
      </c>
      <c r="D227" s="13"/>
      <c r="E227" s="13"/>
      <c r="F227" s="13"/>
      <c r="G227" s="13"/>
      <c r="H227" s="13"/>
      <c r="I227" s="13"/>
      <c r="J227" s="13"/>
      <c r="K227" s="13"/>
      <c r="L227" s="13"/>
      <c r="M227" s="13"/>
      <c r="N227" s="13"/>
      <c r="O227" s="13"/>
      <c r="P227" s="13"/>
      <c r="Q227" s="13"/>
      <c r="R227" s="189"/>
      <c r="S227" s="189"/>
      <c r="T227" s="189"/>
      <c r="U227" s="189"/>
      <c r="V227" s="189"/>
      <c r="W227" s="189"/>
      <c r="X227" s="189"/>
      <c r="Y227" s="189"/>
      <c r="Z227" s="189"/>
      <c r="AA227" s="189"/>
      <c r="AB227" s="189"/>
      <c r="AC227" s="189"/>
      <c r="AD227" s="189"/>
      <c r="AE227" s="189"/>
      <c r="AF227" s="189"/>
      <c r="AG227" s="189"/>
      <c r="AH227" s="189"/>
      <c r="AI227" s="189"/>
      <c r="AJ227" s="189"/>
      <c r="AK227" s="189"/>
      <c r="AL227" s="189"/>
      <c r="AM227" s="189"/>
      <c r="AN227" s="189"/>
      <c r="AO227" s="189"/>
      <c r="AP227" s="189"/>
      <c r="AQ227" s="175"/>
    </row>
    <row r="228" spans="1:43" s="167" customFormat="1" ht="15">
      <c r="A228" s="176">
        <v>147</v>
      </c>
      <c r="B228" s="163" t="s">
        <v>865</v>
      </c>
      <c r="C228" s="405" t="s">
        <v>859</v>
      </c>
      <c r="D228" s="13"/>
      <c r="E228" s="13"/>
      <c r="F228" s="13"/>
      <c r="G228" s="13"/>
      <c r="H228" s="13"/>
      <c r="I228" s="13"/>
      <c r="J228" s="13"/>
      <c r="K228" s="13"/>
      <c r="L228" s="13"/>
      <c r="M228" s="13"/>
      <c r="N228" s="13"/>
      <c r="O228" s="13"/>
      <c r="P228" s="13"/>
      <c r="Q228" s="13"/>
      <c r="R228" s="189"/>
      <c r="S228" s="189"/>
      <c r="T228" s="189"/>
      <c r="U228" s="189"/>
      <c r="V228" s="189"/>
      <c r="W228" s="189"/>
      <c r="X228" s="189"/>
      <c r="Y228" s="189"/>
      <c r="Z228" s="189"/>
      <c r="AA228" s="189"/>
      <c r="AB228" s="189"/>
      <c r="AC228" s="189"/>
      <c r="AD228" s="189"/>
      <c r="AE228" s="189"/>
      <c r="AF228" s="189"/>
      <c r="AG228" s="189"/>
      <c r="AH228" s="189"/>
      <c r="AI228" s="189"/>
      <c r="AJ228" s="189"/>
      <c r="AK228" s="189"/>
      <c r="AL228" s="189"/>
      <c r="AM228" s="189"/>
      <c r="AN228" s="189"/>
      <c r="AO228" s="189"/>
      <c r="AP228" s="189"/>
      <c r="AQ228" s="175"/>
    </row>
    <row r="229" spans="1:43" s="167" customFormat="1" ht="15">
      <c r="A229" s="176">
        <v>148</v>
      </c>
      <c r="B229" s="163" t="s">
        <v>866</v>
      </c>
      <c r="C229" s="405" t="s">
        <v>860</v>
      </c>
      <c r="D229" s="13"/>
      <c r="E229" s="13"/>
      <c r="F229" s="13"/>
      <c r="G229" s="13"/>
      <c r="H229" s="13"/>
      <c r="I229" s="13"/>
      <c r="J229" s="13"/>
      <c r="K229" s="13"/>
      <c r="L229" s="13"/>
      <c r="M229" s="13"/>
      <c r="N229" s="13"/>
      <c r="O229" s="13"/>
      <c r="P229" s="13"/>
      <c r="Q229" s="13"/>
      <c r="R229" s="189"/>
      <c r="S229" s="189"/>
      <c r="T229" s="189"/>
      <c r="U229" s="189"/>
      <c r="V229" s="189"/>
      <c r="W229" s="189"/>
      <c r="X229" s="189"/>
      <c r="Y229" s="189"/>
      <c r="Z229" s="189"/>
      <c r="AA229" s="189"/>
      <c r="AB229" s="189"/>
      <c r="AC229" s="189"/>
      <c r="AD229" s="189"/>
      <c r="AE229" s="189"/>
      <c r="AF229" s="189"/>
      <c r="AG229" s="189"/>
      <c r="AH229" s="189"/>
      <c r="AI229" s="189"/>
      <c r="AJ229" s="189"/>
      <c r="AK229" s="189"/>
      <c r="AL229" s="189"/>
      <c r="AM229" s="189"/>
      <c r="AN229" s="189"/>
      <c r="AO229" s="189"/>
      <c r="AP229" s="189"/>
      <c r="AQ229" s="175"/>
    </row>
    <row r="230" spans="1:43" s="167" customFormat="1" ht="13.5" customHeight="1">
      <c r="A230" s="176">
        <v>149</v>
      </c>
      <c r="B230" s="163" t="s">
        <v>867</v>
      </c>
      <c r="C230" s="405" t="s">
        <v>861</v>
      </c>
      <c r="D230" s="13"/>
      <c r="E230" s="13"/>
      <c r="F230" s="13"/>
      <c r="G230" s="13"/>
      <c r="H230" s="13"/>
      <c r="I230" s="13"/>
      <c r="J230" s="13"/>
      <c r="K230" s="13"/>
      <c r="L230" s="13"/>
      <c r="M230" s="13"/>
      <c r="N230" s="13"/>
      <c r="O230" s="13"/>
      <c r="P230" s="13"/>
      <c r="Q230" s="13"/>
      <c r="R230" s="189"/>
      <c r="S230" s="189"/>
      <c r="T230" s="189"/>
      <c r="U230" s="189"/>
      <c r="V230" s="189"/>
      <c r="W230" s="189"/>
      <c r="X230" s="189"/>
      <c r="Y230" s="189"/>
      <c r="Z230" s="189"/>
      <c r="AA230" s="189"/>
      <c r="AB230" s="189"/>
      <c r="AC230" s="189"/>
      <c r="AD230" s="189"/>
      <c r="AE230" s="189"/>
      <c r="AF230" s="189"/>
      <c r="AG230" s="189"/>
      <c r="AH230" s="189"/>
      <c r="AI230" s="189"/>
      <c r="AJ230" s="189"/>
      <c r="AK230" s="189"/>
      <c r="AL230" s="189"/>
      <c r="AM230" s="189"/>
      <c r="AN230" s="189"/>
      <c r="AO230" s="189"/>
      <c r="AP230" s="189"/>
      <c r="AQ230" s="175"/>
    </row>
    <row r="231" spans="1:43" s="167" customFormat="1" ht="15">
      <c r="A231" s="176">
        <v>150</v>
      </c>
      <c r="B231" s="163" t="s">
        <v>868</v>
      </c>
      <c r="C231" s="405" t="s">
        <v>862</v>
      </c>
      <c r="D231" s="13"/>
      <c r="E231" s="13"/>
      <c r="F231" s="13"/>
      <c r="G231" s="13"/>
      <c r="H231" s="13"/>
      <c r="I231" s="13"/>
      <c r="J231" s="13"/>
      <c r="K231" s="13"/>
      <c r="L231" s="13"/>
      <c r="M231" s="13"/>
      <c r="N231" s="13"/>
      <c r="O231" s="13"/>
      <c r="P231" s="13"/>
      <c r="Q231" s="13"/>
      <c r="R231" s="189"/>
      <c r="S231" s="189"/>
      <c r="T231" s="189"/>
      <c r="U231" s="189"/>
      <c r="V231" s="189"/>
      <c r="W231" s="189"/>
      <c r="X231" s="189"/>
      <c r="Y231" s="189"/>
      <c r="Z231" s="189"/>
      <c r="AA231" s="189"/>
      <c r="AB231" s="189"/>
      <c r="AC231" s="189"/>
      <c r="AD231" s="189"/>
      <c r="AE231" s="189"/>
      <c r="AF231" s="189"/>
      <c r="AG231" s="189"/>
      <c r="AH231" s="189"/>
      <c r="AI231" s="189"/>
      <c r="AJ231" s="189"/>
      <c r="AK231" s="189"/>
      <c r="AL231" s="189"/>
      <c r="AM231" s="189"/>
      <c r="AN231" s="189"/>
      <c r="AO231" s="189"/>
      <c r="AP231" s="189"/>
      <c r="AQ231" s="175"/>
    </row>
    <row r="232" spans="1:43" s="167" customFormat="1" ht="15">
      <c r="A232" s="176">
        <v>151</v>
      </c>
      <c r="B232" s="414" t="s">
        <v>869</v>
      </c>
      <c r="C232" s="405" t="s">
        <v>863</v>
      </c>
      <c r="D232" s="13"/>
      <c r="E232" s="13"/>
      <c r="F232" s="13"/>
      <c r="G232" s="13"/>
      <c r="H232" s="13"/>
      <c r="I232" s="13"/>
      <c r="J232" s="13"/>
      <c r="K232" s="13"/>
      <c r="L232" s="13"/>
      <c r="M232" s="13"/>
      <c r="N232" s="13"/>
      <c r="O232" s="13"/>
      <c r="P232" s="13"/>
      <c r="Q232" s="13"/>
      <c r="R232" s="189"/>
      <c r="S232" s="189"/>
      <c r="T232" s="189"/>
      <c r="U232" s="189"/>
      <c r="V232" s="189"/>
      <c r="W232" s="189"/>
      <c r="X232" s="189"/>
      <c r="Y232" s="189"/>
      <c r="Z232" s="189"/>
      <c r="AA232" s="189"/>
      <c r="AB232" s="189"/>
      <c r="AC232" s="189"/>
      <c r="AD232" s="189"/>
      <c r="AE232" s="189"/>
      <c r="AF232" s="189"/>
      <c r="AG232" s="189"/>
      <c r="AH232" s="189"/>
      <c r="AI232" s="189"/>
      <c r="AJ232" s="189"/>
      <c r="AK232" s="189"/>
      <c r="AL232" s="189"/>
      <c r="AM232" s="189"/>
      <c r="AN232" s="189"/>
      <c r="AO232" s="189"/>
      <c r="AP232" s="189"/>
      <c r="AQ232" s="175"/>
    </row>
    <row r="233" spans="1:43" s="167" customFormat="1" ht="15">
      <c r="A233" s="176">
        <v>152</v>
      </c>
      <c r="B233" s="413" t="s">
        <v>923</v>
      </c>
      <c r="C233" s="413" t="s">
        <v>927</v>
      </c>
      <c r="D233" s="13"/>
      <c r="E233" s="13"/>
      <c r="F233" s="13"/>
      <c r="G233" s="13"/>
      <c r="H233" s="13"/>
      <c r="I233" s="13"/>
      <c r="J233" s="13"/>
      <c r="K233" s="13"/>
      <c r="L233" s="13"/>
      <c r="M233" s="13"/>
      <c r="N233" s="13"/>
      <c r="O233" s="13"/>
      <c r="P233" s="13"/>
      <c r="Q233" s="13"/>
      <c r="R233" s="189"/>
      <c r="S233" s="189"/>
      <c r="T233" s="189"/>
      <c r="U233" s="189"/>
      <c r="V233" s="189"/>
      <c r="W233" s="189"/>
      <c r="X233" s="189"/>
      <c r="Y233" s="189"/>
      <c r="Z233" s="189"/>
      <c r="AA233" s="189"/>
      <c r="AB233" s="189"/>
      <c r="AC233" s="189"/>
      <c r="AD233" s="189"/>
      <c r="AE233" s="189"/>
      <c r="AF233" s="189"/>
      <c r="AG233" s="189"/>
      <c r="AH233" s="189"/>
      <c r="AI233" s="189"/>
      <c r="AJ233" s="189"/>
      <c r="AK233" s="189"/>
      <c r="AL233" s="189"/>
      <c r="AM233" s="189"/>
      <c r="AN233" s="189"/>
      <c r="AO233" s="189"/>
      <c r="AP233" s="189"/>
      <c r="AQ233" s="175"/>
    </row>
    <row r="234" spans="1:43" s="167" customFormat="1" ht="15">
      <c r="A234" s="176">
        <v>153</v>
      </c>
      <c r="B234" s="414" t="s">
        <v>924</v>
      </c>
      <c r="C234" s="413" t="s">
        <v>928</v>
      </c>
      <c r="D234" s="13"/>
      <c r="E234" s="13"/>
      <c r="F234" s="13"/>
      <c r="G234" s="13"/>
      <c r="H234" s="13"/>
      <c r="I234" s="13"/>
      <c r="J234" s="13"/>
      <c r="K234" s="13"/>
      <c r="L234" s="13"/>
      <c r="M234" s="13"/>
      <c r="N234" s="13"/>
      <c r="O234" s="13"/>
      <c r="P234" s="13"/>
      <c r="Q234" s="13"/>
      <c r="R234" s="189"/>
      <c r="S234" s="189"/>
      <c r="T234" s="189"/>
      <c r="U234" s="189"/>
      <c r="V234" s="189"/>
      <c r="W234" s="189"/>
      <c r="X234" s="189"/>
      <c r="Y234" s="189"/>
      <c r="Z234" s="189"/>
      <c r="AA234" s="189"/>
      <c r="AB234" s="189"/>
      <c r="AC234" s="189"/>
      <c r="AD234" s="189"/>
      <c r="AE234" s="189"/>
      <c r="AF234" s="189"/>
      <c r="AG234" s="189"/>
      <c r="AH234" s="189"/>
      <c r="AI234" s="189"/>
      <c r="AJ234" s="189"/>
      <c r="AK234" s="189"/>
      <c r="AL234" s="189"/>
      <c r="AM234" s="189"/>
      <c r="AN234" s="189"/>
      <c r="AO234" s="189"/>
      <c r="AP234" s="189"/>
      <c r="AQ234" s="175"/>
    </row>
    <row r="235" spans="1:43" s="167" customFormat="1" ht="15">
      <c r="A235" s="176">
        <v>154</v>
      </c>
      <c r="B235" s="414" t="s">
        <v>925</v>
      </c>
      <c r="C235" s="413" t="s">
        <v>929</v>
      </c>
      <c r="D235" s="13"/>
      <c r="E235" s="13"/>
      <c r="F235" s="13"/>
      <c r="G235" s="13"/>
      <c r="H235" s="13"/>
      <c r="I235" s="13"/>
      <c r="J235" s="13"/>
      <c r="K235" s="13"/>
      <c r="L235" s="13"/>
      <c r="M235" s="13"/>
      <c r="N235" s="13"/>
      <c r="O235" s="13"/>
      <c r="P235" s="13"/>
      <c r="Q235" s="13"/>
      <c r="R235" s="189"/>
      <c r="S235" s="189"/>
      <c r="T235" s="189"/>
      <c r="U235" s="189"/>
      <c r="V235" s="189"/>
      <c r="W235" s="189"/>
      <c r="X235" s="189"/>
      <c r="Y235" s="189"/>
      <c r="Z235" s="189"/>
      <c r="AA235" s="189"/>
      <c r="AB235" s="189"/>
      <c r="AC235" s="189"/>
      <c r="AD235" s="189"/>
      <c r="AE235" s="189"/>
      <c r="AF235" s="189"/>
      <c r="AG235" s="189"/>
      <c r="AH235" s="189"/>
      <c r="AI235" s="189"/>
      <c r="AJ235" s="189"/>
      <c r="AK235" s="189"/>
      <c r="AL235" s="189"/>
      <c r="AM235" s="189"/>
      <c r="AN235" s="189"/>
      <c r="AO235" s="189"/>
      <c r="AP235" s="189"/>
      <c r="AQ235" s="175"/>
    </row>
    <row r="236" spans="1:43" s="167" customFormat="1" ht="15">
      <c r="A236" s="176">
        <v>155</v>
      </c>
      <c r="B236" s="163" t="s">
        <v>926</v>
      </c>
      <c r="C236" s="413" t="s">
        <v>930</v>
      </c>
      <c r="D236" s="13"/>
      <c r="E236" s="13"/>
      <c r="F236" s="13"/>
      <c r="G236" s="13"/>
      <c r="H236" s="187"/>
      <c r="I236" s="187"/>
      <c r="J236" s="187"/>
      <c r="K236" s="187"/>
      <c r="L236" s="187"/>
      <c r="M236" s="187"/>
      <c r="N236" s="187"/>
      <c r="O236" s="187"/>
      <c r="P236" s="187"/>
      <c r="Q236" s="187"/>
      <c r="R236" s="189"/>
      <c r="S236" s="189"/>
      <c r="T236" s="189"/>
      <c r="U236" s="189"/>
      <c r="V236" s="189"/>
      <c r="W236" s="189"/>
      <c r="X236" s="189"/>
      <c r="Y236" s="189"/>
      <c r="Z236" s="189"/>
      <c r="AA236" s="189"/>
      <c r="AB236" s="189"/>
      <c r="AC236" s="189"/>
      <c r="AD236" s="189"/>
      <c r="AE236" s="189"/>
      <c r="AF236" s="189"/>
      <c r="AG236" s="189"/>
      <c r="AH236" s="189"/>
      <c r="AI236" s="189"/>
      <c r="AJ236" s="189"/>
      <c r="AK236" s="189"/>
      <c r="AL236" s="189"/>
      <c r="AM236" s="189"/>
      <c r="AN236" s="189"/>
      <c r="AO236" s="189"/>
      <c r="AP236" s="189"/>
    </row>
    <row r="237" spans="1:43" ht="15">
      <c r="A237" s="176">
        <v>156</v>
      </c>
      <c r="B237" s="163" t="s">
        <v>945</v>
      </c>
      <c r="C237" s="413" t="s">
        <v>935</v>
      </c>
      <c r="D237" s="13"/>
      <c r="E237" s="13"/>
      <c r="F237" s="13"/>
      <c r="R237" s="189"/>
      <c r="S237" s="189"/>
      <c r="T237" s="189"/>
      <c r="U237" s="189"/>
      <c r="V237" s="189"/>
      <c r="W237" s="189"/>
      <c r="X237" s="189"/>
      <c r="Y237" s="189"/>
      <c r="Z237" s="189"/>
      <c r="AA237" s="189"/>
      <c r="AB237" s="189"/>
      <c r="AC237" s="189"/>
      <c r="AD237" s="189"/>
      <c r="AE237" s="189"/>
      <c r="AF237" s="189"/>
      <c r="AG237" s="189"/>
      <c r="AH237" s="189"/>
      <c r="AI237" s="189"/>
      <c r="AJ237" s="189"/>
      <c r="AK237" s="189"/>
      <c r="AL237" s="189"/>
      <c r="AM237" s="189"/>
      <c r="AN237" s="189"/>
      <c r="AO237" s="189"/>
    </row>
    <row r="238" spans="1:43" ht="15">
      <c r="A238" s="176">
        <v>157</v>
      </c>
      <c r="B238" s="163" t="s">
        <v>946</v>
      </c>
      <c r="C238" s="413" t="s">
        <v>936</v>
      </c>
      <c r="D238" s="13"/>
      <c r="E238" s="13"/>
      <c r="F238" s="13"/>
      <c r="R238" s="189"/>
      <c r="S238" s="189"/>
      <c r="T238" s="189"/>
      <c r="U238" s="189"/>
      <c r="V238" s="189"/>
      <c r="W238" s="189"/>
      <c r="X238" s="189"/>
      <c r="Y238" s="189"/>
      <c r="Z238" s="189"/>
      <c r="AA238" s="189"/>
      <c r="AB238" s="189"/>
      <c r="AC238" s="189"/>
      <c r="AD238" s="189"/>
      <c r="AE238" s="189"/>
      <c r="AF238" s="189"/>
      <c r="AG238" s="189"/>
      <c r="AH238" s="189"/>
      <c r="AI238" s="189"/>
      <c r="AJ238" s="189"/>
      <c r="AK238" s="189"/>
      <c r="AL238" s="189"/>
      <c r="AM238" s="189"/>
      <c r="AN238" s="189"/>
      <c r="AO238" s="189"/>
    </row>
    <row r="239" spans="1:43" ht="15">
      <c r="A239" s="176">
        <v>158</v>
      </c>
      <c r="B239" s="163" t="s">
        <v>947</v>
      </c>
      <c r="C239" s="413" t="s">
        <v>937</v>
      </c>
      <c r="D239" s="13"/>
      <c r="E239" s="13"/>
      <c r="F239" s="13"/>
      <c r="R239" s="189"/>
      <c r="S239" s="189"/>
      <c r="T239" s="189"/>
      <c r="U239" s="189"/>
      <c r="V239" s="189"/>
      <c r="W239" s="189"/>
      <c r="X239" s="189"/>
      <c r="Y239" s="189"/>
      <c r="Z239" s="189"/>
      <c r="AA239" s="189"/>
      <c r="AB239" s="189"/>
      <c r="AC239" s="189"/>
      <c r="AD239" s="189"/>
      <c r="AE239" s="189"/>
      <c r="AF239" s="189"/>
      <c r="AG239" s="189"/>
      <c r="AH239" s="189"/>
      <c r="AI239" s="189"/>
      <c r="AJ239" s="189"/>
      <c r="AK239" s="189"/>
      <c r="AL239" s="189"/>
      <c r="AM239" s="189"/>
      <c r="AN239" s="189"/>
      <c r="AO239" s="189"/>
    </row>
    <row r="240" spans="1:43" ht="15">
      <c r="A240" s="176">
        <v>159</v>
      </c>
      <c r="B240" s="163" t="s">
        <v>948</v>
      </c>
      <c r="C240" s="413" t="s">
        <v>938</v>
      </c>
      <c r="D240" s="13"/>
      <c r="E240" s="13"/>
      <c r="F240" s="13"/>
      <c r="R240" s="189"/>
      <c r="S240" s="189"/>
      <c r="T240" s="189"/>
      <c r="U240" s="189"/>
      <c r="V240" s="189"/>
      <c r="W240" s="189"/>
      <c r="X240" s="189"/>
      <c r="Y240" s="189"/>
      <c r="Z240" s="189"/>
      <c r="AA240" s="189"/>
      <c r="AB240" s="189"/>
      <c r="AC240" s="189"/>
      <c r="AD240" s="189"/>
      <c r="AE240" s="189"/>
      <c r="AF240" s="189"/>
      <c r="AG240" s="189"/>
      <c r="AH240" s="189"/>
      <c r="AI240" s="189"/>
      <c r="AJ240" s="189"/>
      <c r="AK240" s="189"/>
      <c r="AL240" s="189"/>
      <c r="AM240" s="189"/>
      <c r="AN240" s="189"/>
      <c r="AO240" s="189"/>
    </row>
    <row r="241" spans="1:42" ht="15">
      <c r="A241" s="176">
        <v>160</v>
      </c>
      <c r="B241" s="163" t="s">
        <v>949</v>
      </c>
      <c r="C241" s="413" t="s">
        <v>939</v>
      </c>
      <c r="D241" s="13"/>
      <c r="E241" s="13"/>
      <c r="F241" s="13"/>
      <c r="R241" s="189"/>
      <c r="S241" s="189"/>
      <c r="T241" s="189"/>
      <c r="U241" s="189"/>
      <c r="V241" s="189"/>
      <c r="W241" s="189"/>
      <c r="X241" s="189"/>
      <c r="Y241" s="189"/>
      <c r="Z241" s="189"/>
      <c r="AA241" s="189"/>
      <c r="AB241" s="189"/>
      <c r="AC241" s="189"/>
      <c r="AD241" s="189"/>
      <c r="AE241" s="189"/>
      <c r="AF241" s="189"/>
      <c r="AG241" s="189"/>
      <c r="AH241" s="189"/>
      <c r="AI241" s="189"/>
      <c r="AJ241" s="189"/>
      <c r="AK241" s="189"/>
      <c r="AL241" s="189"/>
      <c r="AM241" s="189"/>
      <c r="AN241" s="189"/>
      <c r="AO241" s="189"/>
    </row>
    <row r="242" spans="1:42" ht="15">
      <c r="A242" s="176">
        <v>161</v>
      </c>
      <c r="B242" s="163" t="s">
        <v>950</v>
      </c>
      <c r="C242" s="413" t="s">
        <v>940</v>
      </c>
      <c r="D242" s="13"/>
      <c r="E242" s="13"/>
      <c r="F242" s="13"/>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row>
    <row r="243" spans="1:42" ht="15">
      <c r="A243" s="176">
        <v>162</v>
      </c>
      <c r="B243" s="163" t="s">
        <v>951</v>
      </c>
      <c r="C243" s="413" t="s">
        <v>941</v>
      </c>
      <c r="D243" s="13"/>
      <c r="E243" s="13"/>
      <c r="F243" s="13"/>
      <c r="S243" s="189"/>
      <c r="T243" s="189"/>
      <c r="U243" s="189"/>
      <c r="V243" s="189"/>
      <c r="W243" s="189"/>
      <c r="X243" s="189"/>
      <c r="Y243" s="189"/>
      <c r="Z243" s="189"/>
      <c r="AA243" s="189"/>
      <c r="AB243" s="189"/>
      <c r="AC243" s="189"/>
      <c r="AD243" s="189"/>
      <c r="AE243" s="189"/>
      <c r="AF243" s="189"/>
      <c r="AG243" s="189"/>
      <c r="AH243" s="189"/>
      <c r="AI243" s="189"/>
      <c r="AJ243" s="189"/>
      <c r="AK243" s="189"/>
      <c r="AL243" s="189"/>
      <c r="AM243" s="189"/>
      <c r="AN243" s="189"/>
      <c r="AO243" s="189"/>
    </row>
    <row r="244" spans="1:42" ht="15">
      <c r="A244" s="176">
        <v>163</v>
      </c>
      <c r="B244" s="163" t="s">
        <v>952</v>
      </c>
      <c r="C244" s="413" t="s">
        <v>942</v>
      </c>
      <c r="D244" s="13"/>
      <c r="E244" s="13"/>
      <c r="F244" s="13"/>
      <c r="S244" s="189"/>
      <c r="T244" s="189"/>
      <c r="U244" s="189"/>
      <c r="V244" s="189"/>
      <c r="W244" s="189"/>
      <c r="X244" s="189"/>
      <c r="Y244" s="189"/>
      <c r="Z244" s="189"/>
      <c r="AA244" s="189"/>
      <c r="AB244" s="189"/>
      <c r="AC244" s="189"/>
      <c r="AD244" s="189"/>
      <c r="AE244" s="189"/>
      <c r="AF244" s="189"/>
      <c r="AG244" s="189"/>
      <c r="AH244" s="189"/>
      <c r="AI244" s="189"/>
      <c r="AJ244" s="189"/>
      <c r="AK244" s="189"/>
      <c r="AL244" s="189"/>
      <c r="AM244" s="189"/>
      <c r="AN244" s="189"/>
      <c r="AO244" s="189"/>
    </row>
    <row r="245" spans="1:42" ht="15">
      <c r="A245" s="176">
        <v>164</v>
      </c>
      <c r="B245" s="163" t="s">
        <v>953</v>
      </c>
      <c r="C245" s="413" t="s">
        <v>943</v>
      </c>
      <c r="D245" s="13"/>
      <c r="E245" s="13"/>
      <c r="F245" s="13"/>
      <c r="S245" s="189"/>
      <c r="T245" s="189"/>
      <c r="U245" s="189"/>
      <c r="V245" s="189"/>
      <c r="W245" s="189"/>
      <c r="X245" s="189"/>
      <c r="Y245" s="189"/>
      <c r="Z245" s="189"/>
      <c r="AA245" s="189"/>
      <c r="AB245" s="189"/>
      <c r="AC245" s="189"/>
      <c r="AD245" s="189"/>
      <c r="AE245" s="189"/>
      <c r="AF245" s="189"/>
      <c r="AG245" s="189"/>
      <c r="AH245" s="189"/>
      <c r="AI245" s="189"/>
      <c r="AJ245" s="189"/>
      <c r="AK245" s="189"/>
      <c r="AL245" s="189"/>
      <c r="AM245" s="189"/>
      <c r="AN245" s="189"/>
      <c r="AO245" s="189"/>
    </row>
    <row r="246" spans="1:42" ht="15">
      <c r="A246" s="176">
        <v>165</v>
      </c>
      <c r="B246" s="163" t="s">
        <v>954</v>
      </c>
      <c r="C246" s="413" t="s">
        <v>944</v>
      </c>
      <c r="D246" s="13"/>
      <c r="E246" s="13"/>
      <c r="F246" s="13"/>
      <c r="S246" s="189"/>
      <c r="T246" s="189"/>
      <c r="U246" s="189"/>
      <c r="V246" s="189"/>
      <c r="W246" s="189"/>
      <c r="X246" s="189"/>
      <c r="Y246" s="189"/>
      <c r="Z246" s="189"/>
      <c r="AA246" s="189"/>
      <c r="AB246" s="189"/>
      <c r="AC246" s="189"/>
      <c r="AD246" s="189"/>
      <c r="AE246" s="189"/>
      <c r="AF246" s="189"/>
      <c r="AG246" s="189"/>
      <c r="AH246" s="189"/>
      <c r="AI246" s="189"/>
      <c r="AJ246" s="189"/>
      <c r="AK246" s="189"/>
      <c r="AL246" s="189"/>
      <c r="AM246" s="189"/>
      <c r="AN246" s="189"/>
      <c r="AO246" s="189"/>
    </row>
    <row r="247" spans="1:42" ht="15">
      <c r="A247" s="176">
        <v>166</v>
      </c>
      <c r="B247" s="596" t="s">
        <v>1158</v>
      </c>
      <c r="C247" t="s">
        <v>1103</v>
      </c>
      <c r="D247" s="13"/>
      <c r="E247" s="13"/>
      <c r="F247" s="13"/>
      <c r="S247" s="189"/>
      <c r="T247" s="189"/>
      <c r="U247" s="189"/>
      <c r="V247" s="189"/>
      <c r="W247" s="189"/>
      <c r="X247" s="189"/>
      <c r="Y247" s="189"/>
      <c r="Z247" s="189"/>
      <c r="AA247" s="189"/>
      <c r="AB247" s="189"/>
      <c r="AC247" s="189"/>
      <c r="AD247" s="189"/>
      <c r="AE247" s="189"/>
      <c r="AF247" s="189"/>
      <c r="AG247" s="189"/>
      <c r="AH247" s="189"/>
      <c r="AI247" s="189"/>
      <c r="AJ247" s="189"/>
      <c r="AK247" s="189"/>
      <c r="AL247" s="189"/>
      <c r="AM247" s="189"/>
      <c r="AN247" s="189"/>
      <c r="AO247" s="189"/>
    </row>
    <row r="248" spans="1:42" ht="15">
      <c r="A248" s="176">
        <v>167</v>
      </c>
      <c r="B248" s="596" t="s">
        <v>1159</v>
      </c>
      <c r="C248" t="s">
        <v>1104</v>
      </c>
      <c r="D248" s="13"/>
      <c r="E248" s="13"/>
      <c r="F248" s="13"/>
      <c r="S248" s="189"/>
      <c r="T248" s="189"/>
      <c r="U248" s="189"/>
      <c r="V248" s="189"/>
      <c r="W248" s="189"/>
      <c r="X248" s="189"/>
      <c r="Y248" s="189"/>
      <c r="Z248" s="189"/>
      <c r="AA248" s="189"/>
      <c r="AB248" s="189"/>
      <c r="AC248" s="189"/>
      <c r="AD248" s="189"/>
      <c r="AE248" s="189"/>
      <c r="AF248" s="189"/>
      <c r="AG248" s="189"/>
      <c r="AH248" s="189"/>
      <c r="AI248" s="189"/>
      <c r="AJ248" s="189"/>
      <c r="AK248" s="189"/>
      <c r="AL248" s="189"/>
      <c r="AM248" s="189"/>
      <c r="AN248" s="189"/>
      <c r="AO248" s="189"/>
    </row>
    <row r="249" spans="1:42" ht="15">
      <c r="A249" s="176">
        <v>168</v>
      </c>
      <c r="B249" s="595" t="s">
        <v>1105</v>
      </c>
      <c r="C249" t="s">
        <v>1106</v>
      </c>
      <c r="D249" s="13"/>
      <c r="E249" s="13"/>
      <c r="F249" s="13"/>
      <c r="S249" s="189"/>
      <c r="T249" s="189"/>
      <c r="U249" s="189"/>
      <c r="V249" s="189"/>
      <c r="W249" s="189"/>
      <c r="X249" s="189"/>
      <c r="Y249" s="189"/>
      <c r="Z249" s="189"/>
      <c r="AA249" s="189"/>
      <c r="AB249" s="189"/>
      <c r="AC249" s="189"/>
      <c r="AD249" s="189"/>
      <c r="AE249" s="189"/>
      <c r="AF249" s="189"/>
      <c r="AG249" s="189"/>
      <c r="AH249" s="189"/>
      <c r="AI249" s="189"/>
      <c r="AJ249" s="189"/>
      <c r="AK249" s="189"/>
      <c r="AL249" s="189"/>
      <c r="AM249" s="189"/>
      <c r="AN249" s="189"/>
      <c r="AO249" s="189"/>
    </row>
    <row r="250" spans="1:42" ht="15">
      <c r="A250" s="23"/>
      <c r="B250" s="460"/>
      <c r="C250" s="413"/>
      <c r="D250" s="13"/>
      <c r="E250" s="13"/>
      <c r="F250" s="13"/>
      <c r="S250" s="189"/>
      <c r="T250" s="189"/>
      <c r="U250" s="189"/>
      <c r="V250" s="189"/>
      <c r="W250" s="189"/>
      <c r="X250" s="189"/>
      <c r="Y250" s="189"/>
      <c r="Z250" s="189"/>
      <c r="AA250" s="189"/>
      <c r="AB250" s="189"/>
      <c r="AC250" s="189"/>
      <c r="AD250" s="189"/>
      <c r="AE250" s="189"/>
      <c r="AF250" s="189"/>
      <c r="AG250" s="189"/>
      <c r="AH250" s="189"/>
      <c r="AI250" s="189"/>
      <c r="AJ250" s="189"/>
      <c r="AK250" s="189"/>
      <c r="AL250" s="189"/>
      <c r="AM250" s="189"/>
      <c r="AN250" s="189"/>
      <c r="AO250" s="189"/>
    </row>
    <row r="251" spans="1:42" s="168" customFormat="1" ht="15">
      <c r="A251" s="23"/>
      <c r="B251" s="413"/>
      <c r="C251" s="413"/>
      <c r="D251" s="13"/>
      <c r="E251" s="13"/>
      <c r="F251" s="13"/>
      <c r="G251" s="13"/>
      <c r="H251" s="192"/>
      <c r="I251" s="192"/>
      <c r="J251" s="192"/>
      <c r="K251" s="192"/>
      <c r="L251" s="192"/>
      <c r="M251" s="192"/>
      <c r="N251" s="192"/>
      <c r="O251" s="192"/>
      <c r="P251" s="192"/>
      <c r="Q251" s="192"/>
      <c r="R251" s="192"/>
      <c r="S251" s="192"/>
      <c r="T251" s="192"/>
      <c r="U251" s="192"/>
      <c r="V251" s="192"/>
      <c r="W251" s="192"/>
      <c r="X251" s="192"/>
      <c r="Y251" s="192"/>
      <c r="Z251" s="192"/>
      <c r="AA251" s="189"/>
      <c r="AB251" s="189"/>
      <c r="AC251" s="189"/>
      <c r="AD251" s="189"/>
      <c r="AE251" s="189"/>
      <c r="AF251" s="189"/>
      <c r="AG251" s="189"/>
      <c r="AH251" s="189"/>
      <c r="AI251" s="189"/>
      <c r="AJ251" s="189"/>
      <c r="AK251" s="189"/>
      <c r="AL251" s="189"/>
      <c r="AM251" s="189"/>
      <c r="AN251" s="189"/>
      <c r="AO251" s="189"/>
      <c r="AP251" s="189"/>
    </row>
    <row r="252" spans="1:42" s="168" customFormat="1" ht="14.25" customHeight="1">
      <c r="A252" s="172"/>
      <c r="B252" s="172"/>
      <c r="C252" s="154" t="s">
        <v>1368</v>
      </c>
      <c r="D252" s="154"/>
      <c r="E252" s="154"/>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5"/>
      <c r="AC252" s="185"/>
      <c r="AD252" s="185"/>
      <c r="AE252" s="185"/>
      <c r="AF252" s="185"/>
      <c r="AG252" s="185"/>
      <c r="AH252" s="185"/>
      <c r="AI252" s="183"/>
      <c r="AJ252" s="183"/>
      <c r="AK252" s="183"/>
      <c r="AL252" s="183"/>
      <c r="AM252" s="183"/>
      <c r="AN252" s="183"/>
      <c r="AO252" s="183"/>
      <c r="AP252" s="183"/>
    </row>
    <row r="253" spans="1:42" s="8" customFormat="1" ht="14.15">
      <c r="A253" s="7">
        <f>A4</f>
        <v>0</v>
      </c>
      <c r="B253" s="7"/>
      <c r="C253" s="197">
        <f>C4</f>
        <v>0</v>
      </c>
      <c r="D253" s="395"/>
      <c r="E253" s="395"/>
      <c r="F253" s="186"/>
      <c r="G253" s="186"/>
      <c r="H253" s="187"/>
      <c r="I253" s="186"/>
      <c r="J253" s="186"/>
      <c r="K253" s="186"/>
      <c r="L253" s="187"/>
      <c r="M253" s="186"/>
      <c r="N253" s="186"/>
      <c r="O253" s="186"/>
      <c r="P253" s="187"/>
      <c r="Q253" s="186"/>
      <c r="R253" s="186"/>
      <c r="S253" s="186"/>
      <c r="T253" s="187"/>
      <c r="U253" s="187"/>
      <c r="V253" s="187"/>
      <c r="W253" s="187"/>
      <c r="X253" s="187"/>
      <c r="Y253" s="187"/>
      <c r="Z253" s="187"/>
      <c r="AA253" s="187"/>
      <c r="AB253" s="187"/>
      <c r="AC253" s="187"/>
      <c r="AD253" s="187"/>
      <c r="AE253" s="187"/>
      <c r="AF253" s="187"/>
      <c r="AG253" s="187"/>
      <c r="AH253" s="187"/>
      <c r="AI253" s="187"/>
      <c r="AJ253" s="187"/>
      <c r="AK253" s="187"/>
      <c r="AL253" s="187"/>
      <c r="AM253" s="187"/>
      <c r="AN253" s="187"/>
      <c r="AO253" s="187"/>
      <c r="AP253" s="187"/>
    </row>
    <row r="254" spans="1:42" s="10" customFormat="1" ht="14.15" thickBot="1">
      <c r="A254" s="9" t="s">
        <v>419</v>
      </c>
      <c r="B254" s="162"/>
      <c r="C254" s="231" t="s">
        <v>234</v>
      </c>
      <c r="D254" s="231"/>
      <c r="E254" s="231"/>
      <c r="F254" s="114">
        <f>F5</f>
        <v>2012</v>
      </c>
      <c r="G254" s="114" t="str">
        <f t="shared" ref="G254:AP254" si="8">G5</f>
        <v>1Q13</v>
      </c>
      <c r="H254" s="114" t="str">
        <f t="shared" si="8"/>
        <v>1H13</v>
      </c>
      <c r="I254" s="114" t="str">
        <f t="shared" si="8"/>
        <v>3Q13</v>
      </c>
      <c r="J254" s="114">
        <f t="shared" si="8"/>
        <v>2013</v>
      </c>
      <c r="K254" s="114" t="str">
        <f t="shared" si="8"/>
        <v>1Q14</v>
      </c>
      <c r="L254" s="114" t="str">
        <f t="shared" si="8"/>
        <v>1H14</v>
      </c>
      <c r="M254" s="114" t="str">
        <f t="shared" si="8"/>
        <v>3Q14</v>
      </c>
      <c r="N254" s="114">
        <f t="shared" si="8"/>
        <v>2014</v>
      </c>
      <c r="O254" s="114" t="str">
        <f t="shared" si="8"/>
        <v>1Q15</v>
      </c>
      <c r="P254" s="114" t="str">
        <f t="shared" si="8"/>
        <v>1H15</v>
      </c>
      <c r="Q254" s="114" t="str">
        <f t="shared" si="8"/>
        <v>3Q15</v>
      </c>
      <c r="R254" s="114">
        <f t="shared" si="8"/>
        <v>2015</v>
      </c>
      <c r="S254" s="114" t="str">
        <f t="shared" si="8"/>
        <v>1Q16</v>
      </c>
      <c r="T254" s="114" t="str">
        <f t="shared" si="8"/>
        <v>1H16</v>
      </c>
      <c r="U254" s="114" t="str">
        <f t="shared" si="8"/>
        <v>3Q16</v>
      </c>
      <c r="V254" s="114">
        <f t="shared" si="8"/>
        <v>2016</v>
      </c>
      <c r="W254" s="114" t="str">
        <f t="shared" si="8"/>
        <v>1Q17</v>
      </c>
      <c r="X254" s="114" t="str">
        <f t="shared" si="8"/>
        <v>1H17</v>
      </c>
      <c r="Y254" s="114" t="str">
        <f t="shared" si="8"/>
        <v>3Q17</v>
      </c>
      <c r="Z254" s="114">
        <f t="shared" si="8"/>
        <v>2017</v>
      </c>
      <c r="AA254" s="114" t="str">
        <f t="shared" si="8"/>
        <v>1Q18</v>
      </c>
      <c r="AB254" s="114" t="str">
        <f t="shared" si="8"/>
        <v>1H18</v>
      </c>
      <c r="AC254" s="114" t="str">
        <f t="shared" si="8"/>
        <v>3Q18</v>
      </c>
      <c r="AD254" s="114"/>
      <c r="AE254" s="114"/>
      <c r="AF254" s="114"/>
      <c r="AG254" s="114"/>
      <c r="AH254" s="114"/>
      <c r="AI254" s="114" t="str">
        <f t="shared" si="8"/>
        <v>1Q20</v>
      </c>
      <c r="AJ254" s="114" t="str">
        <f t="shared" si="8"/>
        <v>1H20</v>
      </c>
      <c r="AK254" s="114" t="str">
        <f t="shared" si="8"/>
        <v>3Q20</v>
      </c>
      <c r="AL254" s="114">
        <f t="shared" si="8"/>
        <v>2023</v>
      </c>
      <c r="AM254" s="114" t="str">
        <f t="shared" si="8"/>
        <v>1Q23</v>
      </c>
      <c r="AN254" s="114" t="str">
        <f t="shared" si="8"/>
        <v>1H21</v>
      </c>
      <c r="AO254" s="114" t="str">
        <f t="shared" si="8"/>
        <v>3Q21</v>
      </c>
      <c r="AP254" s="114" t="str">
        <f t="shared" si="8"/>
        <v>-</v>
      </c>
    </row>
    <row r="255" spans="1:42" s="10" customFormat="1" ht="24.75" customHeight="1" thickBot="1">
      <c r="A255" s="21">
        <v>1</v>
      </c>
      <c r="B255" s="22" t="s">
        <v>114</v>
      </c>
      <c r="C255" s="13" t="s">
        <v>230</v>
      </c>
      <c r="D255" s="13"/>
      <c r="E255" s="1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row>
    <row r="256" spans="1:42" s="14" customFormat="1" ht="15.45" thickBot="1">
      <c r="A256" s="21">
        <v>2</v>
      </c>
      <c r="B256" s="12" t="s">
        <v>292</v>
      </c>
      <c r="C256" s="13" t="s">
        <v>115</v>
      </c>
      <c r="D256" s="13"/>
      <c r="E256" s="13"/>
      <c r="F256" s="189"/>
      <c r="G256" s="189"/>
      <c r="H256" s="189"/>
      <c r="I256" s="189"/>
      <c r="J256" s="189"/>
      <c r="K256" s="189"/>
      <c r="L256" s="189"/>
      <c r="M256" s="189"/>
      <c r="N256" s="189"/>
      <c r="O256" s="189"/>
      <c r="P256" s="189"/>
      <c r="Q256" s="189"/>
      <c r="R256" s="189"/>
      <c r="S256" s="189"/>
      <c r="T256" s="189"/>
      <c r="U256" s="189"/>
      <c r="V256" s="189"/>
      <c r="W256" s="189"/>
      <c r="X256" s="189"/>
      <c r="Y256" s="189"/>
      <c r="Z256" s="189"/>
      <c r="AA256" s="189"/>
      <c r="AB256" s="189"/>
      <c r="AC256" s="189"/>
      <c r="AD256" s="189"/>
      <c r="AE256" s="189"/>
      <c r="AF256" s="189"/>
      <c r="AG256" s="189"/>
      <c r="AH256" s="189"/>
      <c r="AI256" s="189"/>
      <c r="AJ256" s="189"/>
      <c r="AK256" s="189"/>
      <c r="AL256" s="189"/>
      <c r="AM256" s="189"/>
      <c r="AN256" s="189"/>
      <c r="AO256" s="189"/>
      <c r="AP256" s="189"/>
    </row>
    <row r="257" spans="1:42" s="14" customFormat="1" ht="15.45" thickBot="1">
      <c r="A257" s="21">
        <v>3</v>
      </c>
      <c r="B257" s="12" t="s">
        <v>445</v>
      </c>
      <c r="C257" s="13" t="s">
        <v>116</v>
      </c>
      <c r="D257" s="13"/>
      <c r="E257" s="13"/>
      <c r="F257" s="189"/>
      <c r="G257" s="189"/>
      <c r="H257" s="189"/>
      <c r="I257" s="189"/>
      <c r="J257" s="189"/>
      <c r="K257" s="189"/>
      <c r="L257" s="189"/>
      <c r="M257" s="189"/>
      <c r="N257" s="189"/>
      <c r="O257" s="189"/>
      <c r="P257" s="189"/>
      <c r="Q257" s="189"/>
      <c r="R257" s="189"/>
      <c r="S257" s="189"/>
      <c r="T257" s="189"/>
      <c r="U257" s="189"/>
      <c r="V257" s="189"/>
      <c r="W257" s="189"/>
      <c r="X257" s="189"/>
      <c r="Y257" s="189"/>
      <c r="Z257" s="189"/>
      <c r="AA257" s="189"/>
      <c r="AB257" s="189"/>
      <c r="AC257" s="189"/>
      <c r="AD257" s="189"/>
      <c r="AE257" s="189"/>
      <c r="AF257" s="189"/>
      <c r="AG257" s="189"/>
      <c r="AH257" s="189"/>
      <c r="AI257" s="189"/>
      <c r="AJ257" s="189"/>
      <c r="AK257" s="189"/>
      <c r="AL257" s="189"/>
      <c r="AM257" s="189"/>
      <c r="AN257" s="189"/>
      <c r="AO257" s="189"/>
      <c r="AP257" s="189"/>
    </row>
    <row r="258" spans="1:42" s="14" customFormat="1" ht="15.45" thickBot="1">
      <c r="A258" s="21">
        <v>4</v>
      </c>
      <c r="B258" s="12" t="s">
        <v>447</v>
      </c>
      <c r="C258" s="13" t="s">
        <v>446</v>
      </c>
      <c r="D258" s="13"/>
      <c r="E258" s="13"/>
      <c r="F258" s="189"/>
      <c r="G258" s="189"/>
      <c r="H258" s="189"/>
      <c r="I258" s="189"/>
      <c r="J258" s="189"/>
      <c r="K258" s="189"/>
      <c r="L258" s="189"/>
      <c r="M258" s="189"/>
      <c r="N258" s="189"/>
      <c r="O258" s="189"/>
      <c r="P258" s="189"/>
      <c r="Q258" s="189"/>
      <c r="R258" s="189"/>
      <c r="S258" s="189"/>
      <c r="T258" s="189"/>
      <c r="U258" s="189"/>
      <c r="V258" s="189"/>
      <c r="W258" s="189"/>
      <c r="X258" s="189"/>
      <c r="Y258" s="189"/>
      <c r="Z258" s="189"/>
      <c r="AA258" s="189"/>
      <c r="AB258" s="189"/>
      <c r="AC258" s="189"/>
      <c r="AD258" s="189"/>
      <c r="AE258" s="189"/>
      <c r="AF258" s="189"/>
      <c r="AG258" s="189"/>
      <c r="AH258" s="189"/>
      <c r="AI258" s="189"/>
      <c r="AJ258" s="189"/>
      <c r="AK258" s="189"/>
      <c r="AL258" s="189"/>
      <c r="AM258" s="189"/>
      <c r="AN258" s="189"/>
      <c r="AO258" s="189"/>
      <c r="AP258" s="189"/>
    </row>
    <row r="259" spans="1:42" s="14" customFormat="1" ht="15.45" thickBot="1">
      <c r="A259" s="21">
        <v>5</v>
      </c>
      <c r="B259" s="12" t="s">
        <v>448</v>
      </c>
      <c r="C259" s="13" t="s">
        <v>117</v>
      </c>
      <c r="D259" s="13"/>
      <c r="E259" s="13"/>
      <c r="F259" s="189"/>
      <c r="G259" s="189"/>
      <c r="H259" s="189"/>
      <c r="I259" s="189"/>
      <c r="J259" s="189"/>
      <c r="K259" s="189"/>
      <c r="L259" s="189"/>
      <c r="M259" s="189"/>
      <c r="N259" s="189"/>
      <c r="O259" s="189"/>
      <c r="P259" s="189"/>
      <c r="Q259" s="189"/>
      <c r="R259" s="189"/>
      <c r="S259" s="189"/>
      <c r="T259" s="189"/>
      <c r="U259" s="189"/>
      <c r="V259" s="189"/>
      <c r="W259" s="189"/>
      <c r="X259" s="189"/>
      <c r="Y259" s="189"/>
      <c r="Z259" s="189"/>
      <c r="AA259" s="189"/>
      <c r="AB259" s="189"/>
      <c r="AC259" s="189"/>
      <c r="AD259" s="189"/>
      <c r="AE259" s="189"/>
      <c r="AF259" s="189"/>
      <c r="AG259" s="189"/>
      <c r="AH259" s="189"/>
      <c r="AI259" s="189"/>
      <c r="AJ259" s="189"/>
      <c r="AK259" s="189"/>
      <c r="AL259" s="189"/>
      <c r="AM259" s="189"/>
      <c r="AN259" s="189"/>
      <c r="AO259" s="189"/>
      <c r="AP259" s="189"/>
    </row>
    <row r="260" spans="1:42" s="14" customFormat="1" ht="15.45" thickBot="1">
      <c r="A260" s="21">
        <v>6</v>
      </c>
      <c r="B260" s="12" t="s">
        <v>449</v>
      </c>
      <c r="C260" s="13" t="s">
        <v>118</v>
      </c>
      <c r="D260" s="13"/>
      <c r="E260" s="13"/>
      <c r="F260" s="189"/>
      <c r="G260" s="189"/>
      <c r="H260" s="189"/>
      <c r="I260" s="189"/>
      <c r="J260" s="189"/>
      <c r="K260" s="189"/>
      <c r="L260" s="189"/>
      <c r="M260" s="189"/>
      <c r="N260" s="189"/>
      <c r="O260" s="189"/>
      <c r="P260" s="189"/>
      <c r="Q260" s="189"/>
      <c r="R260" s="189"/>
      <c r="S260" s="189"/>
      <c r="T260" s="189"/>
      <c r="U260" s="189"/>
      <c r="V260" s="189"/>
      <c r="W260" s="189"/>
      <c r="X260" s="189"/>
      <c r="Y260" s="189"/>
      <c r="Z260" s="189"/>
      <c r="AA260" s="189"/>
      <c r="AB260" s="189"/>
      <c r="AC260" s="189"/>
      <c r="AD260" s="189"/>
      <c r="AE260" s="189"/>
      <c r="AF260" s="189"/>
      <c r="AG260" s="189"/>
      <c r="AH260" s="189"/>
      <c r="AI260" s="189"/>
      <c r="AJ260" s="189"/>
      <c r="AK260" s="189"/>
      <c r="AL260" s="189"/>
      <c r="AM260" s="189"/>
      <c r="AN260" s="189"/>
      <c r="AO260" s="189"/>
      <c r="AP260" s="189"/>
    </row>
    <row r="261" spans="1:42" s="14" customFormat="1" ht="15.45" thickBot="1">
      <c r="A261" s="21">
        <v>7</v>
      </c>
      <c r="B261" s="12" t="s">
        <v>450</v>
      </c>
      <c r="C261" s="13" t="s">
        <v>119</v>
      </c>
      <c r="D261" s="13"/>
      <c r="E261" s="13"/>
      <c r="F261" s="189"/>
      <c r="G261" s="189"/>
      <c r="H261" s="189"/>
      <c r="I261" s="189"/>
      <c r="J261" s="189"/>
      <c r="K261" s="189"/>
      <c r="L261" s="189"/>
      <c r="M261" s="189"/>
      <c r="N261" s="189"/>
      <c r="O261" s="189"/>
      <c r="P261" s="189"/>
      <c r="Q261" s="189"/>
      <c r="R261" s="189"/>
      <c r="S261" s="189"/>
      <c r="T261" s="189"/>
      <c r="U261" s="189"/>
      <c r="V261" s="189"/>
      <c r="W261" s="189"/>
      <c r="X261" s="189"/>
      <c r="Y261" s="189"/>
      <c r="Z261" s="189"/>
      <c r="AA261" s="189"/>
      <c r="AB261" s="189"/>
      <c r="AC261" s="189"/>
      <c r="AD261" s="189"/>
      <c r="AE261" s="189"/>
      <c r="AF261" s="189"/>
      <c r="AG261" s="189"/>
      <c r="AH261" s="189"/>
      <c r="AI261" s="189"/>
      <c r="AJ261" s="189"/>
      <c r="AK261" s="189"/>
      <c r="AL261" s="189"/>
      <c r="AM261" s="189"/>
      <c r="AN261" s="189"/>
      <c r="AO261" s="189"/>
      <c r="AP261" s="189"/>
    </row>
    <row r="262" spans="1:42" s="14" customFormat="1" ht="15.45" thickBot="1">
      <c r="A262" s="21">
        <v>8</v>
      </c>
      <c r="B262" s="12" t="s">
        <v>451</v>
      </c>
      <c r="C262" s="13" t="s">
        <v>120</v>
      </c>
      <c r="D262" s="13"/>
      <c r="E262" s="13"/>
      <c r="F262" s="189"/>
      <c r="G262" s="189"/>
      <c r="H262" s="189"/>
      <c r="I262" s="189"/>
      <c r="J262" s="189"/>
      <c r="K262" s="189"/>
      <c r="L262" s="189"/>
      <c r="M262" s="189"/>
      <c r="N262" s="189"/>
      <c r="O262" s="189"/>
      <c r="P262" s="189"/>
      <c r="Q262" s="189"/>
      <c r="R262" s="189"/>
      <c r="S262" s="189"/>
      <c r="T262" s="189"/>
      <c r="U262" s="189"/>
      <c r="V262" s="189"/>
      <c r="W262" s="189"/>
      <c r="X262" s="189"/>
      <c r="Y262" s="189"/>
      <c r="Z262" s="189"/>
      <c r="AA262" s="189"/>
      <c r="AB262" s="189"/>
      <c r="AC262" s="189"/>
      <c r="AD262" s="189"/>
      <c r="AE262" s="189"/>
      <c r="AF262" s="189"/>
      <c r="AG262" s="189"/>
      <c r="AH262" s="189"/>
      <c r="AI262" s="189"/>
      <c r="AJ262" s="189"/>
      <c r="AK262" s="189"/>
      <c r="AL262" s="189"/>
      <c r="AM262" s="189"/>
      <c r="AN262" s="189"/>
      <c r="AO262" s="189"/>
      <c r="AP262" s="189"/>
    </row>
    <row r="263" spans="1:42" s="14" customFormat="1" ht="15.45" thickBot="1">
      <c r="A263" s="21">
        <v>9</v>
      </c>
      <c r="B263" s="12" t="s">
        <v>452</v>
      </c>
      <c r="C263" s="13" t="s">
        <v>41</v>
      </c>
      <c r="D263" s="13"/>
      <c r="E263" s="13"/>
      <c r="F263" s="189"/>
      <c r="G263" s="189"/>
      <c r="H263" s="189"/>
      <c r="I263" s="189"/>
      <c r="J263" s="189"/>
      <c r="K263" s="189"/>
      <c r="L263" s="189"/>
      <c r="M263" s="189"/>
      <c r="N263" s="189"/>
      <c r="O263" s="189"/>
      <c r="P263" s="189"/>
      <c r="Q263" s="189"/>
      <c r="R263" s="189"/>
      <c r="S263" s="189"/>
      <c r="T263" s="189"/>
      <c r="U263" s="189"/>
      <c r="V263" s="189"/>
      <c r="W263" s="189"/>
      <c r="X263" s="189"/>
      <c r="Y263" s="189"/>
      <c r="Z263" s="189"/>
      <c r="AA263" s="189"/>
      <c r="AB263" s="189"/>
      <c r="AC263" s="189"/>
      <c r="AD263" s="189"/>
      <c r="AE263" s="189"/>
      <c r="AF263" s="189"/>
      <c r="AG263" s="189"/>
      <c r="AH263" s="189"/>
      <c r="AI263" s="189"/>
      <c r="AJ263" s="189"/>
      <c r="AK263" s="189"/>
      <c r="AL263" s="189"/>
      <c r="AM263" s="189"/>
      <c r="AN263" s="189"/>
      <c r="AO263" s="189"/>
      <c r="AP263" s="189"/>
    </row>
    <row r="264" spans="1:42" s="14" customFormat="1" ht="15.45" thickBot="1">
      <c r="A264" s="21">
        <v>10</v>
      </c>
      <c r="B264" s="12" t="s">
        <v>453</v>
      </c>
      <c r="C264" s="13" t="s">
        <v>42</v>
      </c>
      <c r="D264" s="13"/>
      <c r="E264" s="13"/>
      <c r="F264" s="189"/>
      <c r="G264" s="189"/>
      <c r="H264" s="189"/>
      <c r="I264" s="189"/>
      <c r="J264" s="189"/>
      <c r="K264" s="189"/>
      <c r="L264" s="189"/>
      <c r="M264" s="189"/>
      <c r="N264" s="189"/>
      <c r="O264" s="189"/>
      <c r="P264" s="189"/>
      <c r="Q264" s="189"/>
      <c r="R264" s="189"/>
      <c r="S264" s="189"/>
      <c r="T264" s="189"/>
      <c r="U264" s="189"/>
      <c r="V264" s="189"/>
      <c r="W264" s="189"/>
      <c r="X264" s="189"/>
      <c r="Y264" s="189"/>
      <c r="Z264" s="189"/>
      <c r="AA264" s="189"/>
      <c r="AB264" s="189"/>
      <c r="AC264" s="189"/>
      <c r="AD264" s="189"/>
      <c r="AE264" s="189"/>
      <c r="AF264" s="189"/>
      <c r="AG264" s="189"/>
      <c r="AH264" s="189"/>
      <c r="AI264" s="189"/>
      <c r="AJ264" s="189"/>
      <c r="AK264" s="189"/>
      <c r="AL264" s="189"/>
      <c r="AM264" s="189"/>
      <c r="AN264" s="189"/>
      <c r="AO264" s="189"/>
      <c r="AP264" s="189"/>
    </row>
    <row r="265" spans="1:42" s="14" customFormat="1" ht="15.45" thickBot="1">
      <c r="A265" s="21">
        <v>11</v>
      </c>
      <c r="B265" s="12" t="s">
        <v>454</v>
      </c>
      <c r="C265" s="13" t="s">
        <v>336</v>
      </c>
      <c r="D265" s="13"/>
      <c r="E265" s="13"/>
      <c r="F265" s="189"/>
      <c r="G265" s="189"/>
      <c r="H265" s="189"/>
      <c r="I265" s="189"/>
      <c r="J265" s="189"/>
      <c r="K265" s="189"/>
      <c r="L265" s="189"/>
      <c r="M265" s="189"/>
      <c r="N265" s="189"/>
      <c r="O265" s="189"/>
      <c r="P265" s="189"/>
      <c r="Q265" s="189"/>
      <c r="R265" s="189"/>
      <c r="S265" s="189"/>
      <c r="T265" s="189"/>
      <c r="U265" s="189"/>
      <c r="V265" s="189"/>
      <c r="W265" s="189"/>
      <c r="X265" s="189"/>
      <c r="Y265" s="189"/>
      <c r="Z265" s="189"/>
      <c r="AA265" s="189"/>
      <c r="AB265" s="189"/>
      <c r="AC265" s="189"/>
      <c r="AD265" s="189"/>
      <c r="AE265" s="189"/>
      <c r="AF265" s="189"/>
      <c r="AG265" s="189"/>
      <c r="AH265" s="189"/>
      <c r="AI265" s="189"/>
      <c r="AJ265" s="189"/>
      <c r="AK265" s="189"/>
      <c r="AL265" s="189"/>
      <c r="AM265" s="189"/>
      <c r="AN265" s="189"/>
      <c r="AO265" s="189"/>
      <c r="AP265" s="189"/>
    </row>
    <row r="266" spans="1:42" s="14" customFormat="1" ht="15.45" thickBot="1">
      <c r="A266" s="21">
        <v>12</v>
      </c>
      <c r="B266" s="12" t="s">
        <v>455</v>
      </c>
      <c r="C266" s="13" t="s">
        <v>337</v>
      </c>
      <c r="D266" s="13"/>
      <c r="E266" s="13"/>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89"/>
      <c r="AI266" s="189"/>
      <c r="AJ266" s="189"/>
      <c r="AK266" s="189"/>
      <c r="AL266" s="189"/>
      <c r="AM266" s="189"/>
      <c r="AN266" s="189"/>
      <c r="AO266" s="189"/>
      <c r="AP266" s="189"/>
    </row>
    <row r="267" spans="1:42" s="14" customFormat="1" ht="15.45" thickBot="1">
      <c r="A267" s="21">
        <v>13</v>
      </c>
      <c r="B267" s="12" t="s">
        <v>456</v>
      </c>
      <c r="C267" s="13" t="s">
        <v>338</v>
      </c>
      <c r="D267" s="13"/>
      <c r="E267" s="13"/>
      <c r="F267" s="189"/>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row>
    <row r="268" spans="1:42" s="14" customFormat="1" ht="15.45" thickBot="1">
      <c r="A268" s="21">
        <v>14</v>
      </c>
      <c r="B268" s="12" t="s">
        <v>457</v>
      </c>
      <c r="C268" s="13" t="s">
        <v>339</v>
      </c>
      <c r="D268" s="13"/>
      <c r="E268" s="13"/>
      <c r="F268" s="189"/>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row>
    <row r="269" spans="1:42" s="14" customFormat="1" ht="15.45" thickBot="1">
      <c r="A269" s="21">
        <v>15</v>
      </c>
      <c r="B269" s="12" t="s">
        <v>458</v>
      </c>
      <c r="C269" s="13" t="s">
        <v>17</v>
      </c>
      <c r="D269" s="13"/>
      <c r="E269" s="13"/>
      <c r="F269" s="189"/>
      <c r="G269" s="189"/>
      <c r="H269" s="189"/>
      <c r="I269" s="189"/>
      <c r="J269" s="189"/>
      <c r="K269" s="189"/>
      <c r="L269" s="189"/>
      <c r="M269" s="189"/>
      <c r="N269" s="189"/>
      <c r="O269" s="189"/>
      <c r="P269" s="189"/>
      <c r="Q269" s="189"/>
      <c r="R269" s="189"/>
      <c r="S269" s="189"/>
      <c r="T269" s="189"/>
      <c r="U269" s="189"/>
      <c r="V269" s="189"/>
      <c r="W269" s="189"/>
      <c r="X269" s="189"/>
      <c r="Y269" s="189"/>
      <c r="Z269" s="189"/>
      <c r="AA269" s="189"/>
      <c r="AB269" s="189"/>
      <c r="AC269" s="189"/>
      <c r="AD269" s="189"/>
      <c r="AE269" s="189"/>
      <c r="AF269" s="189"/>
      <c r="AG269" s="189"/>
      <c r="AH269" s="189"/>
      <c r="AI269" s="189"/>
      <c r="AJ269" s="189"/>
      <c r="AK269" s="189"/>
      <c r="AL269" s="189"/>
      <c r="AM269" s="189"/>
      <c r="AN269" s="189"/>
      <c r="AO269" s="189"/>
      <c r="AP269" s="189"/>
    </row>
    <row r="270" spans="1:42" s="14" customFormat="1" ht="15.45" thickBot="1">
      <c r="A270" s="21">
        <v>16</v>
      </c>
      <c r="B270" s="12" t="s">
        <v>459</v>
      </c>
      <c r="C270" s="13" t="s">
        <v>340</v>
      </c>
      <c r="D270" s="13"/>
      <c r="E270" s="13"/>
      <c r="F270" s="189"/>
      <c r="G270" s="189"/>
      <c r="H270" s="189"/>
      <c r="I270" s="189"/>
      <c r="J270" s="189"/>
      <c r="K270" s="189"/>
      <c r="L270" s="189"/>
      <c r="M270" s="189"/>
      <c r="N270" s="189"/>
      <c r="O270" s="189"/>
      <c r="P270" s="189"/>
      <c r="Q270" s="189"/>
      <c r="R270" s="189"/>
      <c r="S270" s="189"/>
      <c r="T270" s="189"/>
      <c r="U270" s="189"/>
      <c r="V270" s="189"/>
      <c r="W270" s="189"/>
      <c r="X270" s="189"/>
      <c r="Y270" s="189"/>
      <c r="Z270" s="189"/>
      <c r="AA270" s="189"/>
      <c r="AB270" s="189"/>
      <c r="AC270" s="189"/>
      <c r="AD270" s="189"/>
      <c r="AE270" s="189"/>
      <c r="AF270" s="189"/>
      <c r="AG270" s="189"/>
      <c r="AH270" s="189"/>
      <c r="AI270" s="189"/>
      <c r="AJ270" s="189"/>
      <c r="AK270" s="189"/>
      <c r="AL270" s="189"/>
      <c r="AM270" s="189"/>
      <c r="AN270" s="189"/>
      <c r="AO270" s="189"/>
      <c r="AP270" s="189"/>
    </row>
    <row r="271" spans="1:42" s="14" customFormat="1" ht="15.45" thickBot="1">
      <c r="A271" s="21">
        <v>17</v>
      </c>
      <c r="B271" s="12" t="s">
        <v>460</v>
      </c>
      <c r="C271" s="13" t="s">
        <v>349</v>
      </c>
      <c r="D271" s="13"/>
      <c r="E271" s="13"/>
      <c r="F271" s="189"/>
      <c r="G271" s="189"/>
      <c r="H271" s="189"/>
      <c r="I271" s="189"/>
      <c r="J271" s="189"/>
      <c r="K271" s="189"/>
      <c r="L271" s="189"/>
      <c r="M271" s="189"/>
      <c r="N271" s="189"/>
      <c r="O271" s="189"/>
      <c r="P271" s="189"/>
      <c r="Q271" s="189"/>
      <c r="R271" s="189"/>
      <c r="S271" s="189"/>
      <c r="T271" s="189"/>
      <c r="U271" s="189"/>
      <c r="V271" s="189"/>
      <c r="W271" s="189"/>
      <c r="X271" s="189"/>
      <c r="Y271" s="189"/>
      <c r="Z271" s="189"/>
      <c r="AA271" s="189"/>
      <c r="AB271" s="189"/>
      <c r="AC271" s="189"/>
      <c r="AD271" s="189"/>
      <c r="AE271" s="189"/>
      <c r="AF271" s="189"/>
      <c r="AG271" s="189"/>
      <c r="AH271" s="189"/>
      <c r="AI271" s="189"/>
      <c r="AJ271" s="189"/>
      <c r="AK271" s="189"/>
      <c r="AL271" s="189"/>
      <c r="AM271" s="189"/>
      <c r="AN271" s="189"/>
      <c r="AO271" s="189"/>
      <c r="AP271" s="189"/>
    </row>
    <row r="272" spans="1:42" s="14" customFormat="1" ht="15.45" thickBot="1">
      <c r="A272" s="21">
        <v>18</v>
      </c>
      <c r="B272" s="12" t="s">
        <v>461</v>
      </c>
      <c r="C272" s="13" t="s">
        <v>350</v>
      </c>
      <c r="D272" s="13"/>
      <c r="E272" s="13"/>
      <c r="F272" s="189"/>
      <c r="G272" s="189"/>
      <c r="H272" s="189"/>
      <c r="I272" s="189"/>
      <c r="J272" s="189"/>
      <c r="K272" s="189"/>
      <c r="L272" s="189"/>
      <c r="M272" s="189"/>
      <c r="N272" s="189"/>
      <c r="O272" s="189"/>
      <c r="P272" s="189"/>
      <c r="Q272" s="189"/>
      <c r="R272" s="189"/>
      <c r="S272" s="189"/>
      <c r="T272" s="189"/>
      <c r="U272" s="189"/>
      <c r="V272" s="189"/>
      <c r="W272" s="189"/>
      <c r="X272" s="189"/>
      <c r="Y272" s="189"/>
      <c r="Z272" s="189"/>
      <c r="AA272" s="189"/>
      <c r="AB272" s="189"/>
      <c r="AC272" s="189"/>
      <c r="AD272" s="189"/>
      <c r="AE272" s="189"/>
      <c r="AF272" s="189"/>
      <c r="AG272" s="189"/>
      <c r="AH272" s="189"/>
      <c r="AI272" s="189"/>
      <c r="AJ272" s="189"/>
      <c r="AK272" s="189"/>
      <c r="AL272" s="189"/>
      <c r="AM272" s="189"/>
      <c r="AN272" s="189"/>
      <c r="AO272" s="189"/>
      <c r="AP272" s="189"/>
    </row>
    <row r="273" spans="1:42" s="14" customFormat="1" ht="15.45" thickBot="1">
      <c r="A273" s="21">
        <v>19</v>
      </c>
      <c r="B273" s="12"/>
      <c r="C273" s="13" t="s">
        <v>466</v>
      </c>
      <c r="D273" s="13"/>
      <c r="E273" s="13"/>
      <c r="F273" s="189"/>
      <c r="G273" s="189"/>
      <c r="H273" s="189"/>
      <c r="I273" s="189"/>
      <c r="J273" s="189"/>
      <c r="K273" s="189"/>
      <c r="L273" s="189"/>
      <c r="M273" s="189"/>
      <c r="N273" s="189"/>
      <c r="O273" s="189"/>
      <c r="P273" s="189"/>
      <c r="Q273" s="189"/>
      <c r="R273" s="189"/>
      <c r="S273" s="189"/>
      <c r="T273" s="189"/>
      <c r="U273" s="189"/>
      <c r="V273" s="189"/>
      <c r="W273" s="189"/>
      <c r="X273" s="189"/>
      <c r="Y273" s="189"/>
      <c r="Z273" s="189"/>
      <c r="AA273" s="189"/>
      <c r="AB273" s="189"/>
      <c r="AC273" s="189"/>
      <c r="AD273" s="189"/>
      <c r="AE273" s="189"/>
      <c r="AF273" s="189"/>
      <c r="AG273" s="189"/>
      <c r="AH273" s="189"/>
      <c r="AI273" s="189"/>
      <c r="AJ273" s="189"/>
      <c r="AK273" s="189"/>
      <c r="AL273" s="189"/>
      <c r="AM273" s="189"/>
      <c r="AN273" s="189"/>
      <c r="AO273" s="189"/>
      <c r="AP273" s="189"/>
    </row>
    <row r="274" spans="1:42" s="14" customFormat="1" ht="15.45" thickBot="1">
      <c r="A274" s="21">
        <v>20</v>
      </c>
      <c r="B274" s="12" t="s">
        <v>462</v>
      </c>
      <c r="C274" s="13" t="s">
        <v>351</v>
      </c>
      <c r="D274" s="13"/>
      <c r="E274" s="13"/>
      <c r="F274" s="189"/>
      <c r="G274" s="189"/>
      <c r="H274" s="189"/>
      <c r="I274" s="189"/>
      <c r="J274" s="189"/>
      <c r="K274" s="189"/>
      <c r="L274" s="189"/>
      <c r="M274" s="189"/>
      <c r="N274" s="189"/>
      <c r="O274" s="189"/>
      <c r="P274" s="189"/>
      <c r="Q274" s="189"/>
      <c r="R274" s="189"/>
      <c r="S274" s="189"/>
      <c r="T274" s="189"/>
      <c r="U274" s="189"/>
      <c r="V274" s="189"/>
      <c r="W274" s="189"/>
      <c r="X274" s="189"/>
      <c r="Y274" s="189"/>
      <c r="Z274" s="189"/>
      <c r="AA274" s="189"/>
      <c r="AB274" s="189"/>
      <c r="AC274" s="189"/>
      <c r="AD274" s="189"/>
      <c r="AE274" s="189"/>
      <c r="AF274" s="189"/>
      <c r="AG274" s="189"/>
      <c r="AH274" s="189"/>
      <c r="AI274" s="189"/>
      <c r="AJ274" s="189"/>
      <c r="AK274" s="189"/>
      <c r="AL274" s="189"/>
      <c r="AM274" s="189"/>
      <c r="AN274" s="189"/>
      <c r="AO274" s="189"/>
      <c r="AP274" s="189"/>
    </row>
    <row r="275" spans="1:42" s="14" customFormat="1" ht="15.45" thickBot="1">
      <c r="A275" s="21">
        <v>21</v>
      </c>
      <c r="B275" s="12" t="s">
        <v>464</v>
      </c>
      <c r="C275" s="13" t="s">
        <v>463</v>
      </c>
      <c r="D275" s="13"/>
      <c r="E275" s="13"/>
      <c r="F275" s="189"/>
      <c r="G275" s="189"/>
      <c r="H275" s="189"/>
      <c r="I275" s="189"/>
      <c r="J275" s="189"/>
      <c r="K275" s="189"/>
      <c r="L275" s="189"/>
      <c r="M275" s="189"/>
      <c r="N275" s="189"/>
      <c r="O275" s="189"/>
      <c r="P275" s="189"/>
      <c r="Q275" s="189"/>
      <c r="R275" s="189"/>
      <c r="S275" s="189"/>
      <c r="T275" s="189"/>
      <c r="U275" s="189"/>
      <c r="V275" s="189"/>
      <c r="W275" s="189"/>
      <c r="X275" s="189"/>
      <c r="Y275" s="189"/>
      <c r="Z275" s="189"/>
      <c r="AA275" s="189"/>
      <c r="AB275" s="189"/>
      <c r="AC275" s="189"/>
      <c r="AD275" s="189"/>
      <c r="AE275" s="189"/>
      <c r="AF275" s="189"/>
      <c r="AG275" s="189"/>
      <c r="AH275" s="189"/>
      <c r="AI275" s="189"/>
      <c r="AJ275" s="189"/>
      <c r="AK275" s="189"/>
      <c r="AL275" s="189"/>
      <c r="AM275" s="189"/>
      <c r="AN275" s="189"/>
      <c r="AO275" s="189"/>
      <c r="AP275" s="189"/>
    </row>
    <row r="276" spans="1:42" s="14" customFormat="1" ht="15.45" thickBot="1">
      <c r="A276" s="21">
        <v>22</v>
      </c>
      <c r="B276" s="12" t="s">
        <v>465</v>
      </c>
      <c r="C276" s="13" t="s">
        <v>352</v>
      </c>
      <c r="D276" s="13"/>
      <c r="E276" s="13"/>
      <c r="F276" s="189"/>
      <c r="G276" s="189"/>
      <c r="H276" s="189"/>
      <c r="I276" s="189"/>
      <c r="J276" s="189"/>
      <c r="K276" s="189"/>
      <c r="L276" s="189"/>
      <c r="M276" s="189"/>
      <c r="N276" s="189"/>
      <c r="O276" s="189"/>
      <c r="P276" s="189"/>
      <c r="Q276" s="189"/>
      <c r="R276" s="189"/>
      <c r="S276" s="189"/>
      <c r="T276" s="189"/>
      <c r="U276" s="189"/>
      <c r="V276" s="189"/>
      <c r="W276" s="189"/>
      <c r="X276" s="189"/>
      <c r="Y276" s="189"/>
      <c r="Z276" s="189"/>
      <c r="AA276" s="189"/>
      <c r="AB276" s="189"/>
      <c r="AC276" s="189"/>
      <c r="AD276" s="189"/>
      <c r="AE276" s="189"/>
      <c r="AF276" s="189"/>
      <c r="AG276" s="189"/>
      <c r="AH276" s="189"/>
      <c r="AI276" s="189"/>
      <c r="AJ276" s="189"/>
      <c r="AK276" s="189"/>
      <c r="AL276" s="189"/>
      <c r="AM276" s="189"/>
      <c r="AN276" s="189"/>
      <c r="AO276" s="189"/>
      <c r="AP276" s="189"/>
    </row>
    <row r="277" spans="1:42" s="14" customFormat="1" ht="15.45" thickBot="1">
      <c r="A277" s="21">
        <v>23</v>
      </c>
      <c r="B277" s="12" t="s">
        <v>467</v>
      </c>
      <c r="C277" s="13" t="s">
        <v>18</v>
      </c>
      <c r="D277" s="13"/>
      <c r="E277" s="13"/>
      <c r="F277" s="189"/>
      <c r="G277" s="189"/>
      <c r="H277" s="189"/>
      <c r="I277" s="189"/>
      <c r="J277" s="189"/>
      <c r="K277" s="189"/>
      <c r="L277" s="189"/>
      <c r="M277" s="189"/>
      <c r="N277" s="189"/>
      <c r="O277" s="189"/>
      <c r="P277" s="189"/>
      <c r="Q277" s="189"/>
      <c r="R277" s="189"/>
      <c r="S277" s="189"/>
      <c r="T277" s="189"/>
      <c r="U277" s="189"/>
      <c r="V277" s="189"/>
      <c r="W277" s="189"/>
      <c r="X277" s="189"/>
      <c r="Y277" s="189"/>
      <c r="Z277" s="189"/>
      <c r="AA277" s="189"/>
      <c r="AB277" s="189"/>
      <c r="AC277" s="189"/>
      <c r="AD277" s="189"/>
      <c r="AE277" s="189"/>
      <c r="AF277" s="189"/>
      <c r="AG277" s="189"/>
      <c r="AH277" s="189"/>
      <c r="AI277" s="189"/>
      <c r="AJ277" s="189"/>
      <c r="AK277" s="189"/>
      <c r="AL277" s="189"/>
      <c r="AM277" s="189"/>
      <c r="AN277" s="189"/>
      <c r="AO277" s="189"/>
      <c r="AP277" s="189"/>
    </row>
    <row r="278" spans="1:42" s="14" customFormat="1" ht="16.5" customHeight="1" thickBot="1">
      <c r="A278" s="21">
        <v>24</v>
      </c>
      <c r="B278" s="12" t="s">
        <v>468</v>
      </c>
      <c r="C278" s="13" t="s">
        <v>353</v>
      </c>
      <c r="D278" s="13"/>
      <c r="E278" s="13"/>
      <c r="F278" s="189"/>
      <c r="G278" s="189"/>
      <c r="H278" s="189"/>
      <c r="I278" s="189"/>
      <c r="J278" s="189"/>
      <c r="K278" s="189"/>
      <c r="L278" s="189"/>
      <c r="M278" s="189"/>
      <c r="N278" s="189"/>
      <c r="O278" s="189"/>
      <c r="P278" s="189"/>
      <c r="Q278" s="189"/>
      <c r="R278" s="189"/>
      <c r="S278" s="189"/>
      <c r="T278" s="189"/>
      <c r="U278" s="189"/>
      <c r="V278" s="189"/>
      <c r="W278" s="189"/>
      <c r="X278" s="189"/>
      <c r="Y278" s="189"/>
      <c r="Z278" s="189"/>
      <c r="AA278" s="189"/>
      <c r="AB278" s="189"/>
      <c r="AC278" s="189"/>
      <c r="AD278" s="189"/>
      <c r="AE278" s="189"/>
      <c r="AF278" s="189"/>
      <c r="AG278" s="189"/>
      <c r="AH278" s="189"/>
      <c r="AI278" s="189"/>
      <c r="AJ278" s="189"/>
      <c r="AK278" s="189"/>
      <c r="AL278" s="189"/>
      <c r="AM278" s="189"/>
      <c r="AN278" s="189"/>
      <c r="AO278" s="189"/>
      <c r="AP278" s="189"/>
    </row>
    <row r="279" spans="1:42" s="14" customFormat="1" ht="15.45" thickBot="1">
      <c r="A279" s="21">
        <v>25</v>
      </c>
      <c r="B279" s="12" t="s">
        <v>68</v>
      </c>
      <c r="C279" s="13" t="s">
        <v>19</v>
      </c>
      <c r="D279" s="13"/>
      <c r="E279" s="13"/>
      <c r="F279" s="189"/>
      <c r="G279" s="189"/>
      <c r="H279" s="189"/>
      <c r="I279" s="189"/>
      <c r="J279" s="189"/>
      <c r="K279" s="189"/>
      <c r="L279" s="189"/>
      <c r="M279" s="189"/>
      <c r="N279" s="189"/>
      <c r="O279" s="189"/>
      <c r="P279" s="189"/>
      <c r="Q279" s="189"/>
      <c r="R279" s="189"/>
      <c r="S279" s="189"/>
      <c r="T279" s="189"/>
      <c r="U279" s="189"/>
      <c r="V279" s="189"/>
      <c r="W279" s="189"/>
      <c r="X279" s="189"/>
      <c r="Y279" s="189"/>
      <c r="Z279" s="189"/>
      <c r="AA279" s="189"/>
      <c r="AB279" s="189"/>
      <c r="AC279" s="189"/>
      <c r="AD279" s="189"/>
      <c r="AE279" s="189"/>
      <c r="AF279" s="189"/>
      <c r="AG279" s="189"/>
      <c r="AH279" s="189"/>
      <c r="AI279" s="189"/>
      <c r="AJ279" s="189"/>
      <c r="AK279" s="189"/>
      <c r="AL279" s="189"/>
      <c r="AM279" s="189"/>
      <c r="AN279" s="189"/>
      <c r="AO279" s="189"/>
      <c r="AP279" s="189"/>
    </row>
    <row r="280" spans="1:42" s="14" customFormat="1" ht="15.45" thickBot="1">
      <c r="A280" s="21">
        <v>26</v>
      </c>
      <c r="B280" s="12" t="s">
        <v>469</v>
      </c>
      <c r="C280" s="13" t="s">
        <v>20</v>
      </c>
      <c r="D280" s="13"/>
      <c r="E280" s="13"/>
      <c r="F280" s="189"/>
      <c r="G280" s="189"/>
      <c r="H280" s="189"/>
      <c r="I280" s="189"/>
      <c r="J280" s="189"/>
      <c r="K280" s="189"/>
      <c r="L280" s="189"/>
      <c r="M280" s="189"/>
      <c r="N280" s="189"/>
      <c r="O280" s="189"/>
      <c r="P280" s="189"/>
      <c r="Q280" s="189"/>
      <c r="R280" s="189"/>
      <c r="S280" s="189"/>
      <c r="T280" s="189"/>
      <c r="U280" s="189"/>
      <c r="V280" s="189"/>
      <c r="W280" s="189"/>
      <c r="X280" s="189"/>
      <c r="Y280" s="189"/>
      <c r="Z280" s="189"/>
      <c r="AA280" s="189"/>
      <c r="AB280" s="189"/>
      <c r="AC280" s="189"/>
      <c r="AD280" s="189"/>
      <c r="AE280" s="189"/>
      <c r="AF280" s="189"/>
      <c r="AG280" s="189"/>
      <c r="AH280" s="189"/>
      <c r="AI280" s="189"/>
      <c r="AJ280" s="189"/>
      <c r="AK280" s="189"/>
      <c r="AL280" s="189"/>
      <c r="AM280" s="189"/>
      <c r="AN280" s="189"/>
      <c r="AO280" s="189"/>
      <c r="AP280" s="189"/>
    </row>
    <row r="281" spans="1:42" s="14" customFormat="1" ht="15.45" thickBot="1">
      <c r="A281" s="21">
        <v>27</v>
      </c>
      <c r="B281" s="12" t="s">
        <v>470</v>
      </c>
      <c r="C281" s="13" t="s">
        <v>354</v>
      </c>
      <c r="D281" s="13"/>
      <c r="E281" s="13"/>
      <c r="F281" s="189"/>
      <c r="G281" s="189"/>
      <c r="H281" s="189"/>
      <c r="I281" s="189"/>
      <c r="J281" s="189"/>
      <c r="K281" s="189"/>
      <c r="L281" s="189"/>
      <c r="M281" s="189"/>
      <c r="N281" s="189"/>
      <c r="O281" s="189"/>
      <c r="P281" s="189"/>
      <c r="Q281" s="189"/>
      <c r="R281" s="189"/>
      <c r="S281" s="189"/>
      <c r="T281" s="189"/>
      <c r="U281" s="189"/>
      <c r="V281" s="189"/>
      <c r="W281" s="189"/>
      <c r="X281" s="189"/>
      <c r="Y281" s="189"/>
      <c r="Z281" s="189"/>
      <c r="AA281" s="189"/>
      <c r="AB281" s="189"/>
      <c r="AC281" s="189"/>
      <c r="AD281" s="189"/>
      <c r="AE281" s="189"/>
      <c r="AF281" s="189"/>
      <c r="AG281" s="189"/>
      <c r="AH281" s="189"/>
      <c r="AI281" s="189"/>
      <c r="AJ281" s="189"/>
      <c r="AK281" s="189"/>
      <c r="AL281" s="189"/>
      <c r="AM281" s="189"/>
      <c r="AN281" s="189"/>
      <c r="AO281" s="189"/>
      <c r="AP281" s="189"/>
    </row>
    <row r="282" spans="1:42" s="14" customFormat="1" ht="17.25" customHeight="1" thickBot="1">
      <c r="A282" s="21">
        <v>28</v>
      </c>
      <c r="B282" s="12" t="s">
        <v>471</v>
      </c>
      <c r="C282" s="13" t="s">
        <v>355</v>
      </c>
      <c r="D282" s="13"/>
      <c r="E282" s="13"/>
      <c r="F282" s="189"/>
      <c r="G282" s="189"/>
      <c r="H282" s="189"/>
      <c r="I282" s="189"/>
      <c r="J282" s="189"/>
      <c r="K282" s="189"/>
      <c r="L282" s="189"/>
      <c r="M282" s="189"/>
      <c r="N282" s="189"/>
      <c r="O282" s="189"/>
      <c r="P282" s="189"/>
      <c r="Q282" s="189"/>
      <c r="R282" s="189"/>
      <c r="S282" s="189"/>
      <c r="T282" s="189"/>
      <c r="U282" s="189"/>
      <c r="V282" s="189"/>
      <c r="W282" s="189"/>
      <c r="X282" s="189"/>
      <c r="Y282" s="189"/>
      <c r="Z282" s="189"/>
      <c r="AA282" s="189"/>
      <c r="AB282" s="189"/>
      <c r="AC282" s="189"/>
      <c r="AD282" s="189"/>
      <c r="AE282" s="189"/>
      <c r="AF282" s="189"/>
      <c r="AG282" s="189"/>
      <c r="AH282" s="189"/>
      <c r="AI282" s="189"/>
      <c r="AJ282" s="189"/>
      <c r="AK282" s="189"/>
      <c r="AL282" s="189"/>
      <c r="AM282" s="189"/>
      <c r="AN282" s="189"/>
      <c r="AO282" s="189"/>
      <c r="AP282" s="189"/>
    </row>
    <row r="283" spans="1:42" s="14" customFormat="1" ht="15.45" thickBot="1">
      <c r="A283" s="21">
        <v>29</v>
      </c>
      <c r="B283" s="12" t="s">
        <v>9</v>
      </c>
      <c r="C283" s="13" t="s">
        <v>21</v>
      </c>
      <c r="D283" s="13"/>
      <c r="E283" s="13"/>
      <c r="F283" s="189"/>
      <c r="G283" s="189"/>
      <c r="H283" s="189"/>
      <c r="I283" s="189"/>
      <c r="J283" s="189"/>
      <c r="K283" s="189"/>
      <c r="L283" s="189"/>
      <c r="M283" s="189"/>
      <c r="N283" s="189"/>
      <c r="O283" s="189"/>
      <c r="P283" s="189"/>
      <c r="Q283" s="189"/>
      <c r="R283" s="189"/>
      <c r="S283" s="189"/>
      <c r="T283" s="189"/>
      <c r="U283" s="189"/>
      <c r="V283" s="189"/>
      <c r="W283" s="189"/>
      <c r="X283" s="189"/>
      <c r="Y283" s="189"/>
      <c r="Z283" s="189"/>
      <c r="AA283" s="189"/>
      <c r="AB283" s="189"/>
      <c r="AC283" s="189"/>
      <c r="AD283" s="189"/>
      <c r="AE283" s="189"/>
      <c r="AF283" s="189"/>
      <c r="AG283" s="189"/>
      <c r="AH283" s="189"/>
      <c r="AI283" s="189"/>
      <c r="AJ283" s="189"/>
      <c r="AK283" s="189"/>
      <c r="AL283" s="189"/>
      <c r="AM283" s="189"/>
      <c r="AN283" s="189"/>
      <c r="AO283" s="189"/>
      <c r="AP283" s="189"/>
    </row>
    <row r="284" spans="1:42" s="14" customFormat="1" ht="15.45" thickBot="1">
      <c r="A284" s="21">
        <v>30</v>
      </c>
      <c r="B284" s="12" t="s">
        <v>10</v>
      </c>
      <c r="C284" s="13" t="s">
        <v>356</v>
      </c>
      <c r="D284" s="13"/>
      <c r="E284" s="13"/>
      <c r="F284" s="189"/>
      <c r="G284" s="189"/>
      <c r="H284" s="189"/>
      <c r="I284" s="189"/>
      <c r="J284" s="189"/>
      <c r="K284" s="189"/>
      <c r="L284" s="189"/>
      <c r="M284" s="189"/>
      <c r="N284" s="189"/>
      <c r="O284" s="189"/>
      <c r="P284" s="189"/>
      <c r="Q284" s="189"/>
      <c r="R284" s="189"/>
      <c r="S284" s="189"/>
      <c r="T284" s="189"/>
      <c r="U284" s="189"/>
      <c r="V284" s="189"/>
      <c r="W284" s="189"/>
      <c r="X284" s="189"/>
      <c r="Y284" s="189"/>
      <c r="Z284" s="189"/>
      <c r="AA284" s="189"/>
      <c r="AB284" s="189"/>
      <c r="AC284" s="189"/>
      <c r="AD284" s="189"/>
      <c r="AE284" s="189"/>
      <c r="AF284" s="189"/>
      <c r="AG284" s="189"/>
      <c r="AH284" s="189"/>
      <c r="AI284" s="189"/>
      <c r="AJ284" s="189"/>
      <c r="AK284" s="189"/>
      <c r="AL284" s="189"/>
      <c r="AM284" s="189"/>
      <c r="AN284" s="189"/>
      <c r="AO284" s="189"/>
      <c r="AP284" s="189"/>
    </row>
    <row r="285" spans="1:42" s="14" customFormat="1" ht="15.45" thickBot="1">
      <c r="A285" s="21">
        <v>31</v>
      </c>
      <c r="B285" s="12" t="s">
        <v>11</v>
      </c>
      <c r="C285" s="13" t="s">
        <v>357</v>
      </c>
      <c r="D285" s="13"/>
      <c r="E285" s="13"/>
      <c r="F285" s="189"/>
      <c r="G285" s="189"/>
      <c r="H285" s="189"/>
      <c r="I285" s="189"/>
      <c r="J285" s="189"/>
      <c r="K285" s="189"/>
      <c r="L285" s="189"/>
      <c r="M285" s="189"/>
      <c r="N285" s="189"/>
      <c r="O285" s="189"/>
      <c r="P285" s="189"/>
      <c r="Q285" s="189"/>
      <c r="R285" s="189"/>
      <c r="S285" s="189"/>
      <c r="T285" s="189"/>
      <c r="U285" s="189"/>
      <c r="V285" s="189"/>
      <c r="W285" s="189"/>
      <c r="X285" s="189"/>
      <c r="Y285" s="189"/>
      <c r="Z285" s="189"/>
      <c r="AA285" s="189"/>
      <c r="AB285" s="189"/>
      <c r="AC285" s="189"/>
      <c r="AD285" s="189"/>
      <c r="AE285" s="189"/>
      <c r="AF285" s="189"/>
      <c r="AG285" s="189"/>
      <c r="AH285" s="189"/>
      <c r="AI285" s="189"/>
      <c r="AJ285" s="189"/>
      <c r="AK285" s="189"/>
      <c r="AL285" s="189"/>
      <c r="AM285" s="189"/>
      <c r="AN285" s="189"/>
      <c r="AO285" s="189"/>
      <c r="AP285" s="189"/>
    </row>
    <row r="286" spans="1:42" s="14" customFormat="1" ht="15.45" thickBot="1">
      <c r="A286" s="21">
        <v>32</v>
      </c>
      <c r="B286" s="12" t="s">
        <v>13</v>
      </c>
      <c r="C286" s="13" t="s">
        <v>22</v>
      </c>
      <c r="D286" s="13"/>
      <c r="E286" s="13"/>
      <c r="F286" s="189"/>
      <c r="G286" s="189"/>
      <c r="H286" s="189"/>
      <c r="I286" s="189"/>
      <c r="J286" s="189"/>
      <c r="K286" s="189"/>
      <c r="L286" s="189"/>
      <c r="M286" s="189"/>
      <c r="N286" s="189"/>
      <c r="O286" s="189"/>
      <c r="P286" s="189"/>
      <c r="Q286" s="189"/>
      <c r="R286" s="189"/>
      <c r="S286" s="189"/>
      <c r="T286" s="189"/>
      <c r="U286" s="189"/>
      <c r="V286" s="189"/>
      <c r="W286" s="189"/>
      <c r="X286" s="189"/>
      <c r="Y286" s="189"/>
      <c r="Z286" s="189"/>
      <c r="AA286" s="189"/>
      <c r="AB286" s="189"/>
      <c r="AC286" s="189"/>
      <c r="AD286" s="189"/>
      <c r="AE286" s="189"/>
      <c r="AF286" s="189"/>
      <c r="AG286" s="189"/>
      <c r="AH286" s="189"/>
      <c r="AI286" s="189"/>
      <c r="AJ286" s="189"/>
      <c r="AK286" s="189"/>
      <c r="AL286" s="189"/>
      <c r="AM286" s="189"/>
      <c r="AN286" s="189"/>
      <c r="AO286" s="189"/>
      <c r="AP286" s="189"/>
    </row>
    <row r="287" spans="1:42" s="14" customFormat="1" ht="15.45" thickBot="1">
      <c r="A287" s="21">
        <v>33</v>
      </c>
      <c r="B287" s="12" t="s">
        <v>12</v>
      </c>
      <c r="C287" s="13" t="s">
        <v>358</v>
      </c>
      <c r="D287" s="13"/>
      <c r="E287" s="13"/>
      <c r="F287" s="189"/>
      <c r="G287" s="189"/>
      <c r="H287" s="189"/>
      <c r="I287" s="189"/>
      <c r="J287" s="189"/>
      <c r="K287" s="189"/>
      <c r="L287" s="189"/>
      <c r="M287" s="189"/>
      <c r="N287" s="189"/>
      <c r="O287" s="189"/>
      <c r="P287" s="189"/>
      <c r="Q287" s="189"/>
      <c r="R287" s="189"/>
      <c r="S287" s="189"/>
      <c r="T287" s="189"/>
      <c r="U287" s="189"/>
      <c r="V287" s="189"/>
      <c r="W287" s="189"/>
      <c r="X287" s="189"/>
      <c r="Y287" s="189"/>
      <c r="Z287" s="189"/>
      <c r="AA287" s="189"/>
      <c r="AB287" s="189"/>
      <c r="AC287" s="189"/>
      <c r="AD287" s="189"/>
      <c r="AE287" s="189"/>
      <c r="AF287" s="189"/>
      <c r="AG287" s="189"/>
      <c r="AH287" s="189"/>
      <c r="AI287" s="189"/>
      <c r="AJ287" s="189"/>
      <c r="AK287" s="189"/>
      <c r="AL287" s="189"/>
      <c r="AM287" s="189"/>
      <c r="AN287" s="189"/>
      <c r="AO287" s="189"/>
      <c r="AP287" s="189"/>
    </row>
    <row r="288" spans="1:42" s="14" customFormat="1" ht="15.45" thickBot="1">
      <c r="A288" s="21">
        <v>34</v>
      </c>
      <c r="B288" s="12" t="s">
        <v>14</v>
      </c>
      <c r="C288" s="13" t="s">
        <v>359</v>
      </c>
      <c r="D288" s="13"/>
      <c r="E288" s="13"/>
      <c r="F288" s="189"/>
      <c r="G288" s="189"/>
      <c r="H288" s="189"/>
      <c r="I288" s="189"/>
      <c r="J288" s="189"/>
      <c r="K288" s="189"/>
      <c r="L288" s="189"/>
      <c r="M288" s="189"/>
      <c r="N288" s="189"/>
      <c r="O288" s="189"/>
      <c r="P288" s="189"/>
      <c r="Q288" s="189"/>
      <c r="R288" s="189"/>
      <c r="S288" s="189"/>
      <c r="T288" s="189"/>
      <c r="U288" s="189"/>
      <c r="V288" s="189"/>
      <c r="W288" s="189"/>
      <c r="X288" s="189"/>
      <c r="Y288" s="189"/>
      <c r="Z288" s="189"/>
      <c r="AA288" s="189"/>
      <c r="AB288" s="189"/>
      <c r="AC288" s="189"/>
      <c r="AD288" s="189"/>
      <c r="AE288" s="189"/>
      <c r="AF288" s="189"/>
      <c r="AG288" s="189"/>
      <c r="AH288" s="189"/>
      <c r="AI288" s="189"/>
      <c r="AJ288" s="189"/>
      <c r="AK288" s="189"/>
      <c r="AL288" s="189"/>
      <c r="AM288" s="189"/>
      <c r="AN288" s="189"/>
      <c r="AO288" s="189"/>
      <c r="AP288" s="189"/>
    </row>
    <row r="289" spans="1:42" s="14" customFormat="1" ht="15.45" thickBot="1">
      <c r="A289" s="21">
        <v>35</v>
      </c>
      <c r="B289" s="12" t="s">
        <v>15</v>
      </c>
      <c r="C289" s="13" t="s">
        <v>360</v>
      </c>
      <c r="D289" s="13"/>
      <c r="E289" s="13"/>
      <c r="F289" s="189"/>
      <c r="G289" s="189"/>
      <c r="H289" s="189"/>
      <c r="I289" s="189"/>
      <c r="J289" s="189"/>
      <c r="K289" s="189"/>
      <c r="L289" s="189"/>
      <c r="M289" s="189"/>
      <c r="N289" s="189"/>
      <c r="O289" s="189"/>
      <c r="P289" s="189"/>
      <c r="Q289" s="189"/>
      <c r="R289" s="189"/>
      <c r="S289" s="189"/>
      <c r="T289" s="189"/>
      <c r="U289" s="189"/>
      <c r="V289" s="189"/>
      <c r="W289" s="189"/>
      <c r="X289" s="189"/>
      <c r="Y289" s="189"/>
      <c r="Z289" s="189"/>
      <c r="AA289" s="189"/>
      <c r="AB289" s="189"/>
      <c r="AC289" s="189"/>
      <c r="AD289" s="189"/>
      <c r="AE289" s="189"/>
      <c r="AF289" s="189"/>
      <c r="AG289" s="189"/>
      <c r="AH289" s="189"/>
      <c r="AI289" s="189"/>
      <c r="AJ289" s="189"/>
      <c r="AK289" s="189"/>
      <c r="AL289" s="189"/>
      <c r="AM289" s="189"/>
      <c r="AN289" s="189"/>
      <c r="AO289" s="189"/>
      <c r="AP289" s="189"/>
    </row>
    <row r="290" spans="1:42" s="14" customFormat="1" ht="15.45" thickBot="1">
      <c r="A290" s="21">
        <v>36</v>
      </c>
      <c r="B290" s="12"/>
      <c r="C290" s="13" t="s">
        <v>472</v>
      </c>
      <c r="D290" s="13"/>
      <c r="E290" s="13"/>
      <c r="F290" s="189"/>
      <c r="G290" s="189"/>
      <c r="H290" s="189"/>
      <c r="I290" s="189"/>
      <c r="J290" s="189"/>
      <c r="K290" s="189"/>
      <c r="L290" s="189"/>
      <c r="M290" s="189"/>
      <c r="N290" s="189"/>
      <c r="O290" s="189"/>
      <c r="P290" s="189"/>
      <c r="Q290" s="189"/>
      <c r="R290" s="189"/>
      <c r="S290" s="189"/>
      <c r="T290" s="189"/>
      <c r="U290" s="189"/>
      <c r="V290" s="189"/>
      <c r="W290" s="189"/>
      <c r="X290" s="189"/>
      <c r="Y290" s="189"/>
      <c r="Z290" s="189"/>
      <c r="AA290" s="189"/>
      <c r="AB290" s="189"/>
      <c r="AC290" s="189"/>
      <c r="AD290" s="189"/>
      <c r="AE290" s="189"/>
      <c r="AF290" s="189"/>
      <c r="AG290" s="189"/>
      <c r="AH290" s="189"/>
      <c r="AI290" s="189"/>
      <c r="AJ290" s="189"/>
      <c r="AK290" s="189"/>
      <c r="AL290" s="189"/>
      <c r="AM290" s="189"/>
      <c r="AN290" s="189"/>
      <c r="AO290" s="189"/>
      <c r="AP290" s="189"/>
    </row>
    <row r="291" spans="1:42" s="14" customFormat="1" ht="15.45" thickBot="1">
      <c r="A291" s="21">
        <v>37</v>
      </c>
      <c r="B291" s="12" t="s">
        <v>259</v>
      </c>
      <c r="C291" s="13" t="s">
        <v>473</v>
      </c>
      <c r="D291" s="13"/>
      <c r="E291" s="13"/>
      <c r="F291" s="189"/>
      <c r="G291" s="189"/>
      <c r="H291" s="189"/>
      <c r="I291" s="189"/>
      <c r="J291" s="189"/>
      <c r="K291" s="189"/>
      <c r="L291" s="189"/>
      <c r="M291" s="189"/>
      <c r="N291" s="189"/>
      <c r="O291" s="189"/>
      <c r="P291" s="189"/>
      <c r="Q291" s="189"/>
      <c r="R291" s="189"/>
      <c r="S291" s="189"/>
      <c r="T291" s="189"/>
      <c r="U291" s="189"/>
      <c r="V291" s="189"/>
      <c r="W291" s="189"/>
      <c r="X291" s="189"/>
      <c r="Y291" s="189"/>
      <c r="Z291" s="189"/>
      <c r="AA291" s="189"/>
      <c r="AB291" s="189"/>
      <c r="AC291" s="189"/>
      <c r="AD291" s="189"/>
      <c r="AE291" s="189"/>
      <c r="AF291" s="189"/>
      <c r="AG291" s="189"/>
      <c r="AH291" s="189"/>
      <c r="AI291" s="189"/>
      <c r="AJ291" s="189"/>
      <c r="AK291" s="189"/>
      <c r="AL291" s="189"/>
      <c r="AM291" s="189"/>
      <c r="AN291" s="189"/>
      <c r="AO291" s="189"/>
      <c r="AP291" s="189"/>
    </row>
    <row r="292" spans="1:42" s="14" customFormat="1" ht="15.45" thickBot="1">
      <c r="A292" s="21">
        <v>38</v>
      </c>
      <c r="B292" s="149" t="s">
        <v>291</v>
      </c>
      <c r="C292" s="13" t="s">
        <v>474</v>
      </c>
      <c r="D292" s="13"/>
      <c r="E292" s="13"/>
      <c r="F292" s="189"/>
      <c r="G292" s="189"/>
      <c r="H292" s="189"/>
      <c r="I292" s="189"/>
      <c r="J292" s="189"/>
      <c r="K292" s="189"/>
      <c r="L292" s="189"/>
      <c r="M292" s="189"/>
      <c r="N292" s="189"/>
      <c r="O292" s="189"/>
      <c r="P292" s="189"/>
      <c r="Q292" s="189"/>
      <c r="R292" s="189"/>
      <c r="S292" s="189"/>
      <c r="T292" s="189"/>
      <c r="U292" s="189"/>
      <c r="V292" s="189"/>
      <c r="W292" s="189"/>
      <c r="X292" s="189"/>
      <c r="Y292" s="189"/>
      <c r="Z292" s="189"/>
      <c r="AA292" s="189"/>
      <c r="AB292" s="189"/>
      <c r="AC292" s="189"/>
      <c r="AD292" s="189"/>
      <c r="AE292" s="189"/>
      <c r="AF292" s="189"/>
      <c r="AG292" s="189"/>
      <c r="AH292" s="189"/>
      <c r="AI292" s="189"/>
      <c r="AJ292" s="189"/>
      <c r="AK292" s="189"/>
      <c r="AL292" s="189"/>
      <c r="AM292" s="189"/>
      <c r="AN292" s="189"/>
      <c r="AO292" s="189"/>
      <c r="AP292" s="189"/>
    </row>
    <row r="293" spans="1:42" s="14" customFormat="1" ht="15.45" thickBot="1">
      <c r="A293" s="21">
        <v>39</v>
      </c>
      <c r="B293" s="12" t="s">
        <v>260</v>
      </c>
      <c r="C293" s="13" t="s">
        <v>361</v>
      </c>
      <c r="D293" s="13"/>
      <c r="E293" s="13"/>
      <c r="F293" s="189"/>
      <c r="G293" s="189"/>
      <c r="H293" s="189"/>
      <c r="I293" s="189"/>
      <c r="J293" s="189"/>
      <c r="K293" s="189"/>
      <c r="L293" s="189"/>
      <c r="M293" s="189"/>
      <c r="N293" s="189"/>
      <c r="O293" s="189"/>
      <c r="P293" s="189"/>
      <c r="Q293" s="189"/>
      <c r="R293" s="189"/>
      <c r="S293" s="189"/>
      <c r="T293" s="189"/>
      <c r="U293" s="189"/>
      <c r="V293" s="189"/>
      <c r="W293" s="189"/>
      <c r="X293" s="189"/>
      <c r="Y293" s="189"/>
      <c r="Z293" s="189"/>
      <c r="AA293" s="189"/>
      <c r="AB293" s="189"/>
      <c r="AC293" s="189"/>
      <c r="AD293" s="189"/>
      <c r="AE293" s="189"/>
      <c r="AF293" s="189"/>
      <c r="AG293" s="189"/>
      <c r="AH293" s="189"/>
      <c r="AI293" s="189"/>
      <c r="AJ293" s="189"/>
      <c r="AK293" s="189"/>
      <c r="AL293" s="189"/>
      <c r="AM293" s="189"/>
      <c r="AN293" s="189"/>
      <c r="AO293" s="189"/>
      <c r="AP293" s="189"/>
    </row>
    <row r="294" spans="1:42" s="14" customFormat="1" ht="15.45" thickBot="1">
      <c r="A294" s="21">
        <v>40</v>
      </c>
      <c r="B294" s="12" t="s">
        <v>261</v>
      </c>
      <c r="C294" s="13" t="s">
        <v>362</v>
      </c>
      <c r="D294" s="13"/>
      <c r="E294" s="13"/>
      <c r="F294" s="189"/>
      <c r="G294" s="189"/>
      <c r="H294" s="189"/>
      <c r="I294" s="189"/>
      <c r="J294" s="189"/>
      <c r="K294" s="189"/>
      <c r="L294" s="189"/>
      <c r="M294" s="189"/>
      <c r="N294" s="189"/>
      <c r="O294" s="189"/>
      <c r="P294" s="189"/>
      <c r="Q294" s="189"/>
      <c r="R294" s="189"/>
      <c r="S294" s="189"/>
      <c r="T294" s="189"/>
      <c r="U294" s="189"/>
      <c r="V294" s="189"/>
      <c r="W294" s="189"/>
      <c r="X294" s="189"/>
      <c r="Y294" s="189"/>
      <c r="Z294" s="189"/>
      <c r="AA294" s="189"/>
      <c r="AB294" s="189"/>
      <c r="AC294" s="189"/>
      <c r="AD294" s="189"/>
      <c r="AE294" s="189"/>
      <c r="AF294" s="189"/>
      <c r="AG294" s="189"/>
      <c r="AH294" s="189"/>
      <c r="AI294" s="189"/>
      <c r="AJ294" s="189"/>
      <c r="AK294" s="189"/>
      <c r="AL294" s="189"/>
      <c r="AM294" s="189"/>
      <c r="AN294" s="189"/>
      <c r="AO294" s="189"/>
      <c r="AP294" s="189"/>
    </row>
    <row r="295" spans="1:42" s="14" customFormat="1" ht="15.45" thickBot="1">
      <c r="A295" s="21">
        <v>41</v>
      </c>
      <c r="B295" s="12" t="s">
        <v>262</v>
      </c>
      <c r="C295" s="13" t="s">
        <v>363</v>
      </c>
      <c r="D295" s="13"/>
      <c r="E295" s="13"/>
      <c r="F295" s="189"/>
      <c r="G295" s="189"/>
      <c r="H295" s="189"/>
      <c r="I295" s="189"/>
      <c r="J295" s="189"/>
      <c r="K295" s="189"/>
      <c r="L295" s="189"/>
      <c r="M295" s="189"/>
      <c r="N295" s="189"/>
      <c r="O295" s="189"/>
      <c r="P295" s="189"/>
      <c r="Q295" s="189"/>
      <c r="R295" s="189"/>
      <c r="S295" s="189"/>
      <c r="T295" s="189"/>
      <c r="U295" s="189"/>
      <c r="V295" s="189"/>
      <c r="W295" s="189"/>
      <c r="X295" s="189"/>
      <c r="Y295" s="189"/>
      <c r="Z295" s="189"/>
      <c r="AA295" s="189"/>
      <c r="AB295" s="189"/>
      <c r="AC295" s="189"/>
      <c r="AD295" s="189"/>
      <c r="AE295" s="189"/>
      <c r="AF295" s="189"/>
      <c r="AG295" s="189"/>
      <c r="AH295" s="189"/>
      <c r="AI295" s="189"/>
      <c r="AJ295" s="189"/>
      <c r="AK295" s="189"/>
      <c r="AL295" s="189"/>
      <c r="AM295" s="189"/>
      <c r="AN295" s="189"/>
      <c r="AO295" s="189"/>
      <c r="AP295" s="189"/>
    </row>
    <row r="296" spans="1:42" s="14" customFormat="1" ht="15.45" thickBot="1">
      <c r="A296" s="21">
        <v>42</v>
      </c>
      <c r="B296" s="12" t="s">
        <v>263</v>
      </c>
      <c r="C296" s="13" t="s">
        <v>475</v>
      </c>
      <c r="D296" s="13"/>
      <c r="E296" s="13"/>
      <c r="F296" s="189"/>
      <c r="G296" s="189"/>
      <c r="H296" s="189"/>
      <c r="I296" s="189"/>
      <c r="J296" s="189"/>
      <c r="K296" s="189"/>
      <c r="L296" s="189"/>
      <c r="M296" s="189"/>
      <c r="N296" s="189"/>
      <c r="O296" s="189"/>
      <c r="P296" s="189"/>
      <c r="Q296" s="189"/>
      <c r="R296" s="189"/>
      <c r="S296" s="189"/>
      <c r="T296" s="189"/>
      <c r="U296" s="189"/>
      <c r="V296" s="189"/>
      <c r="W296" s="189"/>
      <c r="X296" s="189"/>
      <c r="Y296" s="189"/>
      <c r="Z296" s="189"/>
      <c r="AA296" s="189"/>
      <c r="AB296" s="189"/>
      <c r="AC296" s="189"/>
      <c r="AD296" s="189"/>
      <c r="AE296" s="189"/>
      <c r="AF296" s="189"/>
      <c r="AG296" s="189"/>
      <c r="AH296" s="189"/>
      <c r="AI296" s="189"/>
      <c r="AJ296" s="189"/>
      <c r="AK296" s="189"/>
      <c r="AL296" s="189"/>
      <c r="AM296" s="189"/>
      <c r="AN296" s="189"/>
      <c r="AO296" s="189"/>
      <c r="AP296" s="189"/>
    </row>
    <row r="297" spans="1:42" s="14" customFormat="1" ht="15.45" thickBot="1">
      <c r="A297" s="21">
        <v>43</v>
      </c>
      <c r="B297" s="12" t="s">
        <v>264</v>
      </c>
      <c r="C297" s="13" t="s">
        <v>476</v>
      </c>
      <c r="D297" s="13"/>
      <c r="E297" s="13"/>
      <c r="F297" s="189"/>
      <c r="G297" s="189"/>
      <c r="H297" s="189"/>
      <c r="I297" s="189"/>
      <c r="J297" s="189"/>
      <c r="K297" s="189"/>
      <c r="L297" s="189"/>
      <c r="M297" s="189"/>
      <c r="N297" s="189"/>
      <c r="O297" s="189"/>
      <c r="P297" s="189"/>
      <c r="Q297" s="189"/>
      <c r="R297" s="189"/>
      <c r="S297" s="189"/>
      <c r="T297" s="189"/>
      <c r="U297" s="189"/>
      <c r="V297" s="189"/>
      <c r="W297" s="189"/>
      <c r="X297" s="189"/>
      <c r="Y297" s="189"/>
      <c r="Z297" s="189"/>
      <c r="AA297" s="189"/>
      <c r="AB297" s="189"/>
      <c r="AC297" s="189"/>
      <c r="AD297" s="189"/>
      <c r="AE297" s="189"/>
      <c r="AF297" s="189"/>
      <c r="AG297" s="189"/>
      <c r="AH297" s="189"/>
      <c r="AI297" s="189"/>
      <c r="AJ297" s="189"/>
      <c r="AK297" s="189"/>
      <c r="AL297" s="189"/>
      <c r="AM297" s="189"/>
      <c r="AN297" s="189"/>
      <c r="AO297" s="189"/>
      <c r="AP297" s="189"/>
    </row>
    <row r="298" spans="1:42" s="14" customFormat="1" ht="15.45" thickBot="1">
      <c r="A298" s="21">
        <v>44</v>
      </c>
      <c r="B298" s="12" t="s">
        <v>265</v>
      </c>
      <c r="C298" s="13" t="s">
        <v>364</v>
      </c>
      <c r="D298" s="13"/>
      <c r="E298" s="13"/>
      <c r="F298" s="189"/>
      <c r="G298" s="189"/>
      <c r="H298" s="189"/>
      <c r="I298" s="189"/>
      <c r="J298" s="189"/>
      <c r="K298" s="189"/>
      <c r="L298" s="189"/>
      <c r="M298" s="189"/>
      <c r="N298" s="189"/>
      <c r="O298" s="189"/>
      <c r="P298" s="189"/>
      <c r="Q298" s="189"/>
      <c r="R298" s="189"/>
      <c r="S298" s="189"/>
      <c r="T298" s="189"/>
      <c r="U298" s="189"/>
      <c r="V298" s="189"/>
      <c r="W298" s="189"/>
      <c r="X298" s="189"/>
      <c r="Y298" s="189"/>
      <c r="Z298" s="189"/>
      <c r="AA298" s="189"/>
      <c r="AB298" s="189"/>
      <c r="AC298" s="189"/>
      <c r="AD298" s="189"/>
      <c r="AE298" s="189"/>
      <c r="AF298" s="189"/>
      <c r="AG298" s="189"/>
      <c r="AH298" s="189"/>
      <c r="AI298" s="189"/>
      <c r="AJ298" s="189"/>
      <c r="AK298" s="189"/>
      <c r="AL298" s="189"/>
      <c r="AM298" s="189"/>
      <c r="AN298" s="189"/>
      <c r="AO298" s="189"/>
      <c r="AP298" s="189"/>
    </row>
    <row r="299" spans="1:42" s="14" customFormat="1" ht="15.45" thickBot="1">
      <c r="A299" s="21">
        <v>45</v>
      </c>
      <c r="B299" s="12" t="s">
        <v>266</v>
      </c>
      <c r="C299" s="13" t="s">
        <v>365</v>
      </c>
      <c r="D299" s="13"/>
      <c r="E299" s="13"/>
      <c r="F299" s="189"/>
      <c r="G299" s="189"/>
      <c r="H299" s="189"/>
      <c r="I299" s="189"/>
      <c r="J299" s="189"/>
      <c r="K299" s="189"/>
      <c r="L299" s="189"/>
      <c r="M299" s="189"/>
      <c r="N299" s="189"/>
      <c r="O299" s="189"/>
      <c r="P299" s="189"/>
      <c r="Q299" s="189"/>
      <c r="R299" s="189"/>
      <c r="S299" s="189"/>
      <c r="T299" s="189"/>
      <c r="U299" s="189"/>
      <c r="V299" s="189"/>
      <c r="W299" s="189"/>
      <c r="X299" s="189"/>
      <c r="Y299" s="189"/>
      <c r="Z299" s="189"/>
      <c r="AA299" s="189"/>
      <c r="AB299" s="189"/>
      <c r="AC299" s="189"/>
      <c r="AD299" s="189"/>
      <c r="AE299" s="189"/>
      <c r="AF299" s="189"/>
      <c r="AG299" s="189"/>
      <c r="AH299" s="189"/>
      <c r="AI299" s="189"/>
      <c r="AJ299" s="189"/>
      <c r="AK299" s="189"/>
      <c r="AL299" s="189"/>
      <c r="AM299" s="189"/>
      <c r="AN299" s="189"/>
      <c r="AO299" s="189"/>
      <c r="AP299" s="189"/>
    </row>
    <row r="300" spans="1:42" s="14" customFormat="1" ht="15.45" thickBot="1">
      <c r="A300" s="21">
        <v>46</v>
      </c>
      <c r="B300" s="12" t="s">
        <v>267</v>
      </c>
      <c r="C300" s="13" t="s">
        <v>366</v>
      </c>
      <c r="D300" s="13"/>
      <c r="E300" s="13"/>
      <c r="F300" s="189"/>
      <c r="G300" s="189"/>
      <c r="H300" s="189"/>
      <c r="I300" s="189"/>
      <c r="J300" s="189"/>
      <c r="K300" s="189"/>
      <c r="L300" s="189"/>
      <c r="M300" s="189"/>
      <c r="N300" s="189"/>
      <c r="O300" s="189"/>
      <c r="P300" s="189"/>
      <c r="Q300" s="189"/>
      <c r="R300" s="189"/>
      <c r="S300" s="189"/>
      <c r="T300" s="189"/>
      <c r="U300" s="189"/>
      <c r="V300" s="189"/>
      <c r="W300" s="189"/>
      <c r="X300" s="189"/>
      <c r="Y300" s="189"/>
      <c r="Z300" s="189"/>
      <c r="AA300" s="189"/>
      <c r="AB300" s="189"/>
      <c r="AC300" s="189"/>
      <c r="AD300" s="189"/>
      <c r="AE300" s="189"/>
      <c r="AF300" s="189"/>
      <c r="AG300" s="189"/>
      <c r="AH300" s="189"/>
      <c r="AI300" s="189"/>
      <c r="AJ300" s="189"/>
      <c r="AK300" s="189"/>
      <c r="AL300" s="189"/>
      <c r="AM300" s="189"/>
      <c r="AN300" s="189"/>
      <c r="AO300" s="189"/>
      <c r="AP300" s="189"/>
    </row>
    <row r="301" spans="1:42" s="14" customFormat="1" ht="15.45" thickBot="1">
      <c r="A301" s="21">
        <v>47</v>
      </c>
      <c r="B301" s="12" t="s">
        <v>268</v>
      </c>
      <c r="C301" s="13" t="s">
        <v>477</v>
      </c>
      <c r="D301" s="13"/>
      <c r="E301" s="13"/>
      <c r="F301" s="189"/>
      <c r="G301" s="189"/>
      <c r="H301" s="189"/>
      <c r="I301" s="189"/>
      <c r="J301" s="189"/>
      <c r="K301" s="189"/>
      <c r="L301" s="189"/>
      <c r="M301" s="189"/>
      <c r="N301" s="189"/>
      <c r="O301" s="189"/>
      <c r="P301" s="189"/>
      <c r="Q301" s="189"/>
      <c r="R301" s="189"/>
      <c r="S301" s="189"/>
      <c r="T301" s="189"/>
      <c r="U301" s="189"/>
      <c r="V301" s="189"/>
      <c r="W301" s="189"/>
      <c r="X301" s="189"/>
      <c r="Y301" s="189"/>
      <c r="Z301" s="189"/>
      <c r="AA301" s="189"/>
      <c r="AB301" s="189"/>
      <c r="AC301" s="189"/>
      <c r="AD301" s="189"/>
      <c r="AE301" s="189"/>
      <c r="AF301" s="189"/>
      <c r="AG301" s="189"/>
      <c r="AH301" s="189"/>
      <c r="AI301" s="189"/>
      <c r="AJ301" s="189"/>
      <c r="AK301" s="189"/>
      <c r="AL301" s="189"/>
      <c r="AM301" s="189"/>
      <c r="AN301" s="189"/>
      <c r="AO301" s="189"/>
      <c r="AP301" s="189"/>
    </row>
    <row r="302" spans="1:42" s="14" customFormat="1" ht="15.45" thickBot="1">
      <c r="A302" s="21">
        <v>48</v>
      </c>
      <c r="B302" s="149" t="s">
        <v>291</v>
      </c>
      <c r="C302" s="13" t="s">
        <v>367</v>
      </c>
      <c r="D302" s="13"/>
      <c r="E302" s="13"/>
      <c r="F302" s="189"/>
      <c r="G302" s="189"/>
      <c r="H302" s="189"/>
      <c r="I302" s="189"/>
      <c r="J302" s="189"/>
      <c r="K302" s="189"/>
      <c r="L302" s="189"/>
      <c r="M302" s="189"/>
      <c r="N302" s="189"/>
      <c r="O302" s="189"/>
      <c r="P302" s="189"/>
      <c r="Q302" s="189"/>
      <c r="R302" s="189"/>
      <c r="S302" s="189"/>
      <c r="T302" s="189"/>
      <c r="U302" s="189"/>
      <c r="V302" s="189"/>
      <c r="W302" s="189"/>
      <c r="X302" s="189"/>
      <c r="Y302" s="189"/>
      <c r="Z302" s="189"/>
      <c r="AA302" s="189"/>
      <c r="AB302" s="189"/>
      <c r="AC302" s="189"/>
      <c r="AD302" s="189"/>
      <c r="AE302" s="189"/>
      <c r="AF302" s="189"/>
      <c r="AG302" s="189"/>
      <c r="AH302" s="189"/>
      <c r="AI302" s="189"/>
      <c r="AJ302" s="189"/>
      <c r="AK302" s="189"/>
      <c r="AL302" s="189"/>
      <c r="AM302" s="189"/>
      <c r="AN302" s="189"/>
      <c r="AO302" s="189"/>
      <c r="AP302" s="189"/>
    </row>
    <row r="303" spans="1:42" s="14" customFormat="1" ht="15.45" thickBot="1">
      <c r="A303" s="21">
        <v>49</v>
      </c>
      <c r="B303" s="12" t="s">
        <v>269</v>
      </c>
      <c r="C303" s="13" t="s">
        <v>368</v>
      </c>
      <c r="D303" s="13"/>
      <c r="E303" s="13"/>
      <c r="F303" s="189"/>
      <c r="G303" s="189"/>
      <c r="H303" s="189"/>
      <c r="I303" s="189"/>
      <c r="J303" s="189"/>
      <c r="K303" s="189"/>
      <c r="L303" s="189"/>
      <c r="M303" s="189"/>
      <c r="N303" s="189"/>
      <c r="O303" s="189"/>
      <c r="P303" s="189"/>
      <c r="Q303" s="189"/>
      <c r="R303" s="189"/>
      <c r="S303" s="189"/>
      <c r="T303" s="189"/>
      <c r="U303" s="189"/>
      <c r="V303" s="189"/>
      <c r="W303" s="189"/>
      <c r="X303" s="189"/>
      <c r="Y303" s="189"/>
      <c r="Z303" s="189"/>
      <c r="AA303" s="189"/>
      <c r="AB303" s="189"/>
      <c r="AC303" s="189"/>
      <c r="AD303" s="189"/>
      <c r="AE303" s="189"/>
      <c r="AF303" s="189"/>
      <c r="AG303" s="189"/>
      <c r="AH303" s="189"/>
      <c r="AI303" s="189"/>
      <c r="AJ303" s="189"/>
      <c r="AK303" s="189"/>
      <c r="AL303" s="189"/>
      <c r="AM303" s="189"/>
      <c r="AN303" s="189"/>
      <c r="AO303" s="189"/>
      <c r="AP303" s="189"/>
    </row>
    <row r="304" spans="1:42" s="14" customFormat="1" ht="15.45" thickBot="1">
      <c r="A304" s="21">
        <v>50</v>
      </c>
      <c r="B304" s="12" t="s">
        <v>270</v>
      </c>
      <c r="C304" s="13" t="s">
        <v>369</v>
      </c>
      <c r="D304" s="13"/>
      <c r="E304" s="13"/>
      <c r="F304" s="189"/>
      <c r="G304" s="189"/>
      <c r="H304" s="189"/>
      <c r="I304" s="189"/>
      <c r="J304" s="189"/>
      <c r="K304" s="189"/>
      <c r="L304" s="189"/>
      <c r="M304" s="189"/>
      <c r="N304" s="189"/>
      <c r="O304" s="189"/>
      <c r="P304" s="189"/>
      <c r="Q304" s="189"/>
      <c r="R304" s="189"/>
      <c r="S304" s="189"/>
      <c r="T304" s="189"/>
      <c r="U304" s="189"/>
      <c r="V304" s="189"/>
      <c r="W304" s="189"/>
      <c r="X304" s="189"/>
      <c r="Y304" s="189"/>
      <c r="Z304" s="189"/>
      <c r="AA304" s="189"/>
      <c r="AB304" s="189"/>
      <c r="AC304" s="189"/>
      <c r="AD304" s="189"/>
      <c r="AE304" s="189"/>
      <c r="AF304" s="189"/>
      <c r="AG304" s="189"/>
      <c r="AH304" s="189"/>
      <c r="AI304" s="189"/>
      <c r="AJ304" s="189"/>
      <c r="AK304" s="189"/>
      <c r="AL304" s="189"/>
      <c r="AM304" s="189"/>
      <c r="AN304" s="189"/>
      <c r="AO304" s="189"/>
      <c r="AP304" s="189"/>
    </row>
    <row r="305" spans="1:42" s="14" customFormat="1" ht="15.45" thickBot="1">
      <c r="A305" s="21">
        <v>51</v>
      </c>
      <c r="B305" s="12" t="s">
        <v>271</v>
      </c>
      <c r="C305" s="13" t="s">
        <v>370</v>
      </c>
      <c r="D305" s="13"/>
      <c r="E305" s="13"/>
      <c r="F305" s="189"/>
      <c r="G305" s="189"/>
      <c r="H305" s="189"/>
      <c r="I305" s="189"/>
      <c r="J305" s="189"/>
      <c r="K305" s="189"/>
      <c r="L305" s="189"/>
      <c r="M305" s="189"/>
      <c r="N305" s="189"/>
      <c r="O305" s="189"/>
      <c r="P305" s="189"/>
      <c r="Q305" s="189"/>
      <c r="R305" s="189"/>
      <c r="S305" s="189"/>
      <c r="T305" s="189"/>
      <c r="U305" s="189"/>
      <c r="V305" s="189"/>
      <c r="W305" s="189"/>
      <c r="X305" s="189"/>
      <c r="Y305" s="189"/>
      <c r="Z305" s="189"/>
      <c r="AA305" s="189"/>
      <c r="AB305" s="189"/>
      <c r="AC305" s="189"/>
      <c r="AD305" s="189"/>
      <c r="AE305" s="189"/>
      <c r="AF305" s="189"/>
      <c r="AG305" s="189"/>
      <c r="AH305" s="189"/>
      <c r="AI305" s="189"/>
      <c r="AJ305" s="189"/>
      <c r="AK305" s="189"/>
      <c r="AL305" s="189"/>
      <c r="AM305" s="189"/>
      <c r="AN305" s="189"/>
      <c r="AO305" s="189"/>
      <c r="AP305" s="189"/>
    </row>
    <row r="306" spans="1:42" s="14" customFormat="1" ht="15.45" thickBot="1">
      <c r="A306" s="21">
        <v>52</v>
      </c>
      <c r="B306" s="12" t="s">
        <v>272</v>
      </c>
      <c r="C306" s="13" t="s">
        <v>164</v>
      </c>
      <c r="D306" s="13"/>
      <c r="E306" s="13"/>
      <c r="F306" s="189"/>
      <c r="G306" s="189"/>
      <c r="H306" s="189"/>
      <c r="I306" s="189"/>
      <c r="J306" s="189"/>
      <c r="K306" s="189"/>
      <c r="L306" s="189"/>
      <c r="M306" s="189"/>
      <c r="N306" s="189"/>
      <c r="O306" s="189"/>
      <c r="P306" s="189"/>
      <c r="Q306" s="189"/>
      <c r="R306" s="189"/>
      <c r="S306" s="189"/>
      <c r="T306" s="189"/>
      <c r="U306" s="189"/>
      <c r="V306" s="189"/>
      <c r="W306" s="189"/>
      <c r="X306" s="189"/>
      <c r="Y306" s="189"/>
      <c r="Z306" s="189"/>
      <c r="AA306" s="189"/>
      <c r="AB306" s="189"/>
      <c r="AC306" s="189"/>
      <c r="AD306" s="189"/>
      <c r="AE306" s="189"/>
      <c r="AF306" s="189"/>
      <c r="AG306" s="189"/>
      <c r="AH306" s="189"/>
      <c r="AI306" s="189"/>
      <c r="AJ306" s="189"/>
      <c r="AK306" s="189"/>
      <c r="AL306" s="189"/>
      <c r="AM306" s="189"/>
      <c r="AN306" s="189"/>
      <c r="AO306" s="189"/>
      <c r="AP306" s="189"/>
    </row>
    <row r="307" spans="1:42" s="14" customFormat="1" ht="15.45" thickBot="1">
      <c r="A307" s="21">
        <v>53</v>
      </c>
      <c r="B307" s="12" t="s">
        <v>273</v>
      </c>
      <c r="C307" s="13" t="s">
        <v>165</v>
      </c>
      <c r="D307" s="13"/>
      <c r="E307" s="13"/>
      <c r="F307" s="189"/>
      <c r="G307" s="189"/>
      <c r="H307" s="189"/>
      <c r="I307" s="189"/>
      <c r="J307" s="189"/>
      <c r="K307" s="189"/>
      <c r="L307" s="189"/>
      <c r="M307" s="189"/>
      <c r="N307" s="189"/>
      <c r="O307" s="189"/>
      <c r="P307" s="189"/>
      <c r="Q307" s="189"/>
      <c r="R307" s="189"/>
      <c r="S307" s="189"/>
      <c r="T307" s="189"/>
      <c r="U307" s="189"/>
      <c r="V307" s="189"/>
      <c r="W307" s="189"/>
      <c r="X307" s="189"/>
      <c r="Y307" s="189"/>
      <c r="Z307" s="189"/>
      <c r="AA307" s="189"/>
      <c r="AB307" s="189"/>
      <c r="AC307" s="189"/>
      <c r="AD307" s="189"/>
      <c r="AE307" s="189"/>
      <c r="AF307" s="189"/>
      <c r="AG307" s="189"/>
      <c r="AH307" s="189"/>
      <c r="AI307" s="189"/>
      <c r="AJ307" s="189"/>
      <c r="AK307" s="189"/>
      <c r="AL307" s="189"/>
      <c r="AM307" s="189"/>
      <c r="AN307" s="189"/>
      <c r="AO307" s="189"/>
      <c r="AP307" s="189"/>
    </row>
    <row r="308" spans="1:42" s="14" customFormat="1" ht="15.45" thickBot="1">
      <c r="A308" s="21">
        <v>54</v>
      </c>
      <c r="B308" s="149" t="s">
        <v>291</v>
      </c>
      <c r="C308" s="15" t="s">
        <v>478</v>
      </c>
      <c r="D308" s="15"/>
      <c r="E308" s="15"/>
      <c r="F308" s="189"/>
      <c r="G308" s="189"/>
      <c r="H308" s="189"/>
      <c r="I308" s="189"/>
      <c r="J308" s="189"/>
      <c r="K308" s="189"/>
      <c r="L308" s="189"/>
      <c r="M308" s="189"/>
      <c r="N308" s="189"/>
      <c r="O308" s="189"/>
      <c r="P308" s="189"/>
      <c r="Q308" s="189"/>
      <c r="R308" s="189"/>
      <c r="S308" s="189"/>
      <c r="T308" s="189"/>
      <c r="U308" s="189"/>
      <c r="V308" s="189"/>
      <c r="W308" s="189"/>
      <c r="X308" s="189"/>
      <c r="Y308" s="189"/>
      <c r="Z308" s="189"/>
      <c r="AA308" s="189"/>
      <c r="AB308" s="189"/>
      <c r="AC308" s="189"/>
      <c r="AD308" s="189"/>
      <c r="AE308" s="189"/>
      <c r="AF308" s="189"/>
      <c r="AG308" s="189"/>
      <c r="AH308" s="189"/>
      <c r="AI308" s="189"/>
      <c r="AJ308" s="189"/>
      <c r="AK308" s="189"/>
      <c r="AL308" s="189"/>
      <c r="AM308" s="189"/>
      <c r="AN308" s="189"/>
      <c r="AO308" s="189"/>
      <c r="AP308" s="189"/>
    </row>
    <row r="309" spans="1:42" s="14" customFormat="1" ht="15.45" thickBot="1">
      <c r="A309" s="21">
        <v>55</v>
      </c>
      <c r="B309" s="12" t="s">
        <v>394</v>
      </c>
      <c r="C309" s="13" t="s">
        <v>166</v>
      </c>
      <c r="D309" s="13"/>
      <c r="E309" s="13"/>
      <c r="F309" s="189"/>
      <c r="G309" s="189"/>
      <c r="H309" s="189"/>
      <c r="I309" s="189"/>
      <c r="J309" s="189"/>
      <c r="K309" s="189"/>
      <c r="L309" s="189"/>
      <c r="M309" s="189"/>
      <c r="N309" s="189"/>
      <c r="O309" s="189"/>
      <c r="P309" s="189"/>
      <c r="Q309" s="189"/>
      <c r="R309" s="189"/>
      <c r="S309" s="189"/>
      <c r="T309" s="189"/>
      <c r="U309" s="189"/>
      <c r="V309" s="189"/>
      <c r="W309" s="189"/>
      <c r="X309" s="189"/>
      <c r="Y309" s="189"/>
      <c r="Z309" s="189"/>
      <c r="AA309" s="189"/>
      <c r="AB309" s="189"/>
      <c r="AC309" s="189"/>
      <c r="AD309" s="189"/>
      <c r="AE309" s="189"/>
      <c r="AF309" s="189"/>
      <c r="AG309" s="189"/>
      <c r="AH309" s="189"/>
      <c r="AI309" s="189"/>
      <c r="AJ309" s="189"/>
      <c r="AK309" s="189"/>
      <c r="AL309" s="189"/>
      <c r="AM309" s="189"/>
      <c r="AN309" s="189"/>
      <c r="AO309" s="189"/>
      <c r="AP309" s="189"/>
    </row>
    <row r="310" spans="1:42" s="14" customFormat="1" ht="15.45" thickBot="1">
      <c r="A310" s="21">
        <v>56</v>
      </c>
      <c r="B310" s="12" t="s">
        <v>395</v>
      </c>
      <c r="C310" s="13" t="s">
        <v>167</v>
      </c>
      <c r="D310" s="13"/>
      <c r="E310" s="13"/>
      <c r="F310" s="189"/>
      <c r="G310" s="189"/>
      <c r="H310" s="189"/>
      <c r="I310" s="189"/>
      <c r="J310" s="189"/>
      <c r="K310" s="189"/>
      <c r="L310" s="189"/>
      <c r="M310" s="189"/>
      <c r="N310" s="189"/>
      <c r="O310" s="189"/>
      <c r="P310" s="189"/>
      <c r="Q310" s="189"/>
      <c r="R310" s="189"/>
      <c r="S310" s="189"/>
      <c r="T310" s="189"/>
      <c r="U310" s="189"/>
      <c r="V310" s="189"/>
      <c r="W310" s="189"/>
      <c r="X310" s="189"/>
      <c r="Y310" s="189"/>
      <c r="Z310" s="189"/>
      <c r="AA310" s="189"/>
      <c r="AB310" s="189"/>
      <c r="AC310" s="189"/>
      <c r="AD310" s="189"/>
      <c r="AE310" s="189"/>
      <c r="AF310" s="189"/>
      <c r="AG310" s="189"/>
      <c r="AH310" s="189"/>
      <c r="AI310" s="189"/>
      <c r="AJ310" s="189"/>
      <c r="AK310" s="189"/>
      <c r="AL310" s="189"/>
      <c r="AM310" s="189"/>
      <c r="AN310" s="189"/>
      <c r="AO310" s="189"/>
      <c r="AP310" s="189"/>
    </row>
    <row r="311" spans="1:42" s="14" customFormat="1" ht="15.45" thickBot="1">
      <c r="A311" s="21">
        <v>57</v>
      </c>
      <c r="B311" s="12" t="s">
        <v>396</v>
      </c>
      <c r="C311" s="13" t="s">
        <v>168</v>
      </c>
      <c r="D311" s="13"/>
      <c r="E311" s="13"/>
      <c r="F311" s="189"/>
      <c r="G311" s="189"/>
      <c r="H311" s="189"/>
      <c r="I311" s="189"/>
      <c r="J311" s="189"/>
      <c r="K311" s="189"/>
      <c r="L311" s="189"/>
      <c r="M311" s="189"/>
      <c r="N311" s="189"/>
      <c r="O311" s="189"/>
      <c r="P311" s="189"/>
      <c r="Q311" s="189"/>
      <c r="R311" s="189"/>
      <c r="S311" s="189"/>
      <c r="T311" s="189"/>
      <c r="U311" s="189"/>
      <c r="V311" s="189"/>
      <c r="W311" s="189"/>
      <c r="X311" s="189"/>
      <c r="Y311" s="189"/>
      <c r="Z311" s="189"/>
      <c r="AA311" s="189"/>
      <c r="AB311" s="189"/>
      <c r="AC311" s="189"/>
      <c r="AD311" s="189"/>
      <c r="AE311" s="189"/>
      <c r="AF311" s="189"/>
      <c r="AG311" s="189"/>
      <c r="AH311" s="189"/>
      <c r="AI311" s="189"/>
      <c r="AJ311" s="189"/>
      <c r="AK311" s="189"/>
      <c r="AL311" s="189"/>
      <c r="AM311" s="189"/>
      <c r="AN311" s="189"/>
      <c r="AO311" s="189"/>
      <c r="AP311" s="189"/>
    </row>
    <row r="312" spans="1:42" s="14" customFormat="1" ht="15.45" thickBot="1">
      <c r="A312" s="21">
        <v>58</v>
      </c>
      <c r="B312" s="12" t="s">
        <v>397</v>
      </c>
      <c r="C312" s="13" t="s">
        <v>813</v>
      </c>
      <c r="D312" s="13"/>
      <c r="E312" s="13"/>
      <c r="F312" s="189"/>
      <c r="G312" s="189"/>
      <c r="H312" s="189"/>
      <c r="I312" s="189"/>
      <c r="J312" s="189"/>
      <c r="K312" s="189"/>
      <c r="L312" s="189"/>
      <c r="M312" s="189"/>
      <c r="N312" s="189"/>
      <c r="O312" s="189"/>
      <c r="P312" s="189"/>
      <c r="Q312" s="189"/>
      <c r="R312" s="189"/>
      <c r="S312" s="189"/>
      <c r="T312" s="189"/>
      <c r="U312" s="189"/>
      <c r="V312" s="189"/>
      <c r="W312" s="189"/>
      <c r="X312" s="189"/>
      <c r="Y312" s="189"/>
      <c r="Z312" s="189"/>
      <c r="AA312" s="189"/>
      <c r="AB312" s="189"/>
      <c r="AC312" s="189"/>
      <c r="AD312" s="189"/>
      <c r="AE312" s="189"/>
      <c r="AF312" s="189"/>
      <c r="AG312" s="189"/>
      <c r="AH312" s="189"/>
      <c r="AI312" s="189"/>
      <c r="AJ312" s="189"/>
      <c r="AK312" s="189"/>
      <c r="AL312" s="189"/>
      <c r="AM312" s="189"/>
      <c r="AN312" s="189"/>
      <c r="AO312" s="189"/>
      <c r="AP312" s="189"/>
    </row>
    <row r="313" spans="1:42" s="14" customFormat="1" ht="15.45" thickBot="1">
      <c r="A313" s="21">
        <v>59</v>
      </c>
      <c r="B313" s="12" t="s">
        <v>398</v>
      </c>
      <c r="C313" s="13" t="s">
        <v>170</v>
      </c>
      <c r="D313" s="13"/>
      <c r="E313" s="13"/>
      <c r="F313" s="189"/>
      <c r="G313" s="189"/>
      <c r="H313" s="189"/>
      <c r="I313" s="189"/>
      <c r="J313" s="189"/>
      <c r="K313" s="189"/>
      <c r="L313" s="189"/>
      <c r="M313" s="189"/>
      <c r="N313" s="189"/>
      <c r="O313" s="189"/>
      <c r="P313" s="189"/>
      <c r="Q313" s="189"/>
      <c r="R313" s="189"/>
      <c r="S313" s="189"/>
      <c r="T313" s="189"/>
      <c r="U313" s="189"/>
      <c r="V313" s="189"/>
      <c r="W313" s="189"/>
      <c r="X313" s="189"/>
      <c r="Y313" s="189"/>
      <c r="Z313" s="189"/>
      <c r="AA313" s="189"/>
      <c r="AB313" s="189"/>
      <c r="AC313" s="189"/>
      <c r="AD313" s="189"/>
      <c r="AE313" s="189"/>
      <c r="AF313" s="189"/>
      <c r="AG313" s="189"/>
      <c r="AH313" s="189"/>
      <c r="AI313" s="189"/>
      <c r="AJ313" s="189"/>
      <c r="AK313" s="189"/>
      <c r="AL313" s="189"/>
      <c r="AM313" s="189"/>
      <c r="AN313" s="189"/>
      <c r="AO313" s="189"/>
      <c r="AP313" s="189"/>
    </row>
    <row r="314" spans="1:42" s="14" customFormat="1" ht="15.45" thickBot="1">
      <c r="A314" s="21">
        <v>60</v>
      </c>
      <c r="B314" s="12" t="s">
        <v>399</v>
      </c>
      <c r="C314" s="13" t="s">
        <v>479</v>
      </c>
      <c r="D314" s="13"/>
      <c r="E314" s="13"/>
      <c r="F314" s="189"/>
      <c r="G314" s="189"/>
      <c r="H314" s="189"/>
      <c r="I314" s="189"/>
      <c r="J314" s="189"/>
      <c r="K314" s="189"/>
      <c r="L314" s="189"/>
      <c r="M314" s="189"/>
      <c r="N314" s="189"/>
      <c r="O314" s="189"/>
      <c r="P314" s="189"/>
      <c r="Q314" s="189"/>
      <c r="R314" s="189"/>
      <c r="S314" s="189"/>
      <c r="T314" s="189"/>
      <c r="U314" s="189"/>
      <c r="V314" s="189"/>
      <c r="W314" s="189"/>
      <c r="X314" s="189"/>
      <c r="Y314" s="189"/>
      <c r="Z314" s="189"/>
      <c r="AA314" s="189"/>
      <c r="AB314" s="189"/>
      <c r="AC314" s="189"/>
      <c r="AD314" s="189"/>
      <c r="AE314" s="189"/>
      <c r="AF314" s="189"/>
      <c r="AG314" s="189"/>
      <c r="AH314" s="189"/>
      <c r="AI314" s="189"/>
      <c r="AJ314" s="189"/>
      <c r="AK314" s="189"/>
      <c r="AL314" s="189"/>
      <c r="AM314" s="189"/>
      <c r="AN314" s="189"/>
      <c r="AO314" s="189"/>
      <c r="AP314" s="189"/>
    </row>
    <row r="315" spans="1:42" s="14" customFormat="1" ht="15.45" thickBot="1">
      <c r="A315" s="21">
        <v>61</v>
      </c>
      <c r="B315" s="12" t="s">
        <v>400</v>
      </c>
      <c r="C315" s="13" t="s">
        <v>480</v>
      </c>
      <c r="D315" s="13"/>
      <c r="E315" s="13"/>
      <c r="F315" s="189"/>
      <c r="G315" s="189"/>
      <c r="H315" s="189"/>
      <c r="I315" s="189"/>
      <c r="J315" s="189"/>
      <c r="K315" s="189"/>
      <c r="L315" s="189"/>
      <c r="M315" s="189"/>
      <c r="N315" s="189"/>
      <c r="O315" s="189"/>
      <c r="P315" s="189"/>
      <c r="Q315" s="189"/>
      <c r="R315" s="189"/>
      <c r="S315" s="189"/>
      <c r="T315" s="189"/>
      <c r="U315" s="189"/>
      <c r="V315" s="189"/>
      <c r="W315" s="189"/>
      <c r="X315" s="189"/>
      <c r="Y315" s="189"/>
      <c r="Z315" s="189"/>
      <c r="AA315" s="189"/>
      <c r="AB315" s="189"/>
      <c r="AC315" s="189"/>
      <c r="AD315" s="189"/>
      <c r="AE315" s="189"/>
      <c r="AF315" s="189"/>
      <c r="AG315" s="189"/>
      <c r="AH315" s="189"/>
      <c r="AI315" s="189"/>
      <c r="AJ315" s="189"/>
      <c r="AK315" s="189"/>
      <c r="AL315" s="189"/>
      <c r="AM315" s="189"/>
      <c r="AN315" s="189"/>
      <c r="AO315" s="189"/>
      <c r="AP315" s="189"/>
    </row>
    <row r="316" spans="1:42" s="14" customFormat="1" ht="15.45" thickBot="1">
      <c r="A316" s="21">
        <v>62</v>
      </c>
      <c r="B316" s="19"/>
      <c r="C316" s="13" t="s">
        <v>481</v>
      </c>
      <c r="D316" s="13"/>
      <c r="E316" s="13"/>
      <c r="F316" s="189"/>
      <c r="G316" s="189"/>
      <c r="H316" s="189"/>
      <c r="I316" s="189"/>
      <c r="J316" s="189"/>
      <c r="K316" s="189"/>
      <c r="L316" s="189"/>
      <c r="M316" s="189"/>
      <c r="N316" s="189"/>
      <c r="O316" s="189"/>
      <c r="P316" s="189"/>
      <c r="Q316" s="189"/>
      <c r="R316" s="189"/>
      <c r="S316" s="189"/>
      <c r="T316" s="189"/>
      <c r="U316" s="189"/>
      <c r="V316" s="189"/>
      <c r="W316" s="189"/>
      <c r="X316" s="189"/>
      <c r="Y316" s="189"/>
      <c r="Z316" s="189"/>
      <c r="AA316" s="189"/>
      <c r="AB316" s="189"/>
      <c r="AC316" s="189"/>
      <c r="AD316" s="189"/>
      <c r="AE316" s="189"/>
      <c r="AF316" s="189"/>
      <c r="AG316" s="189"/>
      <c r="AH316" s="189"/>
      <c r="AI316" s="189"/>
      <c r="AJ316" s="189"/>
      <c r="AK316" s="189"/>
      <c r="AL316" s="189"/>
      <c r="AM316" s="189"/>
      <c r="AN316" s="189"/>
      <c r="AO316" s="189"/>
      <c r="AP316" s="189"/>
    </row>
    <row r="317" spans="1:42" s="14" customFormat="1" ht="15.45" thickBot="1">
      <c r="A317" s="21">
        <v>63</v>
      </c>
      <c r="B317" s="148" t="s">
        <v>401</v>
      </c>
      <c r="C317" s="13" t="s">
        <v>171</v>
      </c>
      <c r="D317" s="13"/>
      <c r="E317" s="13"/>
      <c r="F317" s="189"/>
      <c r="G317" s="189"/>
      <c r="H317" s="189"/>
      <c r="I317" s="189"/>
      <c r="J317" s="189"/>
      <c r="K317" s="189"/>
      <c r="L317" s="189"/>
      <c r="M317" s="189"/>
      <c r="N317" s="189"/>
      <c r="O317" s="189"/>
      <c r="P317" s="189"/>
      <c r="Q317" s="189"/>
      <c r="R317" s="189"/>
      <c r="S317" s="189"/>
      <c r="T317" s="189"/>
      <c r="U317" s="189"/>
      <c r="V317" s="189"/>
      <c r="W317" s="189"/>
      <c r="X317" s="189"/>
      <c r="Y317" s="189"/>
      <c r="Z317" s="189"/>
      <c r="AA317" s="189"/>
      <c r="AB317" s="189"/>
      <c r="AC317" s="189"/>
      <c r="AD317" s="189"/>
      <c r="AE317" s="189"/>
      <c r="AF317" s="189"/>
      <c r="AG317" s="189"/>
      <c r="AH317" s="189"/>
      <c r="AI317" s="189"/>
      <c r="AJ317" s="189"/>
      <c r="AK317" s="189"/>
      <c r="AL317" s="189"/>
      <c r="AM317" s="189"/>
      <c r="AN317" s="189"/>
      <c r="AO317" s="189"/>
      <c r="AP317" s="189"/>
    </row>
    <row r="318" spans="1:42" s="14" customFormat="1" ht="15.45" thickBot="1">
      <c r="A318" s="21">
        <v>64</v>
      </c>
      <c r="B318" s="19" t="s">
        <v>402</v>
      </c>
      <c r="C318" s="13" t="s">
        <v>172</v>
      </c>
      <c r="D318" s="13"/>
      <c r="E318" s="13"/>
      <c r="F318" s="189"/>
      <c r="G318" s="189"/>
      <c r="H318" s="189"/>
      <c r="I318" s="189"/>
      <c r="J318" s="189"/>
      <c r="K318" s="189"/>
      <c r="L318" s="189"/>
      <c r="M318" s="189"/>
      <c r="N318" s="189"/>
      <c r="O318" s="189"/>
      <c r="P318" s="189"/>
      <c r="Q318" s="189"/>
      <c r="R318" s="189"/>
      <c r="S318" s="189"/>
      <c r="T318" s="189"/>
      <c r="U318" s="189"/>
      <c r="V318" s="189"/>
      <c r="W318" s="189"/>
      <c r="X318" s="189"/>
      <c r="Y318" s="189"/>
      <c r="Z318" s="189"/>
      <c r="AA318" s="189"/>
      <c r="AB318" s="189"/>
      <c r="AC318" s="189"/>
      <c r="AD318" s="189"/>
      <c r="AE318" s="189"/>
      <c r="AF318" s="189"/>
      <c r="AG318" s="189"/>
      <c r="AH318" s="189"/>
      <c r="AI318" s="189"/>
      <c r="AJ318" s="189"/>
      <c r="AK318" s="189"/>
      <c r="AL318" s="189"/>
      <c r="AM318" s="189"/>
      <c r="AN318" s="189"/>
      <c r="AO318" s="189"/>
      <c r="AP318" s="189"/>
    </row>
    <row r="319" spans="1:42" s="14" customFormat="1" ht="15.45" thickBot="1">
      <c r="A319" s="21">
        <v>65</v>
      </c>
      <c r="B319" s="148" t="s">
        <v>403</v>
      </c>
      <c r="C319" s="13" t="s">
        <v>173</v>
      </c>
      <c r="D319" s="13"/>
      <c r="E319" s="13"/>
      <c r="F319" s="189"/>
      <c r="G319" s="189"/>
      <c r="H319" s="189"/>
      <c r="I319" s="189"/>
      <c r="J319" s="189"/>
      <c r="K319" s="189"/>
      <c r="L319" s="189"/>
      <c r="M319" s="189"/>
      <c r="N319" s="189"/>
      <c r="O319" s="189"/>
      <c r="P319" s="189"/>
      <c r="Q319" s="189"/>
      <c r="R319" s="189"/>
      <c r="S319" s="189"/>
      <c r="T319" s="189"/>
      <c r="U319" s="189"/>
      <c r="V319" s="189"/>
      <c r="W319" s="189"/>
      <c r="X319" s="189"/>
      <c r="Y319" s="189"/>
      <c r="Z319" s="189"/>
      <c r="AA319" s="189"/>
      <c r="AB319" s="189"/>
      <c r="AC319" s="189"/>
      <c r="AD319" s="189"/>
      <c r="AE319" s="189"/>
      <c r="AF319" s="189"/>
      <c r="AG319" s="189"/>
      <c r="AH319" s="189"/>
      <c r="AI319" s="189"/>
      <c r="AJ319" s="189"/>
      <c r="AK319" s="189"/>
      <c r="AL319" s="189"/>
      <c r="AM319" s="189"/>
      <c r="AN319" s="189"/>
      <c r="AO319" s="189"/>
      <c r="AP319" s="189"/>
    </row>
    <row r="320" spans="1:42" s="14" customFormat="1" ht="15.45" thickBot="1">
      <c r="A320" s="21">
        <v>66</v>
      </c>
      <c r="B320" s="19" t="s">
        <v>404</v>
      </c>
      <c r="C320" s="13" t="s">
        <v>174</v>
      </c>
      <c r="D320" s="13"/>
      <c r="E320" s="13"/>
      <c r="F320" s="189"/>
      <c r="G320" s="189"/>
      <c r="H320" s="189"/>
      <c r="I320" s="189"/>
      <c r="J320" s="189"/>
      <c r="K320" s="189"/>
      <c r="L320" s="189"/>
      <c r="M320" s="189"/>
      <c r="N320" s="189"/>
      <c r="O320" s="189"/>
      <c r="P320" s="189"/>
      <c r="Q320" s="189"/>
      <c r="R320" s="189"/>
      <c r="S320" s="189"/>
      <c r="T320" s="189"/>
      <c r="U320" s="189"/>
      <c r="V320" s="189"/>
      <c r="W320" s="189"/>
      <c r="X320" s="189"/>
      <c r="Y320" s="189"/>
      <c r="Z320" s="189"/>
      <c r="AA320" s="189"/>
      <c r="AB320" s="189"/>
      <c r="AC320" s="189"/>
      <c r="AD320" s="189"/>
      <c r="AE320" s="189"/>
      <c r="AF320" s="189"/>
      <c r="AG320" s="189"/>
      <c r="AH320" s="189"/>
      <c r="AI320" s="189"/>
      <c r="AJ320" s="189"/>
      <c r="AK320" s="189"/>
      <c r="AL320" s="189"/>
      <c r="AM320" s="189"/>
      <c r="AN320" s="189"/>
      <c r="AO320" s="189"/>
      <c r="AP320" s="189"/>
    </row>
    <row r="321" spans="1:42" s="14" customFormat="1" ht="15.45" thickBot="1">
      <c r="A321" s="21">
        <v>67</v>
      </c>
      <c r="B321" s="19" t="s">
        <v>405</v>
      </c>
      <c r="C321" s="13" t="s">
        <v>175</v>
      </c>
      <c r="D321" s="13"/>
      <c r="E321" s="13"/>
      <c r="F321" s="189"/>
      <c r="G321" s="189"/>
      <c r="H321" s="189"/>
      <c r="I321" s="189"/>
      <c r="J321" s="189"/>
      <c r="K321" s="189"/>
      <c r="L321" s="189"/>
      <c r="M321" s="189"/>
      <c r="N321" s="189"/>
      <c r="O321" s="189"/>
      <c r="P321" s="189"/>
      <c r="Q321" s="189"/>
      <c r="R321" s="189"/>
      <c r="S321" s="189"/>
      <c r="T321" s="189"/>
      <c r="U321" s="189"/>
      <c r="V321" s="189"/>
      <c r="W321" s="189"/>
      <c r="X321" s="189"/>
      <c r="Y321" s="189"/>
      <c r="Z321" s="189"/>
      <c r="AA321" s="189"/>
      <c r="AB321" s="189"/>
      <c r="AC321" s="189"/>
      <c r="AD321" s="189"/>
      <c r="AE321" s="189"/>
      <c r="AF321" s="189"/>
      <c r="AG321" s="189"/>
      <c r="AH321" s="189"/>
      <c r="AI321" s="189"/>
      <c r="AJ321" s="189"/>
      <c r="AK321" s="189"/>
      <c r="AL321" s="189"/>
      <c r="AM321" s="189"/>
      <c r="AN321" s="189"/>
      <c r="AO321" s="189"/>
      <c r="AP321" s="189"/>
    </row>
    <row r="322" spans="1:42" s="14" customFormat="1" ht="15.45" thickBot="1">
      <c r="A322" s="21">
        <v>68</v>
      </c>
      <c r="B322" s="19"/>
      <c r="C322" s="6" t="s">
        <v>482</v>
      </c>
      <c r="D322" s="6"/>
      <c r="E322" s="6"/>
      <c r="F322" s="189"/>
      <c r="G322" s="189"/>
      <c r="H322" s="189"/>
      <c r="I322" s="189"/>
      <c r="J322" s="189"/>
      <c r="K322" s="189"/>
      <c r="L322" s="189"/>
      <c r="M322" s="189"/>
      <c r="N322" s="189"/>
      <c r="O322" s="189"/>
      <c r="P322" s="189"/>
      <c r="Q322" s="189"/>
      <c r="R322" s="189"/>
      <c r="S322" s="189"/>
      <c r="T322" s="189"/>
      <c r="U322" s="189"/>
      <c r="V322" s="189"/>
      <c r="W322" s="189"/>
      <c r="X322" s="189"/>
      <c r="Y322" s="189"/>
      <c r="Z322" s="189"/>
      <c r="AA322" s="189"/>
      <c r="AB322" s="189"/>
      <c r="AC322" s="189"/>
      <c r="AD322" s="189"/>
      <c r="AE322" s="189"/>
      <c r="AF322" s="189"/>
      <c r="AG322" s="189"/>
      <c r="AH322" s="189"/>
      <c r="AI322" s="189"/>
      <c r="AJ322" s="189"/>
      <c r="AK322" s="189"/>
      <c r="AL322" s="189"/>
      <c r="AM322" s="189"/>
      <c r="AN322" s="189"/>
      <c r="AO322" s="189"/>
      <c r="AP322" s="189"/>
    </row>
    <row r="323" spans="1:42" s="14" customFormat="1" ht="15.45" thickBot="1">
      <c r="A323" s="21">
        <v>69</v>
      </c>
      <c r="B323" s="19" t="s">
        <v>406</v>
      </c>
      <c r="C323" s="13" t="s">
        <v>146</v>
      </c>
      <c r="D323" s="13"/>
      <c r="E323" s="13"/>
      <c r="F323" s="189"/>
      <c r="G323" s="189"/>
      <c r="H323" s="189"/>
      <c r="I323" s="189"/>
      <c r="J323" s="189"/>
      <c r="K323" s="189"/>
      <c r="L323" s="189"/>
      <c r="M323" s="189"/>
      <c r="N323" s="189"/>
      <c r="O323" s="189"/>
      <c r="P323" s="189"/>
      <c r="Q323" s="189"/>
      <c r="R323" s="189"/>
      <c r="S323" s="189"/>
      <c r="T323" s="189"/>
      <c r="U323" s="189"/>
      <c r="V323" s="189"/>
      <c r="W323" s="189"/>
      <c r="X323" s="189"/>
      <c r="Y323" s="189"/>
      <c r="Z323" s="189"/>
      <c r="AA323" s="189"/>
      <c r="AB323" s="189"/>
      <c r="AC323" s="189"/>
      <c r="AD323" s="189"/>
      <c r="AE323" s="189"/>
      <c r="AF323" s="189"/>
      <c r="AG323" s="189"/>
      <c r="AH323" s="189"/>
      <c r="AI323" s="189"/>
      <c r="AJ323" s="189"/>
      <c r="AK323" s="189"/>
      <c r="AL323" s="189"/>
      <c r="AM323" s="189"/>
      <c r="AN323" s="189"/>
      <c r="AO323" s="189"/>
      <c r="AP323" s="189"/>
    </row>
    <row r="324" spans="1:42" s="14" customFormat="1" ht="15.45" thickBot="1">
      <c r="A324" s="21">
        <v>70</v>
      </c>
      <c r="B324" s="19" t="s">
        <v>408</v>
      </c>
      <c r="C324" s="13" t="s">
        <v>176</v>
      </c>
      <c r="D324" s="13"/>
      <c r="E324" s="13"/>
      <c r="F324" s="189"/>
      <c r="G324" s="189"/>
      <c r="H324" s="189"/>
      <c r="I324" s="189"/>
      <c r="J324" s="189"/>
      <c r="K324" s="189"/>
      <c r="L324" s="189"/>
      <c r="M324" s="189"/>
      <c r="N324" s="189"/>
      <c r="O324" s="189"/>
      <c r="P324" s="189"/>
      <c r="Q324" s="189"/>
      <c r="R324" s="189"/>
      <c r="S324" s="189"/>
      <c r="T324" s="189"/>
      <c r="U324" s="189"/>
      <c r="V324" s="189"/>
      <c r="W324" s="189"/>
      <c r="X324" s="189"/>
      <c r="Y324" s="189"/>
      <c r="Z324" s="189"/>
      <c r="AA324" s="189"/>
      <c r="AB324" s="189"/>
      <c r="AC324" s="189"/>
      <c r="AD324" s="189"/>
      <c r="AE324" s="189"/>
      <c r="AF324" s="189"/>
      <c r="AG324" s="189"/>
      <c r="AH324" s="189"/>
      <c r="AI324" s="189"/>
      <c r="AJ324" s="189"/>
      <c r="AK324" s="189"/>
      <c r="AL324" s="189"/>
      <c r="AM324" s="189"/>
      <c r="AN324" s="189"/>
      <c r="AO324" s="189"/>
      <c r="AP324" s="189"/>
    </row>
    <row r="325" spans="1:42" s="14" customFormat="1" ht="15.45" thickBot="1">
      <c r="A325" s="21">
        <v>71</v>
      </c>
      <c r="B325" s="19" t="s">
        <v>409</v>
      </c>
      <c r="C325" s="13" t="s">
        <v>177</v>
      </c>
      <c r="D325" s="13"/>
      <c r="E325" s="13"/>
      <c r="F325" s="189"/>
      <c r="G325" s="189"/>
      <c r="H325" s="189"/>
      <c r="I325" s="189"/>
      <c r="J325" s="189"/>
      <c r="K325" s="189"/>
      <c r="L325" s="189"/>
      <c r="M325" s="189"/>
      <c r="N325" s="189"/>
      <c r="O325" s="189"/>
      <c r="P325" s="189"/>
      <c r="Q325" s="189"/>
      <c r="R325" s="189"/>
      <c r="S325" s="189"/>
      <c r="T325" s="189"/>
      <c r="U325" s="189"/>
      <c r="V325" s="189"/>
      <c r="W325" s="189"/>
      <c r="X325" s="189"/>
      <c r="Y325" s="189"/>
      <c r="Z325" s="189"/>
      <c r="AA325" s="189"/>
      <c r="AB325" s="189"/>
      <c r="AC325" s="189"/>
      <c r="AD325" s="189"/>
      <c r="AE325" s="189"/>
      <c r="AF325" s="189"/>
      <c r="AG325" s="189"/>
      <c r="AH325" s="189"/>
      <c r="AI325" s="189"/>
      <c r="AJ325" s="189"/>
      <c r="AK325" s="189"/>
      <c r="AL325" s="189"/>
      <c r="AM325" s="189"/>
      <c r="AN325" s="189"/>
      <c r="AO325" s="189"/>
      <c r="AP325" s="189"/>
    </row>
    <row r="326" spans="1:42" s="14" customFormat="1" ht="15.45" thickBot="1">
      <c r="A326" s="21">
        <v>72</v>
      </c>
      <c r="B326" s="19" t="s">
        <v>407</v>
      </c>
      <c r="C326" s="13" t="s">
        <v>178</v>
      </c>
      <c r="D326" s="13"/>
      <c r="E326" s="13"/>
      <c r="F326" s="189"/>
      <c r="G326" s="189"/>
      <c r="H326" s="189"/>
      <c r="I326" s="189"/>
      <c r="J326" s="189"/>
      <c r="K326" s="189"/>
      <c r="L326" s="189"/>
      <c r="M326" s="189"/>
      <c r="N326" s="189"/>
      <c r="O326" s="189"/>
      <c r="P326" s="189"/>
      <c r="Q326" s="189"/>
      <c r="R326" s="189"/>
      <c r="S326" s="189"/>
      <c r="T326" s="189"/>
      <c r="U326" s="189"/>
      <c r="V326" s="189"/>
      <c r="W326" s="189"/>
      <c r="X326" s="189"/>
      <c r="Y326" s="189"/>
      <c r="Z326" s="189"/>
      <c r="AA326" s="189"/>
      <c r="AB326" s="189"/>
      <c r="AC326" s="189"/>
      <c r="AD326" s="189"/>
      <c r="AE326" s="189"/>
      <c r="AF326" s="189"/>
      <c r="AG326" s="189"/>
      <c r="AH326" s="189"/>
      <c r="AI326" s="189"/>
      <c r="AJ326" s="189"/>
      <c r="AK326" s="189"/>
      <c r="AL326" s="189"/>
      <c r="AM326" s="189"/>
      <c r="AN326" s="189"/>
      <c r="AO326" s="189"/>
      <c r="AP326" s="189"/>
    </row>
    <row r="327" spans="1:42" s="14" customFormat="1" ht="15.45" thickBot="1">
      <c r="A327" s="21">
        <v>73</v>
      </c>
      <c r="B327" s="19" t="s">
        <v>616</v>
      </c>
      <c r="C327" s="13" t="s">
        <v>179</v>
      </c>
      <c r="D327" s="13"/>
      <c r="E327" s="13"/>
      <c r="F327" s="189"/>
      <c r="G327" s="189"/>
      <c r="H327" s="189"/>
      <c r="I327" s="189"/>
      <c r="J327" s="189"/>
      <c r="K327" s="189"/>
      <c r="L327" s="189"/>
      <c r="M327" s="189"/>
      <c r="N327" s="189"/>
      <c r="O327" s="189"/>
      <c r="P327" s="189"/>
      <c r="Q327" s="189"/>
      <c r="R327" s="189"/>
      <c r="S327" s="189"/>
      <c r="T327" s="189"/>
      <c r="U327" s="189"/>
      <c r="V327" s="189"/>
      <c r="W327" s="189"/>
      <c r="X327" s="189"/>
      <c r="Y327" s="189"/>
      <c r="Z327" s="189"/>
      <c r="AA327" s="189"/>
      <c r="AB327" s="189"/>
      <c r="AC327" s="189"/>
      <c r="AD327" s="189"/>
      <c r="AE327" s="189"/>
      <c r="AF327" s="189"/>
      <c r="AG327" s="189"/>
      <c r="AH327" s="189"/>
      <c r="AI327" s="189"/>
      <c r="AJ327" s="189"/>
      <c r="AK327" s="189"/>
      <c r="AL327" s="189"/>
      <c r="AM327" s="189"/>
      <c r="AN327" s="189"/>
      <c r="AO327" s="189"/>
      <c r="AP327" s="189"/>
    </row>
    <row r="328" spans="1:42" s="14" customFormat="1" ht="15.45" thickBot="1">
      <c r="A328" s="21">
        <v>74</v>
      </c>
      <c r="B328" s="19" t="s">
        <v>617</v>
      </c>
      <c r="C328" s="13" t="s">
        <v>30</v>
      </c>
      <c r="D328" s="13"/>
      <c r="E328" s="13"/>
      <c r="F328" s="189"/>
      <c r="G328" s="189"/>
      <c r="H328" s="189"/>
      <c r="I328" s="189"/>
      <c r="J328" s="189"/>
      <c r="K328" s="189"/>
      <c r="L328" s="189"/>
      <c r="M328" s="189"/>
      <c r="N328" s="189"/>
      <c r="O328" s="189"/>
      <c r="P328" s="189"/>
      <c r="Q328" s="189"/>
      <c r="R328" s="189"/>
      <c r="S328" s="189"/>
      <c r="T328" s="189"/>
      <c r="U328" s="189"/>
      <c r="V328" s="189"/>
      <c r="W328" s="189"/>
      <c r="X328" s="189"/>
      <c r="Y328" s="189"/>
      <c r="Z328" s="189"/>
      <c r="AA328" s="189"/>
      <c r="AB328" s="189"/>
      <c r="AC328" s="189"/>
      <c r="AD328" s="189"/>
      <c r="AE328" s="189"/>
      <c r="AF328" s="189"/>
      <c r="AG328" s="189"/>
      <c r="AH328" s="189"/>
      <c r="AI328" s="189"/>
      <c r="AJ328" s="189"/>
      <c r="AK328" s="189"/>
      <c r="AL328" s="189"/>
      <c r="AM328" s="189"/>
      <c r="AN328" s="189"/>
      <c r="AO328" s="189"/>
      <c r="AP328" s="189"/>
    </row>
    <row r="329" spans="1:42" s="14" customFormat="1" ht="15.45" thickBot="1">
      <c r="A329" s="21">
        <v>75</v>
      </c>
      <c r="B329" s="19" t="s">
        <v>618</v>
      </c>
      <c r="C329" s="13" t="s">
        <v>31</v>
      </c>
      <c r="D329" s="13"/>
      <c r="E329" s="13"/>
      <c r="F329" s="189"/>
      <c r="G329" s="189"/>
      <c r="H329" s="189"/>
      <c r="I329" s="189"/>
      <c r="J329" s="189"/>
      <c r="K329" s="189"/>
      <c r="L329" s="189"/>
      <c r="M329" s="189"/>
      <c r="N329" s="189"/>
      <c r="O329" s="189"/>
      <c r="P329" s="189"/>
      <c r="Q329" s="189"/>
      <c r="R329" s="189"/>
      <c r="S329" s="189"/>
      <c r="T329" s="189"/>
      <c r="U329" s="189"/>
      <c r="V329" s="189"/>
      <c r="W329" s="189"/>
      <c r="X329" s="189"/>
      <c r="Y329" s="189"/>
      <c r="Z329" s="189"/>
      <c r="AA329" s="189"/>
      <c r="AB329" s="189"/>
      <c r="AC329" s="189"/>
      <c r="AD329" s="189"/>
      <c r="AE329" s="189"/>
      <c r="AF329" s="189"/>
      <c r="AG329" s="189"/>
      <c r="AH329" s="189"/>
      <c r="AI329" s="189"/>
      <c r="AJ329" s="189"/>
      <c r="AK329" s="189"/>
      <c r="AL329" s="189"/>
      <c r="AM329" s="189"/>
      <c r="AN329" s="189"/>
      <c r="AO329" s="189"/>
      <c r="AP329" s="189"/>
    </row>
    <row r="330" spans="1:42" s="14" customFormat="1" ht="15.45" thickBot="1">
      <c r="A330" s="21">
        <v>76</v>
      </c>
      <c r="B330" s="19" t="s">
        <v>619</v>
      </c>
      <c r="C330" s="13" t="s">
        <v>180</v>
      </c>
      <c r="D330" s="13"/>
      <c r="E330" s="13"/>
      <c r="F330" s="189"/>
      <c r="G330" s="189"/>
      <c r="H330" s="189"/>
      <c r="I330" s="189"/>
      <c r="J330" s="189"/>
      <c r="K330" s="189"/>
      <c r="L330" s="189"/>
      <c r="M330" s="189"/>
      <c r="N330" s="189"/>
      <c r="O330" s="189"/>
      <c r="P330" s="189"/>
      <c r="Q330" s="189"/>
      <c r="R330" s="189"/>
      <c r="S330" s="189"/>
      <c r="T330" s="189"/>
      <c r="U330" s="189"/>
      <c r="V330" s="189"/>
      <c r="W330" s="189"/>
      <c r="X330" s="189"/>
      <c r="Y330" s="189"/>
      <c r="Z330" s="189"/>
      <c r="AA330" s="189"/>
      <c r="AB330" s="189"/>
      <c r="AC330" s="189"/>
      <c r="AD330" s="189"/>
      <c r="AE330" s="189"/>
      <c r="AF330" s="189"/>
      <c r="AG330" s="189"/>
      <c r="AH330" s="189"/>
      <c r="AI330" s="189"/>
      <c r="AJ330" s="189"/>
      <c r="AK330" s="189"/>
      <c r="AL330" s="189"/>
      <c r="AM330" s="189"/>
      <c r="AN330" s="189"/>
      <c r="AO330" s="189"/>
      <c r="AP330" s="189"/>
    </row>
    <row r="331" spans="1:42" s="14" customFormat="1" ht="15.45" thickBot="1">
      <c r="A331" s="21">
        <v>77</v>
      </c>
      <c r="B331" s="19" t="s">
        <v>620</v>
      </c>
      <c r="C331" s="13" t="s">
        <v>181</v>
      </c>
      <c r="D331" s="13"/>
      <c r="E331" s="13"/>
      <c r="F331" s="189"/>
      <c r="G331" s="189"/>
      <c r="H331" s="189"/>
      <c r="I331" s="189"/>
      <c r="J331" s="189"/>
      <c r="K331" s="189"/>
      <c r="L331" s="189"/>
      <c r="M331" s="189"/>
      <c r="N331" s="189"/>
      <c r="O331" s="189"/>
      <c r="P331" s="189"/>
      <c r="Q331" s="189"/>
      <c r="R331" s="189"/>
      <c r="S331" s="189"/>
      <c r="T331" s="189"/>
      <c r="U331" s="189"/>
      <c r="V331" s="189"/>
      <c r="W331" s="189"/>
      <c r="X331" s="189"/>
      <c r="Y331" s="189"/>
      <c r="Z331" s="189"/>
      <c r="AA331" s="189"/>
      <c r="AB331" s="189"/>
      <c r="AC331" s="189"/>
      <c r="AD331" s="189"/>
      <c r="AE331" s="189"/>
      <c r="AF331" s="189"/>
      <c r="AG331" s="189"/>
      <c r="AH331" s="189"/>
      <c r="AI331" s="189"/>
      <c r="AJ331" s="189"/>
      <c r="AK331" s="189"/>
      <c r="AL331" s="189"/>
      <c r="AM331" s="189"/>
      <c r="AN331" s="189"/>
      <c r="AO331" s="189"/>
      <c r="AP331" s="189"/>
    </row>
    <row r="332" spans="1:42" s="14" customFormat="1" ht="15.45" thickBot="1">
      <c r="A332" s="21">
        <v>78</v>
      </c>
      <c r="B332" s="150" t="s">
        <v>487</v>
      </c>
      <c r="C332" s="13" t="s">
        <v>182</v>
      </c>
      <c r="D332" s="13"/>
      <c r="E332" s="13"/>
      <c r="F332" s="189"/>
      <c r="G332" s="189"/>
      <c r="H332" s="189"/>
      <c r="I332" s="189"/>
      <c r="J332" s="189"/>
      <c r="K332" s="189"/>
      <c r="L332" s="189"/>
      <c r="M332" s="189"/>
      <c r="N332" s="189"/>
      <c r="O332" s="189"/>
      <c r="P332" s="189"/>
      <c r="Q332" s="189"/>
      <c r="R332" s="189"/>
      <c r="S332" s="189"/>
      <c r="T332" s="189"/>
      <c r="U332" s="189"/>
      <c r="V332" s="189"/>
      <c r="W332" s="189"/>
      <c r="X332" s="189"/>
      <c r="Y332" s="189"/>
      <c r="Z332" s="189"/>
      <c r="AA332" s="189"/>
      <c r="AB332" s="189"/>
      <c r="AC332" s="189"/>
      <c r="AD332" s="189"/>
      <c r="AE332" s="189"/>
      <c r="AF332" s="189"/>
      <c r="AG332" s="189"/>
      <c r="AH332" s="189"/>
      <c r="AI332" s="189"/>
      <c r="AJ332" s="189"/>
      <c r="AK332" s="189"/>
      <c r="AL332" s="189"/>
      <c r="AM332" s="189"/>
      <c r="AN332" s="189"/>
      <c r="AO332" s="189"/>
      <c r="AP332" s="189"/>
    </row>
    <row r="333" spans="1:42" s="14" customFormat="1" ht="15.45" thickBot="1">
      <c r="A333" s="21">
        <v>79</v>
      </c>
      <c r="B333" s="19" t="s">
        <v>621</v>
      </c>
      <c r="C333" s="13" t="s">
        <v>183</v>
      </c>
      <c r="D333" s="13"/>
      <c r="E333" s="13"/>
      <c r="F333" s="189"/>
      <c r="G333" s="189"/>
      <c r="H333" s="189"/>
      <c r="I333" s="189"/>
      <c r="J333" s="189"/>
      <c r="K333" s="189"/>
      <c r="L333" s="189"/>
      <c r="M333" s="189"/>
      <c r="N333" s="189"/>
      <c r="O333" s="189"/>
      <c r="P333" s="189"/>
      <c r="Q333" s="189"/>
      <c r="R333" s="189"/>
      <c r="S333" s="189"/>
      <c r="T333" s="189"/>
      <c r="U333" s="189"/>
      <c r="V333" s="189"/>
      <c r="W333" s="189"/>
      <c r="X333" s="189"/>
      <c r="Y333" s="189"/>
      <c r="Z333" s="189"/>
      <c r="AA333" s="189"/>
      <c r="AB333" s="189"/>
      <c r="AC333" s="189"/>
      <c r="AD333" s="189"/>
      <c r="AE333" s="189"/>
      <c r="AF333" s="189"/>
      <c r="AG333" s="189"/>
      <c r="AH333" s="189"/>
      <c r="AI333" s="189"/>
      <c r="AJ333" s="189"/>
      <c r="AK333" s="189"/>
      <c r="AL333" s="189"/>
      <c r="AM333" s="189"/>
      <c r="AN333" s="189"/>
      <c r="AO333" s="189"/>
      <c r="AP333" s="189"/>
    </row>
    <row r="334" spans="1:42" s="14" customFormat="1" ht="15.45" thickBot="1">
      <c r="A334" s="21">
        <v>80</v>
      </c>
      <c r="B334" s="19" t="s">
        <v>622</v>
      </c>
      <c r="C334" s="13" t="s">
        <v>32</v>
      </c>
      <c r="D334" s="13"/>
      <c r="E334" s="13"/>
      <c r="F334" s="189"/>
      <c r="G334" s="189"/>
      <c r="H334" s="189"/>
      <c r="I334" s="189"/>
      <c r="J334" s="189"/>
      <c r="K334" s="189"/>
      <c r="L334" s="189"/>
      <c r="M334" s="189"/>
      <c r="N334" s="189"/>
      <c r="O334" s="189"/>
      <c r="P334" s="189"/>
      <c r="Q334" s="189"/>
      <c r="R334" s="189"/>
      <c r="S334" s="189"/>
      <c r="T334" s="189"/>
      <c r="U334" s="189"/>
      <c r="V334" s="189"/>
      <c r="W334" s="189"/>
      <c r="X334" s="189"/>
      <c r="Y334" s="189"/>
      <c r="Z334" s="189"/>
      <c r="AA334" s="189"/>
      <c r="AB334" s="189"/>
      <c r="AC334" s="189"/>
      <c r="AD334" s="189"/>
      <c r="AE334" s="189"/>
      <c r="AF334" s="189"/>
      <c r="AG334" s="189"/>
      <c r="AH334" s="189"/>
      <c r="AI334" s="189"/>
      <c r="AJ334" s="189"/>
      <c r="AK334" s="189"/>
      <c r="AL334" s="189"/>
      <c r="AM334" s="189"/>
      <c r="AN334" s="189"/>
      <c r="AO334" s="189"/>
      <c r="AP334" s="189"/>
    </row>
    <row r="335" spans="1:42" s="14" customFormat="1" ht="15.45" thickBot="1">
      <c r="A335" s="21">
        <v>81</v>
      </c>
      <c r="B335" s="19" t="s">
        <v>623</v>
      </c>
      <c r="C335" s="13" t="s">
        <v>184</v>
      </c>
      <c r="D335" s="13"/>
      <c r="E335" s="13"/>
      <c r="F335" s="189"/>
      <c r="G335" s="189"/>
      <c r="H335" s="189"/>
      <c r="I335" s="189"/>
      <c r="J335" s="189"/>
      <c r="K335" s="189"/>
      <c r="L335" s="189"/>
      <c r="M335" s="189"/>
      <c r="N335" s="189"/>
      <c r="O335" s="189"/>
      <c r="P335" s="189"/>
      <c r="Q335" s="189"/>
      <c r="R335" s="189"/>
      <c r="S335" s="189"/>
      <c r="T335" s="189"/>
      <c r="U335" s="189"/>
      <c r="V335" s="189"/>
      <c r="W335" s="189"/>
      <c r="X335" s="189"/>
      <c r="Y335" s="189"/>
      <c r="Z335" s="189"/>
      <c r="AA335" s="189"/>
      <c r="AB335" s="189"/>
      <c r="AC335" s="189"/>
      <c r="AD335" s="189"/>
      <c r="AE335" s="189"/>
      <c r="AF335" s="189"/>
      <c r="AG335" s="189"/>
      <c r="AH335" s="189"/>
      <c r="AI335" s="189"/>
      <c r="AJ335" s="189"/>
      <c r="AK335" s="189"/>
      <c r="AL335" s="189"/>
      <c r="AM335" s="189"/>
      <c r="AN335" s="189"/>
      <c r="AO335" s="189"/>
      <c r="AP335" s="189"/>
    </row>
    <row r="336" spans="1:42" s="14" customFormat="1" ht="15.45" thickBot="1">
      <c r="A336" s="21">
        <v>82</v>
      </c>
      <c r="B336" s="19" t="s">
        <v>624</v>
      </c>
      <c r="C336" s="13" t="s">
        <v>33</v>
      </c>
      <c r="D336" s="13"/>
      <c r="E336" s="13"/>
      <c r="F336" s="189"/>
      <c r="G336" s="189"/>
      <c r="H336" s="189"/>
      <c r="I336" s="189"/>
      <c r="J336" s="189"/>
      <c r="K336" s="189"/>
      <c r="L336" s="189"/>
      <c r="M336" s="189"/>
      <c r="N336" s="189"/>
      <c r="O336" s="189"/>
      <c r="P336" s="189"/>
      <c r="Q336" s="189"/>
      <c r="R336" s="189"/>
      <c r="S336" s="189"/>
      <c r="T336" s="189"/>
      <c r="U336" s="189"/>
      <c r="V336" s="189"/>
      <c r="W336" s="189"/>
      <c r="X336" s="189"/>
      <c r="Y336" s="189"/>
      <c r="Z336" s="189"/>
      <c r="AA336" s="189"/>
      <c r="AB336" s="189"/>
      <c r="AC336" s="189"/>
      <c r="AD336" s="189"/>
      <c r="AE336" s="189"/>
      <c r="AF336" s="189"/>
      <c r="AG336" s="189"/>
      <c r="AH336" s="189"/>
      <c r="AI336" s="189"/>
      <c r="AJ336" s="189"/>
      <c r="AK336" s="189"/>
      <c r="AL336" s="189"/>
      <c r="AM336" s="189"/>
      <c r="AN336" s="189"/>
      <c r="AO336" s="189"/>
      <c r="AP336" s="189"/>
    </row>
    <row r="337" spans="1:42" s="14" customFormat="1" ht="15.45" thickBot="1">
      <c r="A337" s="21">
        <v>83</v>
      </c>
      <c r="B337" s="19" t="s">
        <v>625</v>
      </c>
      <c r="C337" s="13" t="s">
        <v>185</v>
      </c>
      <c r="D337" s="13"/>
      <c r="E337" s="13"/>
      <c r="F337" s="189"/>
      <c r="G337" s="189"/>
      <c r="H337" s="189"/>
      <c r="I337" s="189"/>
      <c r="J337" s="189"/>
      <c r="K337" s="189"/>
      <c r="L337" s="189"/>
      <c r="M337" s="189"/>
      <c r="N337" s="189"/>
      <c r="O337" s="189"/>
      <c r="P337" s="189"/>
      <c r="Q337" s="189"/>
      <c r="R337" s="189"/>
      <c r="S337" s="189"/>
      <c r="T337" s="189"/>
      <c r="U337" s="189"/>
      <c r="V337" s="189"/>
      <c r="W337" s="189"/>
      <c r="X337" s="189"/>
      <c r="Y337" s="189"/>
      <c r="Z337" s="189"/>
      <c r="AA337" s="189"/>
      <c r="AB337" s="189"/>
      <c r="AC337" s="189"/>
      <c r="AD337" s="189"/>
      <c r="AE337" s="189"/>
      <c r="AF337" s="189"/>
      <c r="AG337" s="189"/>
      <c r="AH337" s="189"/>
      <c r="AI337" s="189"/>
      <c r="AJ337" s="189"/>
      <c r="AK337" s="189"/>
      <c r="AL337" s="189"/>
      <c r="AM337" s="189"/>
      <c r="AN337" s="189"/>
      <c r="AO337" s="189"/>
      <c r="AP337" s="189"/>
    </row>
    <row r="338" spans="1:42" s="14" customFormat="1" ht="15.45" thickBot="1">
      <c r="A338" s="21">
        <v>84</v>
      </c>
      <c r="B338" s="19" t="s">
        <v>626</v>
      </c>
      <c r="C338" s="13" t="s">
        <v>483</v>
      </c>
      <c r="D338" s="13"/>
      <c r="E338" s="13"/>
      <c r="F338" s="189"/>
      <c r="G338" s="189"/>
      <c r="H338" s="189"/>
      <c r="I338" s="189"/>
      <c r="J338" s="189"/>
      <c r="K338" s="189"/>
      <c r="L338" s="189"/>
      <c r="M338" s="189"/>
      <c r="N338" s="189"/>
      <c r="O338" s="189"/>
      <c r="P338" s="189"/>
      <c r="Q338" s="189"/>
      <c r="R338" s="189"/>
      <c r="S338" s="189"/>
      <c r="T338" s="189"/>
      <c r="U338" s="189"/>
      <c r="V338" s="189"/>
      <c r="W338" s="189"/>
      <c r="X338" s="189"/>
      <c r="Y338" s="189"/>
      <c r="Z338" s="189"/>
      <c r="AA338" s="189"/>
      <c r="AB338" s="189"/>
      <c r="AC338" s="189"/>
      <c r="AD338" s="189"/>
      <c r="AE338" s="189"/>
      <c r="AF338" s="189"/>
      <c r="AG338" s="189"/>
      <c r="AH338" s="189"/>
      <c r="AI338" s="189"/>
      <c r="AJ338" s="189"/>
      <c r="AK338" s="189"/>
      <c r="AL338" s="189"/>
      <c r="AM338" s="189"/>
      <c r="AN338" s="189"/>
      <c r="AO338" s="189"/>
      <c r="AP338" s="189"/>
    </row>
    <row r="339" spans="1:42" s="14" customFormat="1" ht="15.45" thickBot="1">
      <c r="A339" s="21">
        <v>85</v>
      </c>
      <c r="B339" s="19" t="s">
        <v>627</v>
      </c>
      <c r="C339" s="13" t="s">
        <v>484</v>
      </c>
      <c r="D339" s="13"/>
      <c r="E339" s="13"/>
      <c r="F339" s="189"/>
      <c r="G339" s="189"/>
      <c r="H339" s="189"/>
      <c r="I339" s="189"/>
      <c r="J339" s="189"/>
      <c r="K339" s="189"/>
      <c r="L339" s="189"/>
      <c r="M339" s="189"/>
      <c r="N339" s="189"/>
      <c r="O339" s="189"/>
      <c r="P339" s="189"/>
      <c r="Q339" s="189"/>
      <c r="R339" s="189"/>
      <c r="S339" s="189"/>
      <c r="T339" s="189"/>
      <c r="U339" s="189"/>
      <c r="V339" s="189"/>
      <c r="W339" s="189"/>
      <c r="X339" s="189"/>
      <c r="Y339" s="189"/>
      <c r="Z339" s="189"/>
      <c r="AA339" s="189"/>
      <c r="AB339" s="189"/>
      <c r="AC339" s="189"/>
      <c r="AD339" s="189"/>
      <c r="AE339" s="189"/>
      <c r="AF339" s="189"/>
      <c r="AG339" s="189"/>
      <c r="AH339" s="189"/>
      <c r="AI339" s="189"/>
      <c r="AJ339" s="189"/>
      <c r="AK339" s="189"/>
      <c r="AL339" s="189"/>
      <c r="AM339" s="189"/>
      <c r="AN339" s="189"/>
      <c r="AO339" s="189"/>
      <c r="AP339" s="189"/>
    </row>
    <row r="340" spans="1:42" s="14" customFormat="1" ht="15.45" thickBot="1">
      <c r="A340" s="21">
        <v>86</v>
      </c>
      <c r="B340" s="19" t="s">
        <v>628</v>
      </c>
      <c r="C340" s="13" t="s">
        <v>485</v>
      </c>
      <c r="D340" s="13"/>
      <c r="E340" s="13"/>
      <c r="F340" s="189"/>
      <c r="G340" s="189"/>
      <c r="H340" s="189"/>
      <c r="I340" s="189"/>
      <c r="J340" s="189"/>
      <c r="K340" s="189"/>
      <c r="L340" s="189"/>
      <c r="M340" s="189"/>
      <c r="N340" s="189"/>
      <c r="O340" s="189"/>
      <c r="P340" s="189"/>
      <c r="Q340" s="189"/>
      <c r="R340" s="189"/>
      <c r="S340" s="189"/>
      <c r="T340" s="189"/>
      <c r="U340" s="189"/>
      <c r="V340" s="189"/>
      <c r="W340" s="189"/>
      <c r="X340" s="189"/>
      <c r="Y340" s="189"/>
      <c r="Z340" s="189"/>
      <c r="AA340" s="189"/>
      <c r="AB340" s="189"/>
      <c r="AC340" s="189"/>
      <c r="AD340" s="189"/>
      <c r="AE340" s="189"/>
      <c r="AF340" s="189"/>
      <c r="AG340" s="189"/>
      <c r="AH340" s="189"/>
      <c r="AI340" s="189"/>
      <c r="AJ340" s="189"/>
      <c r="AK340" s="189"/>
      <c r="AL340" s="189"/>
      <c r="AM340" s="189"/>
      <c r="AN340" s="189"/>
      <c r="AO340" s="189"/>
      <c r="AP340" s="189"/>
    </row>
    <row r="341" spans="1:42" s="14" customFormat="1" ht="15.45" thickBot="1">
      <c r="A341" s="21">
        <v>87</v>
      </c>
      <c r="B341" s="19" t="s">
        <v>153</v>
      </c>
      <c r="C341" s="13" t="s">
        <v>488</v>
      </c>
      <c r="D341" s="13"/>
      <c r="E341" s="13"/>
      <c r="F341" s="189"/>
      <c r="G341" s="189"/>
      <c r="H341" s="189"/>
      <c r="I341" s="189"/>
      <c r="J341" s="189"/>
      <c r="K341" s="189"/>
      <c r="L341" s="189"/>
      <c r="M341" s="189"/>
      <c r="N341" s="189"/>
      <c r="O341" s="189"/>
      <c r="P341" s="189"/>
      <c r="Q341" s="189"/>
      <c r="R341" s="189"/>
      <c r="S341" s="189"/>
      <c r="T341" s="189"/>
      <c r="U341" s="189"/>
      <c r="V341" s="189"/>
      <c r="W341" s="189"/>
      <c r="X341" s="189"/>
      <c r="Y341" s="189"/>
      <c r="Z341" s="189"/>
      <c r="AA341" s="189"/>
      <c r="AB341" s="189"/>
      <c r="AC341" s="189"/>
      <c r="AD341" s="189"/>
      <c r="AE341" s="189"/>
      <c r="AF341" s="189"/>
      <c r="AG341" s="189"/>
      <c r="AH341" s="189"/>
      <c r="AI341" s="189"/>
      <c r="AJ341" s="189"/>
      <c r="AK341" s="189"/>
      <c r="AL341" s="189"/>
      <c r="AM341" s="189"/>
      <c r="AN341" s="189"/>
      <c r="AO341" s="189"/>
      <c r="AP341" s="189"/>
    </row>
    <row r="342" spans="1:42" s="14" customFormat="1" ht="15.45" thickBot="1">
      <c r="A342" s="21">
        <v>88</v>
      </c>
      <c r="B342" s="19" t="s">
        <v>154</v>
      </c>
      <c r="C342" s="13" t="s">
        <v>489</v>
      </c>
      <c r="D342" s="13"/>
      <c r="E342" s="13"/>
      <c r="F342" s="189"/>
      <c r="G342" s="189"/>
      <c r="H342" s="189"/>
      <c r="I342" s="189"/>
      <c r="J342" s="189"/>
      <c r="K342" s="189"/>
      <c r="L342" s="189"/>
      <c r="M342" s="189"/>
      <c r="N342" s="189"/>
      <c r="O342" s="189"/>
      <c r="P342" s="189"/>
      <c r="Q342" s="189"/>
      <c r="R342" s="189"/>
      <c r="S342" s="189"/>
      <c r="T342" s="189"/>
      <c r="U342" s="189"/>
      <c r="V342" s="189"/>
      <c r="W342" s="189"/>
      <c r="X342" s="189"/>
      <c r="Y342" s="189"/>
      <c r="Z342" s="189"/>
      <c r="AA342" s="189"/>
      <c r="AB342" s="189"/>
      <c r="AC342" s="189"/>
      <c r="AD342" s="189"/>
      <c r="AE342" s="189"/>
      <c r="AF342" s="189"/>
      <c r="AG342" s="189"/>
      <c r="AH342" s="189"/>
      <c r="AI342" s="189"/>
      <c r="AJ342" s="189"/>
      <c r="AK342" s="189"/>
      <c r="AL342" s="189"/>
      <c r="AM342" s="189"/>
      <c r="AN342" s="189"/>
      <c r="AO342" s="189"/>
      <c r="AP342" s="189"/>
    </row>
    <row r="343" spans="1:42" s="14" customFormat="1" ht="15.45" thickBot="1">
      <c r="A343" s="21">
        <v>89</v>
      </c>
      <c r="B343" s="19" t="s">
        <v>155</v>
      </c>
      <c r="C343" s="13" t="s">
        <v>186</v>
      </c>
      <c r="D343" s="13"/>
      <c r="E343" s="13"/>
      <c r="F343" s="189"/>
      <c r="G343" s="189"/>
      <c r="H343" s="189"/>
      <c r="I343" s="189"/>
      <c r="J343" s="189"/>
      <c r="K343" s="189"/>
      <c r="L343" s="189"/>
      <c r="M343" s="189"/>
      <c r="N343" s="189"/>
      <c r="O343" s="189"/>
      <c r="P343" s="189"/>
      <c r="Q343" s="189"/>
      <c r="R343" s="189"/>
      <c r="S343" s="189"/>
      <c r="T343" s="189"/>
      <c r="U343" s="189"/>
      <c r="V343" s="189"/>
      <c r="W343" s="189"/>
      <c r="X343" s="189"/>
      <c r="Y343" s="189"/>
      <c r="Z343" s="189"/>
      <c r="AA343" s="189"/>
      <c r="AB343" s="189"/>
      <c r="AC343" s="189"/>
      <c r="AD343" s="189"/>
      <c r="AE343" s="189"/>
      <c r="AF343" s="189"/>
      <c r="AG343" s="189"/>
      <c r="AH343" s="189"/>
      <c r="AI343" s="189"/>
      <c r="AJ343" s="189"/>
      <c r="AK343" s="189"/>
      <c r="AL343" s="189"/>
      <c r="AM343" s="189"/>
      <c r="AN343" s="189"/>
      <c r="AO343" s="189"/>
      <c r="AP343" s="189"/>
    </row>
    <row r="344" spans="1:42" s="14" customFormat="1" ht="15.45" thickBot="1">
      <c r="A344" s="21">
        <v>90</v>
      </c>
      <c r="B344" s="19" t="s">
        <v>156</v>
      </c>
      <c r="C344" s="13" t="s">
        <v>490</v>
      </c>
      <c r="D344" s="13"/>
      <c r="E344" s="13"/>
      <c r="F344" s="189"/>
      <c r="G344" s="189"/>
      <c r="H344" s="189"/>
      <c r="I344" s="189"/>
      <c r="J344" s="189"/>
      <c r="K344" s="189"/>
      <c r="L344" s="189"/>
      <c r="M344" s="189"/>
      <c r="N344" s="189"/>
      <c r="O344" s="189"/>
      <c r="P344" s="189"/>
      <c r="Q344" s="189"/>
      <c r="R344" s="189"/>
      <c r="S344" s="189"/>
      <c r="T344" s="189"/>
      <c r="U344" s="189"/>
      <c r="V344" s="189"/>
      <c r="W344" s="189"/>
      <c r="X344" s="189"/>
      <c r="Y344" s="189"/>
      <c r="Z344" s="189"/>
      <c r="AA344" s="189"/>
      <c r="AB344" s="189"/>
      <c r="AC344" s="189"/>
      <c r="AD344" s="189"/>
      <c r="AE344" s="189"/>
      <c r="AF344" s="189"/>
      <c r="AG344" s="189"/>
      <c r="AH344" s="189"/>
      <c r="AI344" s="189"/>
      <c r="AJ344" s="189"/>
      <c r="AK344" s="189"/>
      <c r="AL344" s="189"/>
      <c r="AM344" s="189"/>
      <c r="AN344" s="189"/>
      <c r="AO344" s="189"/>
      <c r="AP344" s="189"/>
    </row>
    <row r="345" spans="1:42" s="14" customFormat="1" ht="15.45" thickBot="1">
      <c r="A345" s="21">
        <v>91</v>
      </c>
      <c r="B345" s="150" t="s">
        <v>486</v>
      </c>
      <c r="C345" s="13" t="s">
        <v>187</v>
      </c>
      <c r="D345" s="13"/>
      <c r="E345" s="13"/>
      <c r="F345" s="189"/>
      <c r="G345" s="189"/>
      <c r="H345" s="189"/>
      <c r="I345" s="189"/>
      <c r="J345" s="189"/>
      <c r="K345" s="189"/>
      <c r="L345" s="189"/>
      <c r="M345" s="189"/>
      <c r="N345" s="189"/>
      <c r="O345" s="189"/>
      <c r="P345" s="189"/>
      <c r="Q345" s="189"/>
      <c r="R345" s="189"/>
      <c r="S345" s="189"/>
      <c r="T345" s="189"/>
      <c r="U345" s="189"/>
      <c r="V345" s="189"/>
      <c r="W345" s="189"/>
      <c r="X345" s="189"/>
      <c r="Y345" s="189"/>
      <c r="Z345" s="189"/>
      <c r="AA345" s="189"/>
      <c r="AB345" s="189"/>
      <c r="AC345" s="189"/>
      <c r="AD345" s="189"/>
      <c r="AE345" s="189"/>
      <c r="AF345" s="189"/>
      <c r="AG345" s="189"/>
      <c r="AH345" s="189"/>
      <c r="AI345" s="189"/>
      <c r="AJ345" s="189"/>
      <c r="AK345" s="189"/>
      <c r="AL345" s="189"/>
      <c r="AM345" s="189"/>
      <c r="AN345" s="189"/>
      <c r="AO345" s="189"/>
      <c r="AP345" s="189"/>
    </row>
    <row r="346" spans="1:42" s="14" customFormat="1" ht="15.45" thickBot="1">
      <c r="A346" s="21">
        <v>92</v>
      </c>
      <c r="B346" s="19" t="s">
        <v>157</v>
      </c>
      <c r="C346" s="13" t="s">
        <v>493</v>
      </c>
      <c r="D346" s="13"/>
      <c r="E346" s="13"/>
      <c r="F346" s="189"/>
      <c r="G346" s="189"/>
      <c r="H346" s="189"/>
      <c r="I346" s="189"/>
      <c r="J346" s="189"/>
      <c r="K346" s="189"/>
      <c r="L346" s="189"/>
      <c r="M346" s="189"/>
      <c r="N346" s="189"/>
      <c r="O346" s="189"/>
      <c r="P346" s="189"/>
      <c r="Q346" s="189"/>
      <c r="R346" s="189"/>
      <c r="S346" s="189"/>
      <c r="T346" s="189"/>
      <c r="U346" s="189"/>
      <c r="V346" s="189"/>
      <c r="W346" s="189"/>
      <c r="X346" s="189"/>
      <c r="Y346" s="189"/>
      <c r="Z346" s="189"/>
      <c r="AA346" s="189"/>
      <c r="AB346" s="189"/>
      <c r="AC346" s="189"/>
      <c r="AD346" s="189"/>
      <c r="AE346" s="189"/>
      <c r="AF346" s="189"/>
      <c r="AG346" s="189"/>
      <c r="AH346" s="189"/>
      <c r="AI346" s="189"/>
      <c r="AJ346" s="189"/>
      <c r="AK346" s="189"/>
      <c r="AL346" s="189"/>
      <c r="AM346" s="189"/>
      <c r="AN346" s="189"/>
      <c r="AO346" s="189"/>
      <c r="AP346" s="189"/>
    </row>
    <row r="347" spans="1:42" s="14" customFormat="1" ht="15.45" thickBot="1">
      <c r="A347" s="21">
        <v>93</v>
      </c>
      <c r="B347" s="19" t="s">
        <v>59</v>
      </c>
      <c r="C347" s="13" t="s">
        <v>494</v>
      </c>
      <c r="D347" s="13"/>
      <c r="E347" s="13"/>
      <c r="F347" s="189"/>
      <c r="G347" s="189"/>
      <c r="H347" s="189"/>
      <c r="I347" s="189"/>
      <c r="J347" s="189"/>
      <c r="K347" s="189"/>
      <c r="L347" s="189"/>
      <c r="M347" s="189"/>
      <c r="N347" s="189"/>
      <c r="O347" s="189"/>
      <c r="P347" s="189"/>
      <c r="Q347" s="189"/>
      <c r="R347" s="189"/>
      <c r="S347" s="189"/>
      <c r="T347" s="189"/>
      <c r="U347" s="189"/>
      <c r="V347" s="189"/>
      <c r="W347" s="189"/>
      <c r="X347" s="189"/>
      <c r="Y347" s="189"/>
      <c r="Z347" s="189"/>
      <c r="AA347" s="189"/>
      <c r="AB347" s="189"/>
      <c r="AC347" s="189"/>
      <c r="AD347" s="189"/>
      <c r="AE347" s="189"/>
      <c r="AF347" s="189"/>
      <c r="AG347" s="189"/>
      <c r="AH347" s="189"/>
      <c r="AI347" s="189"/>
      <c r="AJ347" s="189"/>
      <c r="AK347" s="189"/>
      <c r="AL347" s="189"/>
      <c r="AM347" s="189"/>
      <c r="AN347" s="189"/>
      <c r="AO347" s="189"/>
      <c r="AP347" s="189"/>
    </row>
    <row r="348" spans="1:42" s="14" customFormat="1" ht="15.45" thickBot="1">
      <c r="A348" s="21">
        <v>94</v>
      </c>
      <c r="B348" s="19" t="s">
        <v>60</v>
      </c>
      <c r="C348" s="13" t="s">
        <v>189</v>
      </c>
      <c r="D348" s="13"/>
      <c r="E348" s="13"/>
      <c r="F348" s="189"/>
      <c r="G348" s="189"/>
      <c r="H348" s="189"/>
      <c r="I348" s="189"/>
      <c r="J348" s="189"/>
      <c r="K348" s="189"/>
      <c r="L348" s="189"/>
      <c r="M348" s="189"/>
      <c r="N348" s="189"/>
      <c r="O348" s="189"/>
      <c r="P348" s="189"/>
      <c r="Q348" s="189"/>
      <c r="R348" s="189"/>
      <c r="S348" s="189"/>
      <c r="T348" s="189"/>
      <c r="U348" s="189"/>
      <c r="V348" s="189"/>
      <c r="W348" s="189"/>
      <c r="X348" s="189"/>
      <c r="Y348" s="189"/>
      <c r="Z348" s="189"/>
      <c r="AA348" s="189"/>
      <c r="AB348" s="189"/>
      <c r="AC348" s="189"/>
      <c r="AD348" s="189"/>
      <c r="AE348" s="189"/>
      <c r="AF348" s="189"/>
      <c r="AG348" s="189"/>
      <c r="AH348" s="189"/>
      <c r="AI348" s="189"/>
      <c r="AJ348" s="189"/>
      <c r="AK348" s="189"/>
      <c r="AL348" s="189"/>
      <c r="AM348" s="189"/>
      <c r="AN348" s="189"/>
      <c r="AO348" s="189"/>
      <c r="AP348" s="189"/>
    </row>
    <row r="349" spans="1:42" s="14" customFormat="1" ht="15.45" thickBot="1">
      <c r="A349" s="21">
        <v>95</v>
      </c>
      <c r="B349" s="19" t="s">
        <v>61</v>
      </c>
      <c r="C349" s="13" t="s">
        <v>495</v>
      </c>
      <c r="D349" s="13"/>
      <c r="E349" s="13"/>
      <c r="F349" s="189"/>
      <c r="G349" s="189"/>
      <c r="H349" s="189"/>
      <c r="I349" s="189"/>
      <c r="J349" s="189"/>
      <c r="K349" s="189"/>
      <c r="L349" s="189"/>
      <c r="M349" s="189"/>
      <c r="N349" s="189"/>
      <c r="O349" s="189"/>
      <c r="P349" s="189"/>
      <c r="Q349" s="189"/>
      <c r="R349" s="189"/>
      <c r="S349" s="189"/>
      <c r="T349" s="189"/>
      <c r="U349" s="189"/>
      <c r="V349" s="189"/>
      <c r="W349" s="189"/>
      <c r="X349" s="189"/>
      <c r="Y349" s="189"/>
      <c r="Z349" s="189"/>
      <c r="AA349" s="189"/>
      <c r="AB349" s="189"/>
      <c r="AC349" s="189"/>
      <c r="AD349" s="189"/>
      <c r="AE349" s="189"/>
      <c r="AF349" s="189"/>
      <c r="AG349" s="189"/>
      <c r="AH349" s="189"/>
      <c r="AI349" s="189"/>
      <c r="AJ349" s="189"/>
      <c r="AK349" s="189"/>
      <c r="AL349" s="189"/>
      <c r="AM349" s="189"/>
      <c r="AN349" s="189"/>
      <c r="AO349" s="189"/>
      <c r="AP349" s="189"/>
    </row>
    <row r="350" spans="1:42" s="14" customFormat="1" ht="15.45" thickBot="1">
      <c r="A350" s="21">
        <v>96</v>
      </c>
      <c r="B350" s="19" t="s">
        <v>62</v>
      </c>
      <c r="C350" s="13" t="s">
        <v>496</v>
      </c>
      <c r="D350" s="13"/>
      <c r="E350" s="13"/>
      <c r="F350" s="189"/>
      <c r="G350" s="189"/>
      <c r="H350" s="189"/>
      <c r="I350" s="189"/>
      <c r="J350" s="189"/>
      <c r="K350" s="189"/>
      <c r="L350" s="189"/>
      <c r="M350" s="189"/>
      <c r="N350" s="189"/>
      <c r="O350" s="189"/>
      <c r="P350" s="189"/>
      <c r="Q350" s="189"/>
      <c r="R350" s="189"/>
      <c r="S350" s="189"/>
      <c r="T350" s="189"/>
      <c r="U350" s="189"/>
      <c r="V350" s="189"/>
      <c r="W350" s="189"/>
      <c r="X350" s="189"/>
      <c r="Y350" s="189"/>
      <c r="Z350" s="189"/>
      <c r="AA350" s="189"/>
      <c r="AB350" s="189"/>
      <c r="AC350" s="189"/>
      <c r="AD350" s="189"/>
      <c r="AE350" s="189"/>
      <c r="AF350" s="189"/>
      <c r="AG350" s="189"/>
      <c r="AH350" s="189"/>
      <c r="AI350" s="189"/>
      <c r="AJ350" s="189"/>
      <c r="AK350" s="189"/>
      <c r="AL350" s="189"/>
      <c r="AM350" s="189"/>
      <c r="AN350" s="189"/>
      <c r="AO350" s="189"/>
      <c r="AP350" s="189"/>
    </row>
    <row r="351" spans="1:42" s="14" customFormat="1" ht="15.45" thickBot="1">
      <c r="A351" s="21">
        <v>97</v>
      </c>
      <c r="B351" s="19"/>
      <c r="C351" s="6" t="s">
        <v>497</v>
      </c>
      <c r="D351" s="6"/>
      <c r="E351" s="6"/>
      <c r="F351" s="189"/>
      <c r="G351" s="189"/>
      <c r="H351" s="189"/>
      <c r="I351" s="189"/>
      <c r="J351" s="189"/>
      <c r="K351" s="189"/>
      <c r="L351" s="189"/>
      <c r="M351" s="189"/>
      <c r="N351" s="189"/>
      <c r="O351" s="189"/>
      <c r="P351" s="189"/>
      <c r="Q351" s="189"/>
      <c r="R351" s="189"/>
      <c r="S351" s="189"/>
      <c r="T351" s="189"/>
      <c r="U351" s="189"/>
      <c r="V351" s="189"/>
      <c r="W351" s="189"/>
      <c r="X351" s="189"/>
      <c r="Y351" s="189"/>
      <c r="Z351" s="189"/>
      <c r="AA351" s="189"/>
      <c r="AB351" s="189"/>
      <c r="AC351" s="189"/>
      <c r="AD351" s="189"/>
      <c r="AE351" s="189"/>
      <c r="AF351" s="189"/>
      <c r="AG351" s="189"/>
      <c r="AH351" s="189"/>
      <c r="AI351" s="189"/>
      <c r="AJ351" s="189"/>
      <c r="AK351" s="189"/>
      <c r="AL351" s="189"/>
      <c r="AM351" s="189"/>
      <c r="AN351" s="189"/>
      <c r="AO351" s="189"/>
      <c r="AP351" s="189"/>
    </row>
    <row r="352" spans="1:42" s="14" customFormat="1" ht="15.45" thickBot="1">
      <c r="A352" s="21">
        <v>98</v>
      </c>
      <c r="B352" s="19" t="s">
        <v>69</v>
      </c>
      <c r="C352" s="13" t="s">
        <v>190</v>
      </c>
      <c r="D352" s="13"/>
      <c r="E352" s="13"/>
      <c r="F352" s="189"/>
      <c r="G352" s="189"/>
      <c r="H352" s="189"/>
      <c r="I352" s="189"/>
      <c r="J352" s="189"/>
      <c r="K352" s="189"/>
      <c r="L352" s="189"/>
      <c r="M352" s="189"/>
      <c r="N352" s="189"/>
      <c r="O352" s="189"/>
      <c r="P352" s="189"/>
      <c r="Q352" s="189"/>
      <c r="R352" s="189"/>
      <c r="S352" s="189"/>
      <c r="T352" s="189"/>
      <c r="U352" s="189"/>
      <c r="V352" s="189"/>
      <c r="W352" s="189"/>
      <c r="X352" s="189"/>
      <c r="Y352" s="189"/>
      <c r="Z352" s="189"/>
      <c r="AA352" s="189"/>
      <c r="AB352" s="189"/>
      <c r="AC352" s="189"/>
      <c r="AD352" s="189"/>
      <c r="AE352" s="189"/>
      <c r="AF352" s="189"/>
      <c r="AG352" s="189"/>
      <c r="AH352" s="189"/>
      <c r="AI352" s="189"/>
      <c r="AJ352" s="189"/>
      <c r="AK352" s="189"/>
      <c r="AL352" s="189"/>
      <c r="AM352" s="189"/>
      <c r="AN352" s="189"/>
      <c r="AO352" s="189"/>
      <c r="AP352" s="189"/>
    </row>
    <row r="353" spans="1:42" s="14" customFormat="1" ht="15.45" thickBot="1">
      <c r="A353" s="21">
        <v>99</v>
      </c>
      <c r="B353" s="19" t="s">
        <v>70</v>
      </c>
      <c r="C353" s="13" t="s">
        <v>201</v>
      </c>
      <c r="D353" s="13"/>
      <c r="E353" s="13"/>
      <c r="F353" s="189"/>
      <c r="G353" s="189"/>
      <c r="H353" s="189"/>
      <c r="I353" s="189"/>
      <c r="J353" s="189"/>
      <c r="K353" s="189"/>
      <c r="L353" s="189"/>
      <c r="M353" s="189"/>
      <c r="N353" s="189"/>
      <c r="O353" s="189"/>
      <c r="P353" s="189"/>
      <c r="Q353" s="189"/>
      <c r="R353" s="189"/>
      <c r="S353" s="189"/>
      <c r="T353" s="189"/>
      <c r="U353" s="189"/>
      <c r="V353" s="189"/>
      <c r="W353" s="189"/>
      <c r="X353" s="189"/>
      <c r="Y353" s="189"/>
      <c r="Z353" s="189"/>
      <c r="AA353" s="189"/>
      <c r="AB353" s="189"/>
      <c r="AC353" s="189"/>
      <c r="AD353" s="189"/>
      <c r="AE353" s="189"/>
      <c r="AF353" s="189"/>
      <c r="AG353" s="189"/>
      <c r="AH353" s="189"/>
      <c r="AI353" s="189"/>
      <c r="AJ353" s="189"/>
      <c r="AK353" s="189"/>
      <c r="AL353" s="189"/>
      <c r="AM353" s="189"/>
      <c r="AN353" s="189"/>
      <c r="AO353" s="189"/>
      <c r="AP353" s="189"/>
    </row>
    <row r="354" spans="1:42" s="14" customFormat="1" ht="15.45" thickBot="1">
      <c r="A354" s="21">
        <v>100</v>
      </c>
      <c r="B354" s="19" t="s">
        <v>71</v>
      </c>
      <c r="C354" s="13" t="s">
        <v>202</v>
      </c>
      <c r="D354" s="13"/>
      <c r="E354" s="13"/>
      <c r="F354" s="189"/>
      <c r="G354" s="189"/>
      <c r="H354" s="189"/>
      <c r="I354" s="189"/>
      <c r="J354" s="189"/>
      <c r="K354" s="189"/>
      <c r="L354" s="189"/>
      <c r="M354" s="189"/>
      <c r="N354" s="189"/>
      <c r="O354" s="189"/>
      <c r="P354" s="189"/>
      <c r="Q354" s="189"/>
      <c r="R354" s="189"/>
      <c r="S354" s="189"/>
      <c r="T354" s="189"/>
      <c r="U354" s="189"/>
      <c r="V354" s="189"/>
      <c r="W354" s="189"/>
      <c r="X354" s="189"/>
      <c r="Y354" s="189"/>
      <c r="Z354" s="189"/>
      <c r="AA354" s="189"/>
      <c r="AB354" s="189"/>
      <c r="AC354" s="189"/>
      <c r="AD354" s="189"/>
      <c r="AE354" s="189"/>
      <c r="AF354" s="189"/>
      <c r="AG354" s="189"/>
      <c r="AH354" s="189"/>
      <c r="AI354" s="189"/>
      <c r="AJ354" s="189"/>
      <c r="AK354" s="189"/>
      <c r="AL354" s="189"/>
      <c r="AM354" s="189"/>
      <c r="AN354" s="189"/>
      <c r="AO354" s="189"/>
      <c r="AP354" s="189"/>
    </row>
    <row r="355" spans="1:42" s="14" customFormat="1" ht="15.45" thickBot="1">
      <c r="A355" s="21">
        <v>101</v>
      </c>
      <c r="B355" s="19"/>
      <c r="C355" s="6" t="s">
        <v>498</v>
      </c>
      <c r="D355" s="6"/>
      <c r="E355" s="6"/>
      <c r="F355" s="189"/>
      <c r="G355" s="189"/>
      <c r="H355" s="189"/>
      <c r="I355" s="189"/>
      <c r="J355" s="189"/>
      <c r="K355" s="189"/>
      <c r="L355" s="189"/>
      <c r="M355" s="189"/>
      <c r="N355" s="189"/>
      <c r="O355" s="189"/>
      <c r="P355" s="189"/>
      <c r="Q355" s="189"/>
      <c r="R355" s="189"/>
      <c r="S355" s="189"/>
      <c r="T355" s="189"/>
      <c r="U355" s="189"/>
      <c r="V355" s="189"/>
      <c r="W355" s="189"/>
      <c r="X355" s="189"/>
      <c r="Y355" s="189"/>
      <c r="Z355" s="189"/>
      <c r="AA355" s="189"/>
      <c r="AB355" s="189"/>
      <c r="AC355" s="189"/>
      <c r="AD355" s="189"/>
      <c r="AE355" s="189"/>
      <c r="AF355" s="189"/>
      <c r="AG355" s="189"/>
      <c r="AH355" s="189"/>
      <c r="AI355" s="189"/>
      <c r="AJ355" s="189"/>
      <c r="AK355" s="189"/>
      <c r="AL355" s="189"/>
      <c r="AM355" s="189"/>
      <c r="AN355" s="189"/>
      <c r="AO355" s="189"/>
      <c r="AP355" s="189"/>
    </row>
    <row r="356" spans="1:42" s="14" customFormat="1" ht="15.45" thickBot="1">
      <c r="A356" s="21">
        <v>102</v>
      </c>
      <c r="B356" s="19" t="s">
        <v>63</v>
      </c>
      <c r="C356" s="13" t="s">
        <v>522</v>
      </c>
      <c r="D356" s="13"/>
      <c r="E356" s="13"/>
      <c r="F356" s="189"/>
      <c r="G356" s="189"/>
      <c r="H356" s="189"/>
      <c r="I356" s="189"/>
      <c r="J356" s="189"/>
      <c r="K356" s="189"/>
      <c r="L356" s="189"/>
      <c r="M356" s="189"/>
      <c r="N356" s="189"/>
      <c r="O356" s="189"/>
      <c r="P356" s="189"/>
      <c r="Q356" s="189"/>
      <c r="R356" s="189"/>
      <c r="S356" s="189"/>
      <c r="T356" s="189"/>
      <c r="U356" s="189"/>
      <c r="V356" s="189"/>
      <c r="W356" s="189"/>
      <c r="X356" s="189"/>
      <c r="Y356" s="189"/>
      <c r="Z356" s="189"/>
      <c r="AA356" s="189"/>
      <c r="AB356" s="189"/>
      <c r="AC356" s="189"/>
      <c r="AD356" s="189"/>
      <c r="AE356" s="189"/>
      <c r="AF356" s="189"/>
      <c r="AG356" s="189"/>
      <c r="AH356" s="189"/>
      <c r="AI356" s="189"/>
      <c r="AJ356" s="189"/>
      <c r="AK356" s="189"/>
      <c r="AL356" s="189"/>
      <c r="AM356" s="189"/>
      <c r="AN356" s="189"/>
      <c r="AO356" s="189"/>
      <c r="AP356" s="189"/>
    </row>
    <row r="357" spans="1:42" s="14" customFormat="1" ht="15.45" thickBot="1">
      <c r="A357" s="21">
        <v>103</v>
      </c>
      <c r="B357" s="19" t="s">
        <v>64</v>
      </c>
      <c r="C357" s="13" t="s">
        <v>523</v>
      </c>
      <c r="D357" s="13"/>
      <c r="E357" s="13"/>
      <c r="F357" s="189"/>
      <c r="G357" s="189"/>
      <c r="H357" s="189"/>
      <c r="I357" s="189"/>
      <c r="J357" s="189"/>
      <c r="K357" s="189"/>
      <c r="L357" s="189"/>
      <c r="M357" s="189"/>
      <c r="N357" s="189"/>
      <c r="O357" s="189"/>
      <c r="P357" s="189"/>
      <c r="Q357" s="189"/>
      <c r="R357" s="189"/>
      <c r="S357" s="189"/>
      <c r="T357" s="189"/>
      <c r="U357" s="189"/>
      <c r="V357" s="189"/>
      <c r="W357" s="189"/>
      <c r="X357" s="189"/>
      <c r="Y357" s="189"/>
      <c r="Z357" s="189"/>
      <c r="AA357" s="189"/>
      <c r="AB357" s="189"/>
      <c r="AC357" s="189"/>
      <c r="AD357" s="189"/>
      <c r="AE357" s="189"/>
      <c r="AF357" s="189"/>
      <c r="AG357" s="189"/>
      <c r="AH357" s="189"/>
      <c r="AI357" s="189"/>
      <c r="AJ357" s="189"/>
      <c r="AK357" s="189"/>
      <c r="AL357" s="189"/>
      <c r="AM357" s="189"/>
      <c r="AN357" s="189"/>
      <c r="AO357" s="189"/>
      <c r="AP357" s="189"/>
    </row>
    <row r="358" spans="1:42" s="14" customFormat="1" ht="15.45" thickBot="1">
      <c r="A358" s="21">
        <v>104</v>
      </c>
      <c r="B358" s="19" t="s">
        <v>65</v>
      </c>
      <c r="C358" s="13" t="s">
        <v>524</v>
      </c>
      <c r="D358" s="13"/>
      <c r="E358" s="13"/>
      <c r="F358" s="189"/>
      <c r="G358" s="189"/>
      <c r="H358" s="189"/>
      <c r="I358" s="189"/>
      <c r="J358" s="189"/>
      <c r="K358" s="189"/>
      <c r="L358" s="189"/>
      <c r="M358" s="189"/>
      <c r="N358" s="189"/>
      <c r="O358" s="189"/>
      <c r="P358" s="189"/>
      <c r="Q358" s="189"/>
      <c r="R358" s="189"/>
      <c r="S358" s="189"/>
      <c r="T358" s="189"/>
      <c r="U358" s="189"/>
      <c r="V358" s="189"/>
      <c r="W358" s="189"/>
      <c r="X358" s="189"/>
      <c r="Y358" s="189"/>
      <c r="Z358" s="189"/>
      <c r="AA358" s="189"/>
      <c r="AB358" s="189"/>
      <c r="AC358" s="189"/>
      <c r="AD358" s="189"/>
      <c r="AE358" s="189"/>
      <c r="AF358" s="189"/>
      <c r="AG358" s="189"/>
      <c r="AH358" s="189"/>
      <c r="AI358" s="189"/>
      <c r="AJ358" s="189"/>
      <c r="AK358" s="189"/>
      <c r="AL358" s="189"/>
      <c r="AM358" s="189"/>
      <c r="AN358" s="189"/>
      <c r="AO358" s="189"/>
      <c r="AP358" s="189"/>
    </row>
    <row r="359" spans="1:42" s="14" customFormat="1" ht="15.45" thickBot="1">
      <c r="A359" s="21">
        <v>105</v>
      </c>
      <c r="B359" s="19" t="s">
        <v>66</v>
      </c>
      <c r="C359" s="13" t="s">
        <v>203</v>
      </c>
      <c r="D359" s="13"/>
      <c r="E359" s="13"/>
      <c r="F359" s="189"/>
      <c r="G359" s="189"/>
      <c r="H359" s="189"/>
      <c r="I359" s="189"/>
      <c r="J359" s="189"/>
      <c r="K359" s="189"/>
      <c r="L359" s="189"/>
      <c r="M359" s="189"/>
      <c r="N359" s="189"/>
      <c r="O359" s="189"/>
      <c r="P359" s="189"/>
      <c r="Q359" s="189"/>
      <c r="R359" s="189"/>
      <c r="S359" s="189"/>
      <c r="T359" s="189"/>
      <c r="U359" s="189"/>
      <c r="V359" s="189"/>
      <c r="W359" s="189"/>
      <c r="X359" s="189"/>
      <c r="Y359" s="189"/>
      <c r="Z359" s="189"/>
      <c r="AA359" s="189"/>
      <c r="AB359" s="189"/>
      <c r="AC359" s="189"/>
      <c r="AD359" s="189"/>
      <c r="AE359" s="189"/>
      <c r="AF359" s="189"/>
      <c r="AG359" s="189"/>
      <c r="AH359" s="189"/>
      <c r="AI359" s="189"/>
      <c r="AJ359" s="189"/>
      <c r="AK359" s="189"/>
      <c r="AL359" s="189"/>
      <c r="AM359" s="189"/>
      <c r="AN359" s="189"/>
      <c r="AO359" s="189"/>
      <c r="AP359" s="189"/>
    </row>
    <row r="360" spans="1:42" s="14" customFormat="1" ht="15.45" thickBot="1">
      <c r="A360" s="24">
        <v>106</v>
      </c>
      <c r="B360" s="406" t="s">
        <v>67</v>
      </c>
      <c r="C360" s="394" t="s">
        <v>204</v>
      </c>
      <c r="D360" s="394"/>
      <c r="E360" s="3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194"/>
      <c r="AK360" s="194"/>
      <c r="AL360" s="194"/>
      <c r="AM360" s="194"/>
      <c r="AN360" s="194"/>
      <c r="AO360" s="194"/>
      <c r="AP360" s="194"/>
    </row>
    <row r="361" spans="1:42" ht="15.45" thickTop="1">
      <c r="A361" s="23"/>
      <c r="B361" s="236"/>
      <c r="C361" s="237"/>
      <c r="D361" s="237"/>
      <c r="E361" s="237"/>
      <c r="F361" s="192"/>
      <c r="G361" s="192"/>
      <c r="H361" s="192"/>
      <c r="I361" s="192"/>
      <c r="J361" s="192"/>
      <c r="K361" s="192"/>
      <c r="L361" s="192"/>
      <c r="M361" s="192"/>
      <c r="N361" s="192"/>
      <c r="O361" s="192"/>
      <c r="P361" s="192"/>
      <c r="Q361" s="192"/>
      <c r="R361" s="192"/>
      <c r="S361" s="192"/>
      <c r="T361" s="192"/>
      <c r="U361" s="192"/>
      <c r="V361" s="192"/>
      <c r="W361" s="192"/>
      <c r="X361" s="192"/>
      <c r="Y361" s="192"/>
      <c r="Z361" s="192"/>
      <c r="AA361" s="192"/>
      <c r="AB361" s="192"/>
      <c r="AC361" s="192"/>
      <c r="AD361" s="192"/>
      <c r="AE361" s="192"/>
      <c r="AF361" s="192"/>
      <c r="AG361" s="192"/>
      <c r="AH361" s="192"/>
      <c r="AI361" s="192"/>
      <c r="AJ361" s="192"/>
      <c r="AK361" s="192"/>
      <c r="AL361" s="192"/>
      <c r="AM361" s="192"/>
      <c r="AN361" s="192"/>
      <c r="AO361" s="192"/>
      <c r="AP361" s="192"/>
    </row>
    <row r="362" spans="1:42" s="168" customFormat="1" ht="14.25" hidden="1" customHeight="1">
      <c r="A362" s="172"/>
      <c r="B362" s="172"/>
      <c r="C362" s="154" t="s">
        <v>585</v>
      </c>
      <c r="D362" s="154"/>
      <c r="E362" s="154"/>
      <c r="F362" s="183"/>
      <c r="G362" s="183"/>
      <c r="H362" s="183"/>
      <c r="I362" s="183"/>
      <c r="J362" s="183"/>
      <c r="K362" s="185"/>
      <c r="L362" s="185"/>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183"/>
      <c r="AK362" s="183"/>
      <c r="AL362" s="183"/>
      <c r="AM362" s="183"/>
      <c r="AN362" s="183"/>
      <c r="AO362" s="183"/>
      <c r="AP362" s="183"/>
    </row>
    <row r="363" spans="1:42" ht="15" hidden="1">
      <c r="A363" s="238">
        <v>1</v>
      </c>
      <c r="B363" s="376" t="s">
        <v>803</v>
      </c>
      <c r="C363" s="239" t="s">
        <v>582</v>
      </c>
      <c r="D363" s="239"/>
      <c r="E363" s="239"/>
      <c r="F363" s="240"/>
      <c r="G363" s="246"/>
      <c r="H363" s="246"/>
      <c r="I363" s="246"/>
      <c r="J363" s="246"/>
      <c r="K363" s="246"/>
      <c r="L363" s="246"/>
      <c r="M363" s="246"/>
      <c r="N363" s="246"/>
      <c r="O363" s="247"/>
      <c r="P363" s="247"/>
      <c r="Q363" s="247"/>
      <c r="R363" s="247"/>
      <c r="S363" s="247"/>
      <c r="T363" s="247"/>
      <c r="U363" s="247"/>
      <c r="V363" s="247"/>
      <c r="W363" s="247"/>
      <c r="X363" s="247"/>
      <c r="Y363" s="247"/>
      <c r="Z363" s="247"/>
      <c r="AA363" s="247"/>
      <c r="AB363" s="247"/>
      <c r="AC363" s="247"/>
      <c r="AD363" s="247"/>
      <c r="AE363" s="247"/>
      <c r="AF363" s="247"/>
      <c r="AG363" s="247"/>
      <c r="AH363" s="247"/>
      <c r="AI363" s="247"/>
      <c r="AJ363" s="247"/>
      <c r="AK363" s="247"/>
      <c r="AL363" s="247"/>
      <c r="AM363" s="3"/>
      <c r="AN363" s="3"/>
      <c r="AO363" s="3"/>
      <c r="AP363" s="3"/>
    </row>
    <row r="364" spans="1:42" ht="15" hidden="1">
      <c r="A364" s="238">
        <v>2</v>
      </c>
      <c r="B364" s="244" t="s">
        <v>804</v>
      </c>
      <c r="C364" s="239" t="s">
        <v>583</v>
      </c>
      <c r="D364" s="239"/>
      <c r="E364" s="239"/>
      <c r="G364" s="246"/>
      <c r="H364" s="246"/>
      <c r="I364" s="246"/>
      <c r="J364" s="246"/>
      <c r="K364" s="246"/>
      <c r="L364" s="246"/>
      <c r="M364" s="246"/>
      <c r="N364" s="246"/>
      <c r="O364" s="247"/>
      <c r="P364" s="247"/>
      <c r="Q364" s="247"/>
      <c r="R364" s="247"/>
      <c r="S364" s="247"/>
      <c r="T364" s="247"/>
      <c r="U364" s="247"/>
      <c r="V364" s="247"/>
      <c r="W364" s="247"/>
      <c r="X364" s="247"/>
      <c r="Y364" s="247"/>
      <c r="Z364" s="247"/>
      <c r="AA364" s="247"/>
      <c r="AB364" s="247"/>
      <c r="AC364" s="247"/>
      <c r="AD364" s="247"/>
      <c r="AE364" s="247"/>
      <c r="AF364" s="247"/>
      <c r="AG364" s="247"/>
      <c r="AH364" s="247"/>
      <c r="AI364" s="247"/>
      <c r="AJ364" s="247"/>
      <c r="AK364" s="247"/>
      <c r="AL364" s="247"/>
      <c r="AM364" s="3"/>
      <c r="AN364" s="3"/>
      <c r="AO364" s="3"/>
      <c r="AP364" s="3"/>
    </row>
    <row r="365" spans="1:42" ht="15.45" hidden="1" thickBot="1">
      <c r="A365" s="241">
        <v>3</v>
      </c>
      <c r="B365" s="245" t="s">
        <v>805</v>
      </c>
      <c r="C365" s="242" t="s">
        <v>584</v>
      </c>
      <c r="D365" s="242"/>
      <c r="E365" s="242"/>
      <c r="F365" s="243"/>
      <c r="G365" s="248"/>
      <c r="H365" s="248"/>
      <c r="I365" s="248"/>
      <c r="J365" s="248"/>
      <c r="K365" s="248"/>
      <c r="L365" s="248"/>
      <c r="M365" s="248"/>
      <c r="N365" s="248"/>
      <c r="O365" s="249"/>
      <c r="P365" s="249"/>
      <c r="Q365" s="249"/>
      <c r="R365" s="249"/>
      <c r="S365" s="249"/>
      <c r="T365" s="249"/>
      <c r="U365" s="249"/>
      <c r="V365" s="249"/>
      <c r="W365" s="249"/>
      <c r="X365" s="249"/>
      <c r="Y365" s="249"/>
      <c r="Z365" s="249"/>
      <c r="AA365" s="249"/>
      <c r="AB365" s="249"/>
      <c r="AC365" s="249"/>
      <c r="AD365" s="249"/>
      <c r="AE365" s="249"/>
      <c r="AF365" s="249"/>
      <c r="AG365" s="249"/>
      <c r="AH365" s="249"/>
      <c r="AI365" s="249"/>
      <c r="AJ365" s="249"/>
      <c r="AK365" s="249"/>
      <c r="AL365" s="249"/>
      <c r="AM365" s="25"/>
      <c r="AN365" s="25"/>
      <c r="AO365" s="25"/>
      <c r="AP365" s="25"/>
    </row>
    <row r="366" spans="1:42" ht="15">
      <c r="A366" s="732"/>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row>
    <row r="367" spans="1:42" ht="15">
      <c r="A367" s="724"/>
      <c r="B367" s="236"/>
      <c r="C367" s="237"/>
      <c r="D367" s="237"/>
      <c r="E367" s="237"/>
      <c r="F367" s="192"/>
      <c r="G367" s="192"/>
      <c r="H367" s="192"/>
      <c r="I367" s="192"/>
      <c r="J367" s="192"/>
      <c r="K367" s="192"/>
      <c r="L367" s="192"/>
      <c r="M367" s="192"/>
      <c r="N367" s="192"/>
      <c r="O367" s="192"/>
      <c r="P367" s="192"/>
      <c r="Q367" s="192"/>
      <c r="R367" s="192"/>
      <c r="S367" s="192"/>
      <c r="T367" s="192"/>
      <c r="U367" s="192"/>
      <c r="V367" s="192"/>
      <c r="W367" s="192"/>
      <c r="X367" s="192"/>
      <c r="Y367" s="192"/>
      <c r="Z367" s="192"/>
      <c r="AA367" s="192"/>
      <c r="AB367" s="192"/>
      <c r="AC367" s="192"/>
      <c r="AD367" s="192"/>
      <c r="AE367" s="192"/>
      <c r="AF367" s="192"/>
      <c r="AG367" s="192"/>
      <c r="AH367" s="192"/>
      <c r="AI367" s="192"/>
      <c r="AJ367" s="192"/>
      <c r="AK367" s="192"/>
      <c r="AL367" s="192"/>
      <c r="AM367" s="192"/>
      <c r="AN367" s="192"/>
      <c r="AO367" s="192"/>
      <c r="AP367" s="192"/>
    </row>
  </sheetData>
  <phoneticPr fontId="2"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00B0F0"/>
  </sheetPr>
  <dimension ref="A1:AP29"/>
  <sheetViews>
    <sheetView topLeftCell="F4" workbookViewId="0">
      <selection activeCell="V16" sqref="V16"/>
    </sheetView>
  </sheetViews>
  <sheetFormatPr defaultColWidth="9" defaultRowHeight="11.6"/>
  <cols>
    <col min="1" max="1" width="8.5703125" style="676" customWidth="1"/>
    <col min="2" max="2" width="17.5703125" style="675" hidden="1" customWidth="1"/>
    <col min="3" max="3" width="9.140625" style="675" customWidth="1"/>
    <col min="4" max="5" width="11.640625" style="675" customWidth="1"/>
    <col min="6" max="6" width="27.140625" style="676" customWidth="1"/>
    <col min="7" max="17" width="15.5703125" style="676" hidden="1" customWidth="1"/>
    <col min="18" max="18" width="15.5703125" style="676" customWidth="1"/>
    <col min="19" max="21" width="15.5703125" style="676" hidden="1" customWidth="1"/>
    <col min="22" max="22" width="15.5703125" style="676" customWidth="1"/>
    <col min="23" max="25" width="15.5703125" style="676" hidden="1" customWidth="1"/>
    <col min="26" max="26" width="15.5703125" style="676" customWidth="1"/>
    <col min="27" max="29" width="15.5703125" style="676" hidden="1" customWidth="1"/>
    <col min="30" max="30" width="15.5703125" style="676" customWidth="1"/>
    <col min="31" max="33" width="15.5703125" style="676" hidden="1" customWidth="1"/>
    <col min="34" max="34" width="15.5703125" style="676" customWidth="1"/>
    <col min="35" max="37" width="15.5703125" style="676" hidden="1" customWidth="1"/>
    <col min="38" max="38" width="15.5703125" style="676" customWidth="1"/>
    <col min="39" max="39" width="15.5703125" style="676" hidden="1" customWidth="1"/>
    <col min="40" max="42" width="15.35546875" style="676" hidden="1" customWidth="1"/>
    <col min="43" max="16384" width="9" style="676"/>
  </cols>
  <sheetData>
    <row r="1" spans="1:42" s="484" customFormat="1" ht="14.25" customHeight="1">
      <c r="A1" s="552"/>
      <c r="B1" s="553"/>
      <c r="C1" s="553"/>
      <c r="D1" s="553"/>
      <c r="E1" s="553"/>
      <c r="F1" s="553"/>
      <c r="G1" s="553"/>
      <c r="H1" s="553"/>
      <c r="I1" s="553"/>
      <c r="J1" s="553"/>
      <c r="K1" s="554"/>
      <c r="L1" s="554"/>
      <c r="M1" s="555"/>
      <c r="N1" s="555"/>
      <c r="O1" s="555"/>
      <c r="P1" s="555"/>
    </row>
    <row r="2" spans="1:42" s="679" customFormat="1" ht="17.25" customHeight="1">
      <c r="A2" s="678"/>
      <c r="B2" s="680"/>
      <c r="C2" s="681" t="s">
        <v>1369</v>
      </c>
      <c r="D2" s="678"/>
      <c r="E2" s="678"/>
      <c r="F2" s="678"/>
      <c r="G2" s="678"/>
      <c r="H2" s="678"/>
      <c r="I2" s="678"/>
      <c r="J2" s="678"/>
      <c r="K2" s="678"/>
      <c r="L2" s="678"/>
      <c r="M2" s="678"/>
      <c r="N2" s="678"/>
      <c r="O2" s="678"/>
      <c r="P2" s="678"/>
      <c r="Q2" s="678"/>
      <c r="R2" s="678"/>
      <c r="S2" s="678"/>
      <c r="T2" s="678"/>
      <c r="U2" s="678"/>
      <c r="V2" s="678"/>
      <c r="W2" s="678"/>
      <c r="X2" s="678"/>
      <c r="Y2" s="678"/>
      <c r="Z2" s="678"/>
      <c r="AA2" s="678"/>
      <c r="AB2" s="678"/>
      <c r="AC2" s="678"/>
      <c r="AD2" s="678"/>
      <c r="AE2" s="678"/>
      <c r="AF2" s="678"/>
      <c r="AG2" s="678"/>
      <c r="AH2" s="678"/>
      <c r="AI2" s="678"/>
      <c r="AJ2" s="678"/>
      <c r="AK2" s="678"/>
      <c r="AL2" s="678"/>
      <c r="AM2" s="678"/>
      <c r="AN2" s="678"/>
      <c r="AO2" s="678"/>
      <c r="AP2" s="678"/>
    </row>
    <row r="3" spans="1:42" s="170" customFormat="1" ht="14.15">
      <c r="A3" s="7"/>
      <c r="B3" s="7">
        <f>财务基础数据!A4</f>
        <v>0</v>
      </c>
      <c r="C3" s="197">
        <f>财务基础数据!B4</f>
        <v>1464.7524759999999</v>
      </c>
      <c r="D3" s="395"/>
      <c r="E3" s="395">
        <f>财务基础数据!C4</f>
        <v>0</v>
      </c>
      <c r="F3" s="186"/>
      <c r="G3" s="186"/>
      <c r="H3" s="187"/>
      <c r="I3" s="186"/>
      <c r="J3" s="186"/>
      <c r="K3" s="186"/>
      <c r="L3" s="187"/>
      <c r="M3" s="186"/>
      <c r="N3" s="186"/>
      <c r="O3" s="186"/>
      <c r="P3" s="187"/>
      <c r="Q3" s="186"/>
      <c r="R3" s="186"/>
      <c r="S3" s="186"/>
      <c r="T3" s="187"/>
      <c r="U3" s="187"/>
      <c r="V3" s="187"/>
      <c r="W3" s="187"/>
      <c r="X3" s="187"/>
      <c r="Y3" s="187"/>
      <c r="Z3" s="187"/>
      <c r="AA3" s="187"/>
      <c r="AB3" s="187"/>
      <c r="AC3" s="187"/>
      <c r="AD3" s="187"/>
      <c r="AE3" s="187"/>
      <c r="AF3" s="187"/>
      <c r="AG3" s="187"/>
      <c r="AH3" s="187"/>
      <c r="AI3" s="187"/>
      <c r="AJ3" s="187"/>
      <c r="AK3" s="187"/>
      <c r="AL3" s="187"/>
      <c r="AM3" s="733"/>
      <c r="AN3" s="187"/>
      <c r="AO3" s="187"/>
      <c r="AP3" s="187"/>
    </row>
    <row r="4" spans="1:42" s="673" customFormat="1" ht="14.15" thickBot="1">
      <c r="A4" s="671" t="s">
        <v>35</v>
      </c>
      <c r="B4" s="671"/>
      <c r="C4" s="671" t="s">
        <v>234</v>
      </c>
      <c r="D4" s="671"/>
      <c r="E4" s="671"/>
      <c r="F4" s="672"/>
      <c r="G4" s="672" t="str">
        <f>财务基础数据!G5</f>
        <v>1Q13</v>
      </c>
      <c r="H4" s="672" t="str">
        <f>财务基础数据!H5</f>
        <v>1H13</v>
      </c>
      <c r="I4" s="672" t="str">
        <f>财务基础数据!I5</f>
        <v>3Q13</v>
      </c>
      <c r="J4" s="672">
        <f>财务基础数据!J5</f>
        <v>2013</v>
      </c>
      <c r="K4" s="672" t="str">
        <f>财务基础数据!K5</f>
        <v>1Q14</v>
      </c>
      <c r="L4" s="672" t="str">
        <f>财务基础数据!L5</f>
        <v>1H14</v>
      </c>
      <c r="M4" s="672" t="str">
        <f>财务基础数据!M5</f>
        <v>3Q14</v>
      </c>
      <c r="N4" s="672">
        <f>财务基础数据!N5</f>
        <v>2014</v>
      </c>
      <c r="O4" s="672" t="str">
        <f>财务基础数据!O5</f>
        <v>1Q15</v>
      </c>
      <c r="P4" s="672" t="str">
        <f>财务基础数据!P5</f>
        <v>1H15</v>
      </c>
      <c r="Q4" s="672" t="str">
        <f>财务基础数据!Q5</f>
        <v>3Q15</v>
      </c>
      <c r="R4" s="672">
        <f>财务基础数据!R5</f>
        <v>2015</v>
      </c>
      <c r="S4" s="672" t="str">
        <f>财务基础数据!S5</f>
        <v>1Q16</v>
      </c>
      <c r="T4" s="672" t="str">
        <f>财务基础数据!T5</f>
        <v>1H16</v>
      </c>
      <c r="U4" s="672" t="str">
        <f>财务基础数据!U5</f>
        <v>3Q16</v>
      </c>
      <c r="V4" s="672">
        <f>财务基础数据!V5</f>
        <v>2016</v>
      </c>
      <c r="W4" s="672" t="str">
        <f>财务基础数据!W5</f>
        <v>1Q17</v>
      </c>
      <c r="X4" s="672" t="str">
        <f>财务基础数据!X5</f>
        <v>1H17</v>
      </c>
      <c r="Y4" s="672" t="str">
        <f>财务基础数据!Y5</f>
        <v>3Q17</v>
      </c>
      <c r="Z4" s="672">
        <f>财务基础数据!Z5</f>
        <v>2017</v>
      </c>
      <c r="AA4" s="672" t="str">
        <f>财务基础数据!AA5</f>
        <v>1Q18</v>
      </c>
      <c r="AB4" s="672" t="str">
        <f>财务基础数据!AB5</f>
        <v>1H18</v>
      </c>
      <c r="AC4" s="672" t="str">
        <f>财务基础数据!AC5</f>
        <v>3Q18</v>
      </c>
      <c r="AD4" s="672">
        <f>财务基础数据!AD5</f>
        <v>2021</v>
      </c>
      <c r="AE4" s="672" t="str">
        <f>财务基础数据!AE5</f>
        <v>1Q19</v>
      </c>
      <c r="AF4" s="672" t="str">
        <f>财务基础数据!AF5</f>
        <v>1H19</v>
      </c>
      <c r="AG4" s="672" t="str">
        <f>财务基础数据!AG5</f>
        <v>3Q19</v>
      </c>
      <c r="AH4" s="672">
        <f>财务基础数据!AH5</f>
        <v>2022</v>
      </c>
      <c r="AI4" s="672" t="str">
        <f>财务基础数据!AI5</f>
        <v>1Q20</v>
      </c>
      <c r="AJ4" s="672" t="str">
        <f>财务基础数据!AJ5</f>
        <v>1H20</v>
      </c>
      <c r="AK4" s="672" t="str">
        <f>财务基础数据!AK5</f>
        <v>3Q20</v>
      </c>
      <c r="AL4" s="672">
        <f>财务基础数据!AL5</f>
        <v>2023</v>
      </c>
      <c r="AM4" s="672" t="str">
        <f>财务基础数据!AM5</f>
        <v>1Q23</v>
      </c>
      <c r="AN4" s="672" t="str">
        <f>财务基础数据!AN5</f>
        <v>1H21</v>
      </c>
      <c r="AO4" s="672" t="str">
        <f>财务基础数据!AO5</f>
        <v>3Q21</v>
      </c>
      <c r="AP4" s="672" t="str">
        <f>财务基础数据!AP5</f>
        <v>-</v>
      </c>
    </row>
    <row r="5" spans="1:42">
      <c r="A5" s="674" t="s">
        <v>1015</v>
      </c>
      <c r="B5" s="674" t="s">
        <v>1135</v>
      </c>
      <c r="C5" s="674" t="s">
        <v>1013</v>
      </c>
      <c r="D5" s="674" t="s">
        <v>1134</v>
      </c>
      <c r="E5" s="674" t="s">
        <v>1014</v>
      </c>
      <c r="F5" s="674" t="s">
        <v>1133</v>
      </c>
      <c r="G5" s="675"/>
      <c r="H5" s="675"/>
    </row>
    <row r="6" spans="1:42" ht="12.9">
      <c r="A6" s="675">
        <v>1</v>
      </c>
      <c r="B6" s="677" t="s">
        <v>1137</v>
      </c>
      <c r="C6" s="636" t="s">
        <v>1136</v>
      </c>
      <c r="D6" s="675">
        <v>1</v>
      </c>
      <c r="E6" s="636" t="s">
        <v>1107</v>
      </c>
      <c r="F6" s="636" t="s">
        <v>1112</v>
      </c>
    </row>
    <row r="7" spans="1:42" ht="12.9">
      <c r="A7" s="675">
        <v>2</v>
      </c>
      <c r="B7" s="677" t="s">
        <v>1138</v>
      </c>
      <c r="C7" s="636" t="s">
        <v>1011</v>
      </c>
      <c r="D7" s="675">
        <v>2</v>
      </c>
      <c r="E7" s="636" t="s">
        <v>1107</v>
      </c>
      <c r="F7" s="636" t="s">
        <v>1113</v>
      </c>
    </row>
    <row r="8" spans="1:42" ht="12.9">
      <c r="A8" s="675">
        <v>3</v>
      </c>
      <c r="B8" s="677" t="s">
        <v>1139</v>
      </c>
      <c r="C8" s="636" t="s">
        <v>1011</v>
      </c>
      <c r="D8" s="675">
        <v>3</v>
      </c>
      <c r="E8" s="636" t="s">
        <v>1107</v>
      </c>
      <c r="F8" s="636" t="s">
        <v>1114</v>
      </c>
    </row>
    <row r="9" spans="1:42" ht="12.9">
      <c r="A9" s="675">
        <v>4</v>
      </c>
      <c r="B9" s="677" t="s">
        <v>1140</v>
      </c>
      <c r="C9" s="636" t="s">
        <v>1011</v>
      </c>
      <c r="D9" s="675">
        <v>4</v>
      </c>
      <c r="E9" s="636" t="s">
        <v>1107</v>
      </c>
      <c r="F9" s="636" t="s">
        <v>1115</v>
      </c>
    </row>
    <row r="10" spans="1:42" ht="12.9">
      <c r="A10" s="675">
        <v>5</v>
      </c>
      <c r="B10" s="677" t="s">
        <v>1141</v>
      </c>
      <c r="C10" s="636" t="s">
        <v>1011</v>
      </c>
      <c r="D10" s="675">
        <v>5</v>
      </c>
      <c r="E10" s="636" t="s">
        <v>1107</v>
      </c>
      <c r="F10" s="636" t="s">
        <v>1116</v>
      </c>
    </row>
    <row r="11" spans="1:42" ht="12.9">
      <c r="A11" s="675">
        <v>6</v>
      </c>
      <c r="B11" s="677" t="s">
        <v>1142</v>
      </c>
      <c r="C11" s="636" t="s">
        <v>1011</v>
      </c>
      <c r="D11" s="675">
        <v>1</v>
      </c>
      <c r="E11" s="636" t="s">
        <v>1108</v>
      </c>
      <c r="F11" s="636" t="s">
        <v>1117</v>
      </c>
    </row>
    <row r="12" spans="1:42" ht="12.9">
      <c r="A12" s="675">
        <v>7</v>
      </c>
      <c r="B12" s="677" t="s">
        <v>1143</v>
      </c>
      <c r="C12" s="636" t="s">
        <v>1011</v>
      </c>
      <c r="D12" s="675">
        <v>2</v>
      </c>
      <c r="E12" s="636" t="s">
        <v>1108</v>
      </c>
      <c r="F12" s="636" t="s">
        <v>1118</v>
      </c>
    </row>
    <row r="13" spans="1:42" ht="12.9">
      <c r="A13" s="675">
        <v>8</v>
      </c>
      <c r="B13" s="677" t="s">
        <v>1144</v>
      </c>
      <c r="C13" s="636" t="s">
        <v>1011</v>
      </c>
      <c r="D13" s="675">
        <v>3</v>
      </c>
      <c r="E13" s="636" t="s">
        <v>1108</v>
      </c>
      <c r="F13" s="636" t="s">
        <v>1119</v>
      </c>
    </row>
    <row r="14" spans="1:42" ht="12.9">
      <c r="A14" s="675">
        <v>9</v>
      </c>
      <c r="B14" s="677" t="s">
        <v>1145</v>
      </c>
      <c r="C14" s="636" t="s">
        <v>1012</v>
      </c>
      <c r="D14" s="675">
        <v>4</v>
      </c>
      <c r="E14" s="636" t="s">
        <v>1108</v>
      </c>
      <c r="F14" s="636" t="s">
        <v>1120</v>
      </c>
    </row>
    <row r="15" spans="1:42" ht="12.9">
      <c r="A15" s="675">
        <v>10</v>
      </c>
      <c r="B15" s="677" t="s">
        <v>1146</v>
      </c>
      <c r="C15" s="636" t="s">
        <v>1012</v>
      </c>
      <c r="D15" s="675">
        <v>1</v>
      </c>
      <c r="E15" s="636" t="s">
        <v>1109</v>
      </c>
      <c r="F15" s="636" t="s">
        <v>1121</v>
      </c>
    </row>
    <row r="16" spans="1:42" ht="12.9">
      <c r="A16" s="675">
        <v>11</v>
      </c>
      <c r="B16" s="677" t="s">
        <v>1147</v>
      </c>
      <c r="C16" s="636" t="s">
        <v>1012</v>
      </c>
      <c r="D16" s="675">
        <v>2</v>
      </c>
      <c r="E16" s="636" t="s">
        <v>1109</v>
      </c>
      <c r="F16" s="636" t="s">
        <v>1122</v>
      </c>
    </row>
    <row r="17" spans="1:6" ht="12.9">
      <c r="A17" s="675">
        <v>12</v>
      </c>
      <c r="B17" s="677" t="s">
        <v>1148</v>
      </c>
      <c r="C17" s="636" t="s">
        <v>1012</v>
      </c>
      <c r="D17" s="675">
        <v>3</v>
      </c>
      <c r="E17" s="636" t="s">
        <v>1109</v>
      </c>
      <c r="F17" s="636" t="s">
        <v>1123</v>
      </c>
    </row>
    <row r="18" spans="1:6" ht="12.9">
      <c r="A18" s="675">
        <v>13</v>
      </c>
      <c r="B18" s="677" t="s">
        <v>1149</v>
      </c>
      <c r="C18" s="636" t="s">
        <v>1012</v>
      </c>
      <c r="D18" s="675">
        <v>4</v>
      </c>
      <c r="E18" s="636" t="s">
        <v>1109</v>
      </c>
      <c r="F18" s="636" t="s">
        <v>1124</v>
      </c>
    </row>
    <row r="19" spans="1:6" ht="12.9">
      <c r="A19" s="675">
        <v>14</v>
      </c>
      <c r="B19" s="677" t="s">
        <v>1150</v>
      </c>
      <c r="C19" s="636" t="s">
        <v>1012</v>
      </c>
      <c r="D19" s="675">
        <v>1</v>
      </c>
      <c r="E19" s="636" t="s">
        <v>1110</v>
      </c>
      <c r="F19" s="636" t="s">
        <v>1125</v>
      </c>
    </row>
    <row r="20" spans="1:6" ht="12.9">
      <c r="A20" s="675">
        <v>15</v>
      </c>
      <c r="B20" s="677" t="s">
        <v>1151</v>
      </c>
      <c r="C20" s="636" t="s">
        <v>1012</v>
      </c>
      <c r="D20" s="675">
        <v>2</v>
      </c>
      <c r="E20" s="636" t="s">
        <v>1110</v>
      </c>
      <c r="F20" s="636" t="s">
        <v>1126</v>
      </c>
    </row>
    <row r="21" spans="1:6" ht="12.9">
      <c r="A21" s="675">
        <v>16</v>
      </c>
      <c r="B21" s="677" t="s">
        <v>1152</v>
      </c>
      <c r="C21" s="636" t="s">
        <v>1012</v>
      </c>
      <c r="D21" s="675">
        <v>3</v>
      </c>
      <c r="E21" s="636" t="s">
        <v>1110</v>
      </c>
      <c r="F21" s="636" t="s">
        <v>1127</v>
      </c>
    </row>
    <row r="22" spans="1:6" ht="12.9">
      <c r="A22" s="675">
        <v>17</v>
      </c>
      <c r="B22" s="677" t="s">
        <v>1153</v>
      </c>
      <c r="C22" s="636" t="s">
        <v>1012</v>
      </c>
      <c r="D22" s="675">
        <v>4</v>
      </c>
      <c r="E22" s="636" t="s">
        <v>1110</v>
      </c>
      <c r="F22" s="636" t="s">
        <v>1128</v>
      </c>
    </row>
    <row r="23" spans="1:6" ht="12.9">
      <c r="A23" s="675">
        <v>18</v>
      </c>
      <c r="B23" s="677" t="s">
        <v>1154</v>
      </c>
      <c r="C23" s="636" t="s">
        <v>1012</v>
      </c>
      <c r="D23" s="675">
        <v>1</v>
      </c>
      <c r="E23" s="636" t="s">
        <v>1111</v>
      </c>
      <c r="F23" s="636" t="s">
        <v>1129</v>
      </c>
    </row>
    <row r="24" spans="1:6" ht="12.9">
      <c r="A24" s="675">
        <v>19</v>
      </c>
      <c r="B24" s="677" t="s">
        <v>1155</v>
      </c>
      <c r="C24" s="636" t="s">
        <v>1012</v>
      </c>
      <c r="D24" s="675">
        <v>2</v>
      </c>
      <c r="E24" s="636" t="s">
        <v>1111</v>
      </c>
      <c r="F24" s="636" t="s">
        <v>1130</v>
      </c>
    </row>
    <row r="25" spans="1:6" ht="12.9">
      <c r="A25" s="675">
        <v>20</v>
      </c>
      <c r="B25" s="677" t="s">
        <v>1156</v>
      </c>
      <c r="C25" s="636" t="s">
        <v>1012</v>
      </c>
      <c r="D25" s="675">
        <v>3</v>
      </c>
      <c r="E25" s="636" t="s">
        <v>1111</v>
      </c>
      <c r="F25" s="636" t="s">
        <v>1131</v>
      </c>
    </row>
    <row r="26" spans="1:6" ht="12.9">
      <c r="A26" s="675">
        <v>21</v>
      </c>
      <c r="B26" s="677" t="s">
        <v>1157</v>
      </c>
      <c r="C26" s="636" t="s">
        <v>1012</v>
      </c>
      <c r="D26" s="675">
        <v>4</v>
      </c>
      <c r="E26" s="636" t="s">
        <v>1111</v>
      </c>
      <c r="F26" s="636" t="s">
        <v>1132</v>
      </c>
    </row>
    <row r="28" spans="1:6" ht="15">
      <c r="A28" s="732"/>
    </row>
    <row r="29" spans="1:6" ht="15">
      <c r="A29" s="724"/>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3">
    <tabColor rgb="FF00B050"/>
  </sheetPr>
  <dimension ref="A3:N64"/>
  <sheetViews>
    <sheetView workbookViewId="0">
      <selection activeCell="C59" sqref="C59"/>
    </sheetView>
  </sheetViews>
  <sheetFormatPr defaultRowHeight="15"/>
  <cols>
    <col min="1" max="1" width="2.640625" style="627" customWidth="1"/>
    <col min="2" max="2" width="27.78515625" style="627" customWidth="1"/>
    <col min="3" max="8" width="10.78515625" style="627" bestFit="1" customWidth="1"/>
    <col min="9" max="16384" width="9.140625" style="627"/>
  </cols>
  <sheetData>
    <row r="3" spans="1:14">
      <c r="B3" s="34" t="str">
        <f>"单位：" &amp; [2]目录!D5</f>
        <v>单位：港元</v>
      </c>
    </row>
    <row r="4" spans="1:14">
      <c r="B4" s="174"/>
      <c r="C4" s="417">
        <v>2021</v>
      </c>
      <c r="D4" s="417">
        <v>2022</v>
      </c>
      <c r="E4" s="417">
        <v>2023</v>
      </c>
      <c r="F4" s="529" t="str">
        <f>资产负债表!AL4</f>
        <v>-E</v>
      </c>
      <c r="G4" s="529" t="e">
        <f>资产负债表!AM4</f>
        <v>#VALUE!</v>
      </c>
      <c r="H4" s="529" t="e">
        <f>资产负债表!AN4</f>
        <v>#VALUE!</v>
      </c>
      <c r="I4" s="174"/>
      <c r="J4" s="174"/>
      <c r="K4" s="174"/>
      <c r="L4" s="174"/>
      <c r="M4" s="174"/>
      <c r="N4" s="174"/>
    </row>
    <row r="5" spans="1:14">
      <c r="B5" s="627" t="s">
        <v>1166</v>
      </c>
      <c r="C5" s="520">
        <v>0</v>
      </c>
      <c r="D5" s="520">
        <v>0</v>
      </c>
      <c r="E5" s="520">
        <v>16652.854549799998</v>
      </c>
      <c r="F5" s="520" t="e">
        <f>F9+F39+F50</f>
        <v>#DIV/0!</v>
      </c>
      <c r="G5" s="520" t="e">
        <f>G9+G39+G50</f>
        <v>#DIV/0!</v>
      </c>
      <c r="H5" s="520" t="e">
        <f>H9+H39+H50</f>
        <v>#DIV/0!</v>
      </c>
      <c r="I5" s="520"/>
      <c r="J5" s="520"/>
      <c r="K5" s="520"/>
    </row>
    <row r="6" spans="1:14">
      <c r="B6" s="627" t="s">
        <v>1167</v>
      </c>
      <c r="F6" s="520">
        <f>F56</f>
        <v>0</v>
      </c>
      <c r="G6" s="520">
        <f>G56</f>
        <v>0</v>
      </c>
      <c r="H6" s="520">
        <f>H56</f>
        <v>0</v>
      </c>
    </row>
    <row r="7" spans="1:14">
      <c r="F7" s="520"/>
      <c r="G7" s="520"/>
      <c r="H7" s="520"/>
    </row>
    <row r="8" spans="1:14">
      <c r="B8" s="627" t="s">
        <v>1433</v>
      </c>
      <c r="F8" s="798">
        <f>压力测试!D7</f>
        <v>0</v>
      </c>
      <c r="G8" s="798">
        <f>压力测试!E7</f>
        <v>0</v>
      </c>
      <c r="H8" s="798">
        <f>压力测试!F7</f>
        <v>0</v>
      </c>
    </row>
    <row r="9" spans="1:14">
      <c r="A9" s="795"/>
      <c r="B9" s="789" t="s">
        <v>1371</v>
      </c>
      <c r="C9" s="788"/>
      <c r="D9" s="788"/>
      <c r="E9" s="788"/>
      <c r="F9" s="789" t="e">
        <f>(F12+F16+F21+F26+F30+F34+F36)*F8</f>
        <v>#DIV/0!</v>
      </c>
      <c r="G9" s="789" t="e">
        <f t="shared" ref="G9:H9" si="0">(G12+G16+G21+G26+G30+G34+G36)*G8</f>
        <v>#DIV/0!</v>
      </c>
      <c r="H9" s="789" t="e">
        <f t="shared" si="0"/>
        <v>#DIV/0!</v>
      </c>
      <c r="I9" s="788"/>
      <c r="J9" s="788"/>
      <c r="K9" s="788"/>
      <c r="L9" s="788"/>
      <c r="M9" s="788"/>
    </row>
    <row r="10" spans="1:14">
      <c r="B10" s="627" t="s">
        <v>1383</v>
      </c>
      <c r="C10" s="793"/>
      <c r="D10" s="793"/>
      <c r="E10" s="793"/>
      <c r="F10" s="793" t="e">
        <f>($E$10/$C$10)^(1/2)*E10</f>
        <v>#DIV/0!</v>
      </c>
      <c r="G10" s="793" t="e">
        <f t="shared" ref="G10:H10" si="1">($E$10/$C$10)^(1/2)*F10</f>
        <v>#DIV/0!</v>
      </c>
      <c r="H10" s="793" t="e">
        <f t="shared" si="1"/>
        <v>#DIV/0!</v>
      </c>
    </row>
    <row r="11" spans="1:14">
      <c r="B11" s="627" t="s">
        <v>1429</v>
      </c>
      <c r="C11" s="793"/>
      <c r="D11" s="793"/>
      <c r="E11" s="793"/>
      <c r="F11" s="793">
        <f>E11</f>
        <v>0</v>
      </c>
      <c r="G11" s="793">
        <f>F11</f>
        <v>0</v>
      </c>
      <c r="H11" s="793">
        <f>G11</f>
        <v>0</v>
      </c>
    </row>
    <row r="12" spans="1:14">
      <c r="B12" s="788" t="s">
        <v>1384</v>
      </c>
      <c r="C12" s="794">
        <f>C10*C11</f>
        <v>0</v>
      </c>
      <c r="D12" s="794">
        <f t="shared" ref="D12:H12" si="2">D10*D11</f>
        <v>0</v>
      </c>
      <c r="E12" s="794">
        <f t="shared" si="2"/>
        <v>0</v>
      </c>
      <c r="F12" s="794" t="e">
        <f t="shared" si="2"/>
        <v>#DIV/0!</v>
      </c>
      <c r="G12" s="794" t="e">
        <f t="shared" si="2"/>
        <v>#DIV/0!</v>
      </c>
      <c r="H12" s="794" t="e">
        <f t="shared" si="2"/>
        <v>#DIV/0!</v>
      </c>
    </row>
    <row r="14" spans="1:14">
      <c r="B14" s="627" t="s">
        <v>1385</v>
      </c>
      <c r="F14" s="793" t="e">
        <f>($E$10/$C$10)^(1/2)*E14</f>
        <v>#DIV/0!</v>
      </c>
      <c r="G14" s="793" t="e">
        <f t="shared" ref="G14:H14" si="3">($E$10/$C$10)^(1/2)*F14</f>
        <v>#DIV/0!</v>
      </c>
      <c r="H14" s="793" t="e">
        <f t="shared" si="3"/>
        <v>#DIV/0!</v>
      </c>
    </row>
    <row r="15" spans="1:14">
      <c r="B15" s="627" t="s">
        <v>1430</v>
      </c>
      <c r="F15" s="793">
        <f>E15</f>
        <v>0</v>
      </c>
      <c r="G15" s="793">
        <f>F15</f>
        <v>0</v>
      </c>
      <c r="H15" s="793">
        <f>G15</f>
        <v>0</v>
      </c>
    </row>
    <row r="16" spans="1:14">
      <c r="B16" s="788" t="s">
        <v>1386</v>
      </c>
      <c r="C16" s="794">
        <f>C14*C15</f>
        <v>0</v>
      </c>
      <c r="D16" s="794">
        <f t="shared" ref="D16:H16" si="4">D14*D15</f>
        <v>0</v>
      </c>
      <c r="E16" s="794">
        <f t="shared" si="4"/>
        <v>0</v>
      </c>
      <c r="F16" s="794" t="e">
        <f t="shared" si="4"/>
        <v>#DIV/0!</v>
      </c>
      <c r="G16" s="794" t="e">
        <f t="shared" si="4"/>
        <v>#DIV/0!</v>
      </c>
      <c r="H16" s="794" t="e">
        <f t="shared" si="4"/>
        <v>#DIV/0!</v>
      </c>
    </row>
    <row r="18" spans="2:8">
      <c r="B18" s="627" t="s">
        <v>1387</v>
      </c>
      <c r="C18" s="627">
        <v>100</v>
      </c>
      <c r="D18" s="627">
        <v>100</v>
      </c>
      <c r="E18" s="627">
        <v>100</v>
      </c>
      <c r="F18" s="793" t="e">
        <f>($E$10/$C$10)^(1/2)*E18</f>
        <v>#DIV/0!</v>
      </c>
      <c r="G18" s="793" t="e">
        <f t="shared" ref="G18:H19" si="5">($E$10/$C$10)^(1/2)*F18</f>
        <v>#DIV/0!</v>
      </c>
      <c r="H18" s="793" t="e">
        <f t="shared" si="5"/>
        <v>#DIV/0!</v>
      </c>
    </row>
    <row r="19" spans="2:8">
      <c r="B19" s="627" t="s">
        <v>1388</v>
      </c>
      <c r="C19" s="627">
        <v>100</v>
      </c>
      <c r="D19" s="627">
        <v>100</v>
      </c>
      <c r="E19" s="627">
        <v>100</v>
      </c>
      <c r="F19" s="793" t="e">
        <f>($E$10/$C$10)^(1/2)*E19</f>
        <v>#DIV/0!</v>
      </c>
      <c r="G19" s="793" t="e">
        <f t="shared" si="5"/>
        <v>#DIV/0!</v>
      </c>
      <c r="H19" s="793" t="e">
        <f t="shared" si="5"/>
        <v>#DIV/0!</v>
      </c>
    </row>
    <row r="20" spans="2:8">
      <c r="B20" s="627" t="s">
        <v>1428</v>
      </c>
      <c r="F20" s="627">
        <f>压力测试!D11</f>
        <v>0</v>
      </c>
      <c r="G20" s="627">
        <f>压力测试!E11</f>
        <v>0</v>
      </c>
      <c r="H20" s="627">
        <f>压力测试!F11</f>
        <v>0</v>
      </c>
    </row>
    <row r="21" spans="2:8">
      <c r="B21" s="788" t="s">
        <v>1389</v>
      </c>
      <c r="C21" s="788">
        <f>C18*C20+C19*C20</f>
        <v>0</v>
      </c>
      <c r="D21" s="788">
        <f t="shared" ref="D21:H21" si="6">D18*D20+D19*D20</f>
        <v>0</v>
      </c>
      <c r="E21" s="788">
        <f t="shared" si="6"/>
        <v>0</v>
      </c>
      <c r="F21" s="788" t="e">
        <f t="shared" si="6"/>
        <v>#DIV/0!</v>
      </c>
      <c r="G21" s="788" t="e">
        <f t="shared" si="6"/>
        <v>#DIV/0!</v>
      </c>
      <c r="H21" s="788" t="e">
        <f t="shared" si="6"/>
        <v>#DIV/0!</v>
      </c>
    </row>
    <row r="23" spans="2:8">
      <c r="B23" s="627" t="s">
        <v>1374</v>
      </c>
      <c r="F23" s="793" t="e">
        <f>($E$10/$C$10)^(1/2)*E23</f>
        <v>#DIV/0!</v>
      </c>
      <c r="G23" s="793" t="e">
        <f t="shared" ref="G23:H23" si="7">($E$10/$C$10)^(1/2)*F23</f>
        <v>#DIV/0!</v>
      </c>
      <c r="H23" s="793" t="e">
        <f t="shared" si="7"/>
        <v>#DIV/0!</v>
      </c>
    </row>
    <row r="24" spans="2:8">
      <c r="B24" s="627" t="s">
        <v>1375</v>
      </c>
      <c r="F24" s="627">
        <f>E24</f>
        <v>0</v>
      </c>
      <c r="G24" s="627">
        <f t="shared" ref="G24:H25" si="8">F24</f>
        <v>0</v>
      </c>
      <c r="H24" s="627">
        <f t="shared" si="8"/>
        <v>0</v>
      </c>
    </row>
    <row r="25" spans="2:8">
      <c r="B25" s="627" t="s">
        <v>1377</v>
      </c>
      <c r="F25" s="627">
        <f>E25</f>
        <v>0</v>
      </c>
      <c r="G25" s="627">
        <f t="shared" si="8"/>
        <v>0</v>
      </c>
      <c r="H25" s="627">
        <f t="shared" si="8"/>
        <v>0</v>
      </c>
    </row>
    <row r="26" spans="2:8">
      <c r="B26" s="788" t="s">
        <v>1376</v>
      </c>
      <c r="C26" s="788">
        <f>C23*C24*C25</f>
        <v>0</v>
      </c>
      <c r="D26" s="788">
        <f t="shared" ref="D26:H26" si="9">D23*D24*D25</f>
        <v>0</v>
      </c>
      <c r="E26" s="788">
        <f t="shared" si="9"/>
        <v>0</v>
      </c>
      <c r="F26" s="788" t="e">
        <f t="shared" si="9"/>
        <v>#DIV/0!</v>
      </c>
      <c r="G26" s="788" t="e">
        <f t="shared" si="9"/>
        <v>#DIV/0!</v>
      </c>
      <c r="H26" s="788" t="e">
        <f t="shared" si="9"/>
        <v>#DIV/0!</v>
      </c>
    </row>
    <row r="28" spans="2:8">
      <c r="B28" s="627" t="s">
        <v>1378</v>
      </c>
      <c r="F28" s="793" t="e">
        <f>($E$10/$C$10)^(1/2)*E28</f>
        <v>#DIV/0!</v>
      </c>
      <c r="G28" s="793" t="e">
        <f t="shared" ref="G28:H28" si="10">($E$10/$C$10)^(1/2)*F28</f>
        <v>#DIV/0!</v>
      </c>
      <c r="H28" s="793" t="e">
        <f t="shared" si="10"/>
        <v>#DIV/0!</v>
      </c>
    </row>
    <row r="29" spans="2:8">
      <c r="B29" s="627" t="s">
        <v>1379</v>
      </c>
      <c r="F29" s="627">
        <f>E29</f>
        <v>0</v>
      </c>
      <c r="G29" s="627">
        <f t="shared" ref="G29:H29" si="11">F29</f>
        <v>0</v>
      </c>
      <c r="H29" s="627">
        <f t="shared" si="11"/>
        <v>0</v>
      </c>
    </row>
    <row r="30" spans="2:8">
      <c r="B30" s="788" t="s">
        <v>1380</v>
      </c>
      <c r="C30" s="788">
        <f>C28*C29</f>
        <v>0</v>
      </c>
      <c r="D30" s="788">
        <f t="shared" ref="D30:H30" si="12">D28*D29</f>
        <v>0</v>
      </c>
      <c r="E30" s="788">
        <f t="shared" si="12"/>
        <v>0</v>
      </c>
      <c r="F30" s="788" t="e">
        <f t="shared" si="12"/>
        <v>#DIV/0!</v>
      </c>
      <c r="G30" s="788" t="e">
        <f t="shared" si="12"/>
        <v>#DIV/0!</v>
      </c>
      <c r="H30" s="788" t="e">
        <f t="shared" si="12"/>
        <v>#DIV/0!</v>
      </c>
    </row>
    <row r="32" spans="2:8">
      <c r="B32" s="627" t="s">
        <v>1382</v>
      </c>
      <c r="F32" s="627">
        <f>E32</f>
        <v>0</v>
      </c>
      <c r="G32" s="627">
        <f t="shared" ref="G32:H32" si="13">F32</f>
        <v>0</v>
      </c>
      <c r="H32" s="627">
        <f t="shared" si="13"/>
        <v>0</v>
      </c>
    </row>
    <row r="33" spans="1:13">
      <c r="B33" s="627" t="s">
        <v>1431</v>
      </c>
    </row>
    <row r="34" spans="1:13">
      <c r="B34" s="788" t="s">
        <v>1381</v>
      </c>
      <c r="C34" s="788">
        <f>C32*C33</f>
        <v>0</v>
      </c>
      <c r="D34" s="788">
        <f t="shared" ref="D34:H34" si="14">D32*D33</f>
        <v>0</v>
      </c>
      <c r="E34" s="788">
        <f t="shared" si="14"/>
        <v>0</v>
      </c>
      <c r="F34" s="788">
        <f t="shared" si="14"/>
        <v>0</v>
      </c>
      <c r="G34" s="788">
        <f t="shared" si="14"/>
        <v>0</v>
      </c>
      <c r="H34" s="788">
        <f t="shared" si="14"/>
        <v>0</v>
      </c>
    </row>
    <row r="36" spans="1:13">
      <c r="B36" s="788" t="s">
        <v>1390</v>
      </c>
      <c r="C36" s="788"/>
      <c r="D36" s="788"/>
      <c r="E36" s="788"/>
      <c r="F36" s="788" t="e">
        <f>($E$10/$C$10)^(1/2)*E36</f>
        <v>#DIV/0!</v>
      </c>
      <c r="G36" s="788" t="e">
        <f t="shared" ref="G36:H36" si="15">($E$10/$C$10)^(1/2)*F36</f>
        <v>#DIV/0!</v>
      </c>
      <c r="H36" s="788" t="e">
        <f t="shared" si="15"/>
        <v>#DIV/0!</v>
      </c>
    </row>
    <row r="38" spans="1:13">
      <c r="B38" s="627" t="s">
        <v>1433</v>
      </c>
      <c r="F38" s="798">
        <f>压力测试!D8</f>
        <v>0</v>
      </c>
      <c r="G38" s="798">
        <f>压力测试!E8</f>
        <v>0</v>
      </c>
      <c r="H38" s="798">
        <f>压力测试!F8</f>
        <v>0</v>
      </c>
    </row>
    <row r="39" spans="1:13">
      <c r="A39" s="795"/>
      <c r="B39" s="789" t="s">
        <v>1372</v>
      </c>
      <c r="C39" s="788"/>
      <c r="D39" s="788"/>
      <c r="E39" s="788"/>
      <c r="F39" s="789">
        <f>(F43+F47)*F38</f>
        <v>0</v>
      </c>
      <c r="G39" s="789">
        <f t="shared" ref="G39:H39" si="16">(G43+G47)*G38</f>
        <v>0</v>
      </c>
      <c r="H39" s="789">
        <f t="shared" si="16"/>
        <v>0</v>
      </c>
      <c r="I39" s="788"/>
      <c r="J39" s="788"/>
      <c r="K39" s="788"/>
      <c r="L39" s="788"/>
      <c r="M39" s="788"/>
    </row>
    <row r="40" spans="1:13">
      <c r="B40" s="627" t="s">
        <v>1391</v>
      </c>
    </row>
    <row r="41" spans="1:13">
      <c r="B41" s="627" t="s">
        <v>1392</v>
      </c>
    </row>
    <row r="42" spans="1:13">
      <c r="B42" s="627" t="s">
        <v>1395</v>
      </c>
    </row>
    <row r="43" spans="1:13">
      <c r="B43" s="788" t="s">
        <v>1396</v>
      </c>
      <c r="C43" s="788"/>
      <c r="D43" s="788"/>
      <c r="E43" s="788"/>
      <c r="F43" s="788"/>
      <c r="G43" s="788"/>
      <c r="H43" s="788"/>
    </row>
    <row r="45" spans="1:13">
      <c r="B45" s="627" t="s">
        <v>1394</v>
      </c>
    </row>
    <row r="46" spans="1:13">
      <c r="B46" s="627" t="s">
        <v>1393</v>
      </c>
    </row>
    <row r="47" spans="1:13">
      <c r="B47" s="788" t="s">
        <v>1397</v>
      </c>
      <c r="C47" s="788"/>
      <c r="D47" s="788"/>
      <c r="E47" s="788"/>
      <c r="F47" s="788">
        <f>F45*130000+F46*500000</f>
        <v>0</v>
      </c>
      <c r="G47" s="788">
        <f t="shared" ref="G47:H47" si="17">G45*130000+G46*500000</f>
        <v>0</v>
      </c>
      <c r="H47" s="788">
        <f t="shared" si="17"/>
        <v>0</v>
      </c>
    </row>
    <row r="49" spans="1:13">
      <c r="B49" s="627" t="s">
        <v>1433</v>
      </c>
      <c r="F49" s="798">
        <f>压力测试!D9</f>
        <v>0</v>
      </c>
      <c r="G49" s="798">
        <f>压力测试!E9</f>
        <v>0</v>
      </c>
      <c r="H49" s="798">
        <f>压力测试!F9</f>
        <v>0</v>
      </c>
    </row>
    <row r="50" spans="1:13">
      <c r="A50" s="795"/>
      <c r="B50" s="789" t="s">
        <v>1373</v>
      </c>
      <c r="C50" s="789"/>
      <c r="D50" s="789"/>
      <c r="E50" s="789"/>
      <c r="F50" s="789">
        <f>F54*F49</f>
        <v>0</v>
      </c>
      <c r="G50" s="789">
        <f t="shared" ref="G50:H50" si="18">G54*G49</f>
        <v>0</v>
      </c>
      <c r="H50" s="789">
        <f t="shared" si="18"/>
        <v>0</v>
      </c>
      <c r="I50" s="788"/>
      <c r="J50" s="788"/>
      <c r="K50" s="788"/>
      <c r="L50" s="788"/>
      <c r="M50" s="788"/>
    </row>
    <row r="51" spans="1:13">
      <c r="B51" s="627" t="s">
        <v>1398</v>
      </c>
    </row>
    <row r="52" spans="1:13">
      <c r="B52" s="627" t="s">
        <v>1399</v>
      </c>
    </row>
    <row r="53" spans="1:13">
      <c r="B53" s="627" t="s">
        <v>1400</v>
      </c>
    </row>
    <row r="54" spans="1:13">
      <c r="B54" s="627" t="s">
        <v>1401</v>
      </c>
    </row>
    <row r="56" spans="1:13">
      <c r="B56" s="789" t="s">
        <v>1466</v>
      </c>
      <c r="C56" s="789"/>
      <c r="D56" s="789"/>
      <c r="E56" s="789"/>
      <c r="F56" s="789">
        <f>F57+F60+F61+F62+F63+F64</f>
        <v>0</v>
      </c>
      <c r="G56" s="789">
        <f t="shared" ref="G56:H56" si="19">G57+G60+G61+G62+G63+G64</f>
        <v>0</v>
      </c>
      <c r="H56" s="789">
        <f t="shared" si="19"/>
        <v>0</v>
      </c>
    </row>
    <row r="57" spans="1:13">
      <c r="B57" s="627" t="s">
        <v>1467</v>
      </c>
      <c r="F57" s="627">
        <f>F58+F59</f>
        <v>0</v>
      </c>
      <c r="G57" s="627">
        <f t="shared" ref="G57:H57" si="20">G58+G59</f>
        <v>0</v>
      </c>
      <c r="H57" s="627">
        <f t="shared" si="20"/>
        <v>0</v>
      </c>
    </row>
    <row r="58" spans="1:13">
      <c r="B58" s="800" t="s">
        <v>1468</v>
      </c>
      <c r="F58" s="627">
        <f t="shared" ref="F58:F64" si="21">E58</f>
        <v>0</v>
      </c>
      <c r="G58" s="627">
        <f t="shared" ref="G58:H64" si="22">F58</f>
        <v>0</v>
      </c>
      <c r="H58" s="627">
        <f t="shared" si="22"/>
        <v>0</v>
      </c>
    </row>
    <row r="59" spans="1:13">
      <c r="B59" s="801" t="s">
        <v>1469</v>
      </c>
      <c r="F59" s="627">
        <f t="shared" si="21"/>
        <v>0</v>
      </c>
      <c r="G59" s="627">
        <f t="shared" si="22"/>
        <v>0</v>
      </c>
      <c r="H59" s="627">
        <f t="shared" si="22"/>
        <v>0</v>
      </c>
    </row>
    <row r="60" spans="1:13">
      <c r="B60" s="627" t="s">
        <v>1470</v>
      </c>
      <c r="F60" s="627">
        <f t="shared" si="21"/>
        <v>0</v>
      </c>
      <c r="G60" s="627">
        <f t="shared" si="22"/>
        <v>0</v>
      </c>
      <c r="H60" s="627">
        <f t="shared" si="22"/>
        <v>0</v>
      </c>
    </row>
    <row r="61" spans="1:13">
      <c r="B61" s="627" t="s">
        <v>1471</v>
      </c>
      <c r="F61" s="627">
        <f t="shared" si="21"/>
        <v>0</v>
      </c>
      <c r="G61" s="627">
        <f t="shared" si="22"/>
        <v>0</v>
      </c>
      <c r="H61" s="627">
        <f t="shared" si="22"/>
        <v>0</v>
      </c>
    </row>
    <row r="62" spans="1:13">
      <c r="B62" s="627" t="s">
        <v>1472</v>
      </c>
      <c r="F62" s="627">
        <f t="shared" si="21"/>
        <v>0</v>
      </c>
      <c r="G62" s="627">
        <f t="shared" si="22"/>
        <v>0</v>
      </c>
      <c r="H62" s="627">
        <f t="shared" si="22"/>
        <v>0</v>
      </c>
    </row>
    <row r="63" spans="1:13">
      <c r="B63" s="627" t="s">
        <v>1473</v>
      </c>
      <c r="F63" s="627">
        <f t="shared" si="21"/>
        <v>0</v>
      </c>
      <c r="G63" s="627">
        <f t="shared" si="22"/>
        <v>0</v>
      </c>
      <c r="H63" s="627">
        <f t="shared" si="22"/>
        <v>0</v>
      </c>
    </row>
    <row r="64" spans="1:13">
      <c r="B64" s="627" t="s">
        <v>1474</v>
      </c>
      <c r="F64" s="627">
        <f t="shared" si="21"/>
        <v>0</v>
      </c>
      <c r="G64" s="627">
        <f t="shared" si="22"/>
        <v>0</v>
      </c>
      <c r="H64" s="627">
        <f t="shared" si="2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AF49"/>
  <sheetViews>
    <sheetView topLeftCell="D39" zoomScaleNormal="100" workbookViewId="0">
      <selection activeCell="X47" sqref="X47"/>
    </sheetView>
  </sheetViews>
  <sheetFormatPr defaultColWidth="9" defaultRowHeight="17.149999999999999" customHeight="1" outlineLevelRow="1" outlineLevelCol="2"/>
  <cols>
    <col min="1" max="1" width="2.78515625" style="100" customWidth="1"/>
    <col min="2" max="5" width="16" style="100" customWidth="1"/>
    <col min="6" max="6" width="21.140625" style="100" hidden="1" customWidth="1" outlineLevel="1"/>
    <col min="7" max="8" width="12.35546875" style="100" hidden="1" customWidth="1" outlineLevel="2"/>
    <col min="9" max="9" width="12.35546875" style="100" customWidth="1" outlineLevel="2"/>
    <col min="10" max="10" width="12.35546875" style="100" hidden="1" customWidth="1" outlineLevel="1"/>
    <col min="11" max="12" width="12.35546875" style="100" hidden="1" customWidth="1" outlineLevel="2"/>
    <col min="13" max="13" width="12.35546875" style="100" customWidth="1" outlineLevel="2"/>
    <col min="14" max="14" width="12.35546875" style="100" hidden="1" customWidth="1" outlineLevel="1"/>
    <col min="15" max="16" width="12.35546875" style="100" hidden="1" customWidth="1" outlineLevel="2"/>
    <col min="17" max="17" width="12.35546875" style="100" customWidth="1" outlineLevel="2"/>
    <col min="18" max="18" width="11.35546875" style="100" hidden="1" customWidth="1" outlineLevel="2"/>
    <col min="19" max="19" width="10.5703125" style="100" hidden="1" customWidth="1" outlineLevel="2"/>
    <col min="20" max="20" width="11.640625" style="100" hidden="1" customWidth="1" outlineLevel="2"/>
    <col min="21" max="21" width="12.85546875" style="100" hidden="1" customWidth="1"/>
    <col min="22" max="24" width="15.5703125" style="551" customWidth="1" outlineLevel="2"/>
    <col min="25" max="25" width="15.5703125" style="551" hidden="1" customWidth="1" outlineLevel="2"/>
    <col min="26" max="31" width="15.640625" style="551" hidden="1" customWidth="1" outlineLevel="2"/>
    <col min="32" max="32" width="9" style="100" customWidth="1"/>
    <col min="33" max="33" width="15.5703125" style="100" customWidth="1"/>
    <col min="34" max="77" width="9" style="100" customWidth="1"/>
    <col min="78" max="16384" width="9" style="100"/>
  </cols>
  <sheetData>
    <row r="1" spans="1:31" s="560" customFormat="1" ht="6.75" hidden="1" customHeight="1">
      <c r="B1" s="628"/>
      <c r="C1" s="629"/>
      <c r="D1" s="629"/>
      <c r="E1" s="629"/>
      <c r="F1" s="629"/>
      <c r="G1" s="629"/>
      <c r="H1" s="629"/>
      <c r="I1" s="629"/>
      <c r="J1" s="629"/>
      <c r="K1" s="629"/>
      <c r="L1" s="629"/>
      <c r="M1" s="629"/>
      <c r="N1" s="629"/>
      <c r="O1" s="629"/>
      <c r="P1" s="629"/>
      <c r="Q1" s="629"/>
      <c r="R1" s="629"/>
      <c r="S1" s="629"/>
      <c r="T1" s="629"/>
      <c r="U1" s="629"/>
      <c r="V1" s="630"/>
      <c r="W1" s="630"/>
      <c r="X1" s="630"/>
      <c r="Y1" s="630"/>
      <c r="Z1" s="630"/>
      <c r="AA1" s="630"/>
      <c r="AB1" s="630"/>
      <c r="AC1" s="630"/>
      <c r="AD1" s="630"/>
      <c r="AE1" s="630"/>
    </row>
    <row r="2" spans="1:31" s="233" customFormat="1" ht="17.149999999999999" customHeight="1">
      <c r="B2" s="234" t="s">
        <v>835</v>
      </c>
      <c r="C2" s="232"/>
      <c r="D2" s="232"/>
      <c r="E2" s="232"/>
      <c r="V2" s="527"/>
      <c r="W2" s="527"/>
      <c r="X2" s="527"/>
      <c r="Y2" s="527"/>
      <c r="Z2" s="527"/>
      <c r="AA2" s="527"/>
      <c r="AB2" s="527"/>
      <c r="AC2" s="527"/>
      <c r="AD2" s="527"/>
      <c r="AE2" s="527"/>
    </row>
    <row r="3" spans="1:31" s="23" customFormat="1" ht="17.149999999999999" customHeight="1">
      <c r="B3" s="235" t="str">
        <f>"单位：" &amp; 目录!D5</f>
        <v>单位：港元</v>
      </c>
      <c r="C3" s="101"/>
      <c r="D3" s="101"/>
      <c r="E3" s="101"/>
      <c r="F3" s="447"/>
      <c r="G3" s="447"/>
      <c r="H3" s="447"/>
      <c r="I3" s="447"/>
      <c r="J3" s="447"/>
      <c r="K3" s="447"/>
      <c r="L3" s="447"/>
      <c r="M3" s="447"/>
      <c r="N3" s="447"/>
      <c r="O3" s="447"/>
      <c r="P3" s="447"/>
      <c r="Q3" s="447"/>
      <c r="R3" s="447"/>
      <c r="S3" s="447"/>
      <c r="T3" s="447"/>
      <c r="U3" s="447"/>
      <c r="V3" s="528"/>
      <c r="W3" s="528"/>
      <c r="X3" s="528"/>
      <c r="Y3" s="528"/>
      <c r="Z3" s="528"/>
      <c r="AA3" s="528"/>
      <c r="AB3" s="528"/>
      <c r="AC3" s="528"/>
      <c r="AD3" s="528"/>
      <c r="AE3" s="528"/>
    </row>
    <row r="4" spans="1:31" s="23" customFormat="1" ht="17.149999999999999" customHeight="1">
      <c r="B4" s="292" t="s">
        <v>836</v>
      </c>
      <c r="C4" s="174"/>
      <c r="D4" s="174"/>
      <c r="E4" s="174"/>
      <c r="F4" s="417" t="str">
        <f>利润表!V4</f>
        <v>1Q18</v>
      </c>
      <c r="G4" s="417" t="str">
        <f>利润表!W4</f>
        <v>1H18</v>
      </c>
      <c r="H4" s="417" t="str">
        <f>利润表!X4</f>
        <v>3Q18</v>
      </c>
      <c r="I4" s="417">
        <f>利润表!Y4</f>
        <v>2021</v>
      </c>
      <c r="J4" s="417" t="str">
        <f>利润表!Z4</f>
        <v>1Q19</v>
      </c>
      <c r="K4" s="417" t="str">
        <f>利润表!AA4</f>
        <v>1H19</v>
      </c>
      <c r="L4" s="417" t="str">
        <f>利润表!AB4</f>
        <v>3Q19</v>
      </c>
      <c r="M4" s="417">
        <f>利润表!AC4</f>
        <v>2022</v>
      </c>
      <c r="N4" s="417" t="str">
        <f>利润表!AD4</f>
        <v>1Q20</v>
      </c>
      <c r="O4" s="417" t="str">
        <f>利润表!AE4</f>
        <v>1H20</v>
      </c>
      <c r="P4" s="417" t="str">
        <f>利润表!AF4</f>
        <v>3Q20</v>
      </c>
      <c r="Q4" s="417">
        <f>利润表!AG4</f>
        <v>2023</v>
      </c>
      <c r="R4" s="417" t="str">
        <f>利润表!AH4</f>
        <v>1Q23</v>
      </c>
      <c r="S4" s="417" t="str">
        <f>利润表!AI4</f>
        <v>1H21</v>
      </c>
      <c r="T4" s="417" t="str">
        <f>利润表!AJ4</f>
        <v>3Q21</v>
      </c>
      <c r="U4" s="417" t="str">
        <f>利润表!AK4</f>
        <v>-</v>
      </c>
      <c r="V4" s="529" t="str">
        <f>资产负债表!AL4</f>
        <v>-E</v>
      </c>
      <c r="W4" s="529" t="e">
        <f>资产负债表!AM4</f>
        <v>#VALUE!</v>
      </c>
      <c r="X4" s="529" t="e">
        <f>资产负债表!AN4</f>
        <v>#VALUE!</v>
      </c>
      <c r="Y4" s="529" t="e">
        <f>资产负债表!AO4</f>
        <v>#VALUE!</v>
      </c>
      <c r="Z4" s="529" t="e">
        <f>资产负债表!AP4</f>
        <v>#VALUE!</v>
      </c>
      <c r="AA4" s="529" t="e">
        <f>资产负债表!AQ4</f>
        <v>#VALUE!</v>
      </c>
      <c r="AB4" s="529" t="e">
        <f>资产负债表!AR4</f>
        <v>#VALUE!</v>
      </c>
      <c r="AC4" s="529" t="e">
        <f>资产负债表!AS4</f>
        <v>#VALUE!</v>
      </c>
      <c r="AD4" s="529" t="e">
        <f>资产负债表!AT4</f>
        <v>#VALUE!</v>
      </c>
      <c r="AE4" s="529" t="e">
        <f>资产负债表!AU4</f>
        <v>#VALUE!</v>
      </c>
    </row>
    <row r="5" spans="1:31" s="500" customFormat="1" ht="17.149999999999999" customHeight="1">
      <c r="A5" s="790"/>
      <c r="B5" s="503" t="s">
        <v>704</v>
      </c>
      <c r="C5" s="519"/>
      <c r="E5" s="519" t="s">
        <v>699</v>
      </c>
      <c r="F5" s="520">
        <f>利润表!V6</f>
        <v>3369.9656944499998</v>
      </c>
      <c r="G5" s="520">
        <f>利润表!W6</f>
        <v>6420.3335204300001</v>
      </c>
      <c r="H5" s="520">
        <f>利润表!X6</f>
        <v>9262.8957774400005</v>
      </c>
      <c r="I5" s="520">
        <f>利润表!Y6</f>
        <v>0</v>
      </c>
      <c r="J5" s="520">
        <f>利润表!Z6</f>
        <v>0</v>
      </c>
      <c r="K5" s="520">
        <f>利润表!AA6</f>
        <v>0</v>
      </c>
      <c r="L5" s="520">
        <f>利润表!AB6</f>
        <v>0</v>
      </c>
      <c r="M5" s="520">
        <f>利润表!AC6</f>
        <v>0</v>
      </c>
      <c r="N5" s="520">
        <f>利润表!AD6</f>
        <v>0</v>
      </c>
      <c r="O5" s="520">
        <f>利润表!AE6</f>
        <v>0</v>
      </c>
      <c r="P5" s="520">
        <f>利润表!AF6</f>
        <v>0</v>
      </c>
      <c r="Q5" s="520">
        <f>利润表!AG6</f>
        <v>0</v>
      </c>
      <c r="R5" s="520">
        <f>利润表!AH6</f>
        <v>0</v>
      </c>
      <c r="S5" s="520">
        <f>利润表!AI6</f>
        <v>0</v>
      </c>
      <c r="T5" s="520">
        <f>利润表!AJ6</f>
        <v>0</v>
      </c>
      <c r="U5" s="520">
        <f>利润表!AK6</f>
        <v>0</v>
      </c>
      <c r="V5" s="530" t="e">
        <f>收入成本!F5</f>
        <v>#DIV/0!</v>
      </c>
      <c r="W5" s="530" t="e">
        <f>收入成本!G5</f>
        <v>#DIV/0!</v>
      </c>
      <c r="X5" s="530" t="e">
        <f>收入成本!H5</f>
        <v>#DIV/0!</v>
      </c>
      <c r="Y5" s="530">
        <v>0</v>
      </c>
      <c r="Z5" s="530">
        <v>0</v>
      </c>
      <c r="AA5" s="530">
        <v>0</v>
      </c>
      <c r="AB5" s="530">
        <v>0</v>
      </c>
      <c r="AC5" s="530">
        <v>0</v>
      </c>
      <c r="AD5" s="530">
        <v>0</v>
      </c>
      <c r="AE5" s="530">
        <v>0</v>
      </c>
    </row>
    <row r="6" spans="1:31" s="500" customFormat="1" ht="17.149999999999999" customHeight="1">
      <c r="A6" s="790"/>
      <c r="B6" s="503" t="s">
        <v>705</v>
      </c>
      <c r="C6" s="519"/>
      <c r="E6" s="519" t="s">
        <v>699</v>
      </c>
      <c r="F6" s="520">
        <f>利润表!V10</f>
        <v>853.71466765999992</v>
      </c>
      <c r="G6" s="520">
        <f>利润表!W10</f>
        <v>1610.5636920999998</v>
      </c>
      <c r="H6" s="520">
        <f>利润表!X10</f>
        <v>2137.3126829100001</v>
      </c>
      <c r="I6" s="520">
        <f>利润表!Y10</f>
        <v>0</v>
      </c>
      <c r="J6" s="520">
        <f>利润表!Z10</f>
        <v>0</v>
      </c>
      <c r="K6" s="520">
        <f>利润表!AA10</f>
        <v>0</v>
      </c>
      <c r="L6" s="520">
        <f>利润表!AB10</f>
        <v>0</v>
      </c>
      <c r="M6" s="520">
        <f>利润表!AC10</f>
        <v>0</v>
      </c>
      <c r="N6" s="520">
        <f>利润表!AD10</f>
        <v>0</v>
      </c>
      <c r="O6" s="520">
        <f>利润表!AE10</f>
        <v>0</v>
      </c>
      <c r="P6" s="520">
        <f>利润表!AF10</f>
        <v>0</v>
      </c>
      <c r="Q6" s="520">
        <f>利润表!AG10</f>
        <v>0</v>
      </c>
      <c r="R6" s="520">
        <f>利润表!AH10</f>
        <v>0</v>
      </c>
      <c r="S6" s="520">
        <f>利润表!AI10</f>
        <v>0</v>
      </c>
      <c r="T6" s="520">
        <f>利润表!AJ10</f>
        <v>0</v>
      </c>
      <c r="U6" s="520">
        <f>利润表!AK10</f>
        <v>0</v>
      </c>
      <c r="V6" s="530">
        <f>收入成本!F6</f>
        <v>0</v>
      </c>
      <c r="W6" s="530">
        <f>收入成本!G6</f>
        <v>0</v>
      </c>
      <c r="X6" s="530">
        <f>收入成本!H6</f>
        <v>0</v>
      </c>
      <c r="Y6" s="530">
        <v>0</v>
      </c>
      <c r="Z6" s="530">
        <v>0</v>
      </c>
      <c r="AA6" s="530">
        <v>0</v>
      </c>
      <c r="AB6" s="530">
        <v>0</v>
      </c>
      <c r="AC6" s="530">
        <v>0</v>
      </c>
      <c r="AD6" s="530">
        <v>0</v>
      </c>
      <c r="AE6" s="530">
        <v>0</v>
      </c>
    </row>
    <row r="7" spans="1:31" ht="17.149999999999999" customHeight="1">
      <c r="A7" s="23"/>
      <c r="B7" s="521" t="s">
        <v>148</v>
      </c>
      <c r="C7" s="109"/>
      <c r="D7" s="109"/>
      <c r="E7" s="109"/>
      <c r="F7" s="522">
        <f>F5-F6</f>
        <v>2516.2510267899997</v>
      </c>
      <c r="G7" s="522">
        <f t="shared" ref="G7:AE7" si="0">G5-G6</f>
        <v>4809.7698283300006</v>
      </c>
      <c r="H7" s="522">
        <f t="shared" si="0"/>
        <v>7125.5830945300004</v>
      </c>
      <c r="I7" s="522">
        <f t="shared" si="0"/>
        <v>0</v>
      </c>
      <c r="J7" s="522">
        <f t="shared" si="0"/>
        <v>0</v>
      </c>
      <c r="K7" s="522">
        <f t="shared" si="0"/>
        <v>0</v>
      </c>
      <c r="L7" s="522">
        <f t="shared" si="0"/>
        <v>0</v>
      </c>
      <c r="M7" s="522">
        <f t="shared" si="0"/>
        <v>0</v>
      </c>
      <c r="N7" s="522">
        <f t="shared" si="0"/>
        <v>0</v>
      </c>
      <c r="O7" s="522">
        <f t="shared" si="0"/>
        <v>0</v>
      </c>
      <c r="P7" s="522">
        <f t="shared" si="0"/>
        <v>0</v>
      </c>
      <c r="Q7" s="522">
        <f t="shared" si="0"/>
        <v>0</v>
      </c>
      <c r="R7" s="522">
        <f t="shared" si="0"/>
        <v>0</v>
      </c>
      <c r="S7" s="522">
        <f t="shared" si="0"/>
        <v>0</v>
      </c>
      <c r="T7" s="522">
        <f t="shared" si="0"/>
        <v>0</v>
      </c>
      <c r="U7" s="522">
        <f t="shared" si="0"/>
        <v>0</v>
      </c>
      <c r="V7" s="531" t="e">
        <f>V5-V6</f>
        <v>#DIV/0!</v>
      </c>
      <c r="W7" s="531" t="e">
        <f t="shared" si="0"/>
        <v>#DIV/0!</v>
      </c>
      <c r="X7" s="531" t="e">
        <f t="shared" si="0"/>
        <v>#DIV/0!</v>
      </c>
      <c r="Y7" s="531">
        <f t="shared" si="0"/>
        <v>0</v>
      </c>
      <c r="Z7" s="531">
        <f t="shared" si="0"/>
        <v>0</v>
      </c>
      <c r="AA7" s="531">
        <f t="shared" si="0"/>
        <v>0</v>
      </c>
      <c r="AB7" s="531">
        <f t="shared" si="0"/>
        <v>0</v>
      </c>
      <c r="AC7" s="531">
        <f t="shared" si="0"/>
        <v>0</v>
      </c>
      <c r="AD7" s="531">
        <f t="shared" si="0"/>
        <v>0</v>
      </c>
      <c r="AE7" s="531">
        <f t="shared" si="0"/>
        <v>0</v>
      </c>
    </row>
    <row r="8" spans="1:31" ht="17.149999999999999" customHeight="1" thickBot="1">
      <c r="A8" s="23"/>
      <c r="B8" s="293" t="s">
        <v>706</v>
      </c>
      <c r="C8" s="143"/>
      <c r="D8" s="143"/>
      <c r="E8" s="143"/>
      <c r="F8" s="144">
        <f>IF(ISERROR(F7/F5),"—",F7/F5)</f>
        <v>0.74666962661786629</v>
      </c>
      <c r="G8" s="144">
        <f t="shared" ref="G8:S8" si="1">IF(ISERROR(G7/G5),"—",G7/G5)</f>
        <v>0.74914641319254505</v>
      </c>
      <c r="H8" s="144">
        <f t="shared" si="1"/>
        <v>0.76926085165338087</v>
      </c>
      <c r="I8" s="144" t="str">
        <f t="shared" si="1"/>
        <v>—</v>
      </c>
      <c r="J8" s="144" t="str">
        <f t="shared" si="1"/>
        <v>—</v>
      </c>
      <c r="K8" s="144" t="str">
        <f t="shared" si="1"/>
        <v>—</v>
      </c>
      <c r="L8" s="144" t="str">
        <f t="shared" si="1"/>
        <v>—</v>
      </c>
      <c r="M8" s="144" t="str">
        <f t="shared" si="1"/>
        <v>—</v>
      </c>
      <c r="N8" s="144" t="str">
        <f t="shared" si="1"/>
        <v>—</v>
      </c>
      <c r="O8" s="144" t="str">
        <f t="shared" si="1"/>
        <v>—</v>
      </c>
      <c r="P8" s="144" t="str">
        <f t="shared" si="1"/>
        <v>—</v>
      </c>
      <c r="Q8" s="144" t="str">
        <f t="shared" si="1"/>
        <v>—</v>
      </c>
      <c r="R8" s="144" t="str">
        <f t="shared" si="1"/>
        <v>—</v>
      </c>
      <c r="S8" s="144" t="str">
        <f t="shared" si="1"/>
        <v>—</v>
      </c>
      <c r="T8" s="144" t="str">
        <f>IF(ISERROR(T7/T5),"—",T7/T5)</f>
        <v>—</v>
      </c>
      <c r="U8" s="144" t="str">
        <f t="shared" ref="U8:AB8" si="2">IF(ISERROR(U7/U5),"—",U7/U5)</f>
        <v>—</v>
      </c>
      <c r="V8" s="532" t="str">
        <f>IF(ISERROR(V7/V5),"—",V7/V5)</f>
        <v>—</v>
      </c>
      <c r="W8" s="532" t="str">
        <f t="shared" si="2"/>
        <v>—</v>
      </c>
      <c r="X8" s="532" t="str">
        <f t="shared" si="2"/>
        <v>—</v>
      </c>
      <c r="Y8" s="532" t="str">
        <f t="shared" si="2"/>
        <v>—</v>
      </c>
      <c r="Z8" s="532" t="str">
        <f t="shared" si="2"/>
        <v>—</v>
      </c>
      <c r="AA8" s="532" t="str">
        <f t="shared" si="2"/>
        <v>—</v>
      </c>
      <c r="AB8" s="532" t="str">
        <f t="shared" si="2"/>
        <v>—</v>
      </c>
      <c r="AC8" s="532" t="str">
        <f>IF(ISERROR(AC7/AC5),"—",AC7/AC5)</f>
        <v>—</v>
      </c>
      <c r="AD8" s="532" t="str">
        <f>IF(ISERROR(AD7/AD5),"—",AD7/AD5)</f>
        <v>—</v>
      </c>
      <c r="AE8" s="532" t="str">
        <f>IF(ISERROR(AE7/AE5),"—",AE7/AE5)</f>
        <v>—</v>
      </c>
    </row>
    <row r="9" spans="1:31" ht="17.149999999999999" customHeight="1">
      <c r="A9" s="102"/>
      <c r="B9" s="128"/>
      <c r="C9" s="129"/>
      <c r="D9" s="129"/>
      <c r="E9" s="129"/>
      <c r="F9" s="130"/>
      <c r="G9" s="130"/>
      <c r="H9" s="130"/>
      <c r="I9" s="130"/>
      <c r="J9" s="130"/>
      <c r="K9" s="130"/>
      <c r="L9" s="130"/>
      <c r="M9" s="130"/>
      <c r="N9" s="130"/>
      <c r="O9" s="130"/>
      <c r="P9" s="130"/>
      <c r="Q9" s="130"/>
      <c r="R9" s="130"/>
      <c r="S9" s="130"/>
      <c r="T9" s="130"/>
      <c r="U9" s="130"/>
      <c r="V9" s="533"/>
      <c r="W9" s="533"/>
      <c r="X9" s="533"/>
      <c r="Y9" s="533"/>
      <c r="Z9" s="533"/>
      <c r="AA9" s="533"/>
      <c r="AB9" s="533"/>
      <c r="AC9" s="533"/>
      <c r="AD9" s="533"/>
      <c r="AE9" s="533"/>
    </row>
    <row r="10" spans="1:31" ht="17.149999999999999" customHeight="1">
      <c r="A10" s="132"/>
      <c r="B10" s="132"/>
      <c r="C10" s="132"/>
      <c r="D10" s="132"/>
      <c r="E10" s="132"/>
      <c r="F10" s="142"/>
      <c r="G10" s="142"/>
      <c r="H10" s="142"/>
      <c r="I10" s="142"/>
      <c r="J10" s="142"/>
      <c r="K10" s="142"/>
      <c r="L10" s="142"/>
      <c r="M10" s="142"/>
      <c r="N10" s="142"/>
      <c r="O10" s="142"/>
      <c r="P10" s="142"/>
      <c r="Q10" s="142"/>
      <c r="R10" s="142"/>
      <c r="S10" s="142"/>
      <c r="T10" s="142"/>
      <c r="U10" s="142"/>
      <c r="V10" s="534"/>
      <c r="W10" s="534"/>
      <c r="X10" s="534"/>
      <c r="Y10" s="534"/>
      <c r="Z10" s="534"/>
      <c r="AA10" s="534"/>
      <c r="AB10" s="534"/>
      <c r="AC10" s="534"/>
      <c r="AD10" s="534"/>
      <c r="AE10" s="534"/>
    </row>
    <row r="11" spans="1:31" ht="17.149999999999999" customHeight="1">
      <c r="A11" s="23"/>
      <c r="B11" s="234" t="s">
        <v>714</v>
      </c>
      <c r="C11" s="133"/>
      <c r="D11" s="133"/>
      <c r="E11" s="133"/>
      <c r="F11" s="107"/>
      <c r="G11" s="107"/>
      <c r="H11" s="107"/>
      <c r="I11" s="107"/>
      <c r="J11" s="107"/>
      <c r="K11" s="107"/>
      <c r="L11" s="107"/>
      <c r="M11" s="107"/>
      <c r="N11" s="107"/>
      <c r="O11" s="107"/>
      <c r="P11" s="107"/>
      <c r="Q11" s="107"/>
      <c r="R11" s="107"/>
      <c r="S11" s="107"/>
      <c r="T11" s="107"/>
      <c r="U11" s="107"/>
      <c r="V11" s="535"/>
      <c r="W11" s="535"/>
      <c r="X11" s="535"/>
      <c r="Y11" s="535"/>
      <c r="Z11" s="535"/>
      <c r="AA11" s="535"/>
      <c r="AB11" s="535"/>
      <c r="AC11" s="535"/>
      <c r="AD11" s="535"/>
      <c r="AE11" s="535"/>
    </row>
    <row r="12" spans="1:31" ht="17.149999999999999" customHeight="1">
      <c r="A12" s="102"/>
      <c r="B12" s="102"/>
      <c r="C12" s="102"/>
      <c r="D12" s="102"/>
      <c r="E12" s="102"/>
      <c r="F12" s="145"/>
      <c r="G12" s="145"/>
      <c r="H12" s="145"/>
      <c r="I12" s="145"/>
      <c r="J12" s="145"/>
      <c r="K12" s="145"/>
      <c r="L12" s="145"/>
      <c r="M12" s="145"/>
      <c r="N12" s="145"/>
      <c r="O12" s="145"/>
      <c r="P12" s="145"/>
      <c r="Q12" s="145"/>
      <c r="R12" s="145"/>
      <c r="S12" s="145"/>
      <c r="T12" s="145"/>
      <c r="U12" s="145"/>
      <c r="V12" s="536"/>
      <c r="W12" s="536"/>
      <c r="X12" s="536"/>
      <c r="Y12" s="536"/>
      <c r="Z12" s="536"/>
      <c r="AA12" s="536"/>
      <c r="AB12" s="536"/>
      <c r="AC12" s="536"/>
      <c r="AD12" s="536"/>
      <c r="AE12" s="536"/>
    </row>
    <row r="13" spans="1:31" s="518" customFormat="1" ht="17.149999999999999" customHeight="1">
      <c r="A13" s="791"/>
      <c r="B13" s="515" t="s">
        <v>700</v>
      </c>
      <c r="C13" s="516"/>
      <c r="D13" s="516"/>
      <c r="E13" s="516"/>
      <c r="F13" s="514" t="str">
        <f t="shared" ref="F13:Y13" si="3">F4</f>
        <v>1Q18</v>
      </c>
      <c r="G13" s="514" t="str">
        <f t="shared" si="3"/>
        <v>1H18</v>
      </c>
      <c r="H13" s="514" t="str">
        <f t="shared" si="3"/>
        <v>3Q18</v>
      </c>
      <c r="I13" s="514">
        <f t="shared" si="3"/>
        <v>2021</v>
      </c>
      <c r="J13" s="514" t="str">
        <f t="shared" si="3"/>
        <v>1Q19</v>
      </c>
      <c r="K13" s="514" t="str">
        <f t="shared" si="3"/>
        <v>1H19</v>
      </c>
      <c r="L13" s="514" t="str">
        <f t="shared" si="3"/>
        <v>3Q19</v>
      </c>
      <c r="M13" s="514">
        <f t="shared" si="3"/>
        <v>2022</v>
      </c>
      <c r="N13" s="514" t="str">
        <f t="shared" si="3"/>
        <v>1Q20</v>
      </c>
      <c r="O13" s="514" t="str">
        <f t="shared" si="3"/>
        <v>1H20</v>
      </c>
      <c r="P13" s="514" t="str">
        <f t="shared" si="3"/>
        <v>3Q20</v>
      </c>
      <c r="Q13" s="514">
        <f t="shared" si="3"/>
        <v>2023</v>
      </c>
      <c r="R13" s="514" t="str">
        <f t="shared" si="3"/>
        <v>1Q23</v>
      </c>
      <c r="S13" s="517" t="str">
        <f t="shared" si="3"/>
        <v>1H21</v>
      </c>
      <c r="T13" s="517" t="str">
        <f t="shared" si="3"/>
        <v>3Q21</v>
      </c>
      <c r="U13" s="514" t="str">
        <f t="shared" si="3"/>
        <v>-</v>
      </c>
      <c r="V13" s="537" t="str">
        <f t="shared" si="3"/>
        <v>-E</v>
      </c>
      <c r="W13" s="537" t="e">
        <f t="shared" si="3"/>
        <v>#VALUE!</v>
      </c>
      <c r="X13" s="537" t="e">
        <f t="shared" si="3"/>
        <v>#VALUE!</v>
      </c>
      <c r="Y13" s="537" t="e">
        <f t="shared" si="3"/>
        <v>#VALUE!</v>
      </c>
      <c r="Z13" s="537" t="e">
        <f t="shared" ref="Z13:AE13" si="4">Z4</f>
        <v>#VALUE!</v>
      </c>
      <c r="AA13" s="537" t="e">
        <f t="shared" si="4"/>
        <v>#VALUE!</v>
      </c>
      <c r="AB13" s="537" t="e">
        <f t="shared" si="4"/>
        <v>#VALUE!</v>
      </c>
      <c r="AC13" s="537" t="e">
        <f t="shared" si="4"/>
        <v>#VALUE!</v>
      </c>
      <c r="AD13" s="537" t="e">
        <f t="shared" si="4"/>
        <v>#VALUE!</v>
      </c>
      <c r="AE13" s="537" t="e">
        <f t="shared" si="4"/>
        <v>#VALUE!</v>
      </c>
    </row>
    <row r="14" spans="1:31" ht="17.149999999999999" customHeight="1">
      <c r="A14" s="11"/>
      <c r="B14" s="151"/>
      <c r="C14" s="11"/>
      <c r="D14" s="11"/>
      <c r="E14" s="11"/>
      <c r="F14" s="136"/>
      <c r="G14" s="136"/>
      <c r="H14" s="136"/>
      <c r="I14" s="136"/>
      <c r="J14" s="136"/>
      <c r="K14" s="136"/>
      <c r="L14" s="136"/>
      <c r="M14" s="136"/>
      <c r="N14" s="136"/>
      <c r="O14" s="136"/>
      <c r="P14" s="136"/>
      <c r="Q14" s="136"/>
      <c r="R14" s="152"/>
      <c r="S14" s="152"/>
      <c r="T14" s="152"/>
      <c r="U14" s="152"/>
      <c r="V14" s="538"/>
      <c r="W14" s="538"/>
      <c r="X14" s="538"/>
      <c r="Y14" s="538"/>
      <c r="Z14" s="538"/>
      <c r="AA14" s="538"/>
      <c r="AB14" s="538"/>
      <c r="AC14" s="538"/>
      <c r="AD14" s="538"/>
      <c r="AE14" s="538"/>
    </row>
    <row r="15" spans="1:31" s="132" customFormat="1" ht="17.149999999999999" customHeight="1">
      <c r="A15" s="102"/>
      <c r="B15" s="102"/>
      <c r="C15" s="102"/>
      <c r="D15" s="102"/>
      <c r="E15" s="102"/>
      <c r="F15" s="509"/>
      <c r="G15" s="509"/>
      <c r="H15" s="509"/>
      <c r="I15" s="509"/>
      <c r="J15" s="509"/>
      <c r="K15" s="509"/>
      <c r="L15" s="509"/>
      <c r="M15" s="509"/>
      <c r="N15" s="509"/>
      <c r="O15" s="509"/>
      <c r="P15" s="509"/>
      <c r="Q15" s="509"/>
      <c r="R15" s="509"/>
      <c r="S15" s="509"/>
      <c r="T15" s="509"/>
      <c r="U15" s="509"/>
      <c r="V15" s="536"/>
      <c r="W15" s="536"/>
      <c r="X15" s="536"/>
      <c r="Y15" s="536"/>
      <c r="Z15" s="536"/>
      <c r="AA15" s="536"/>
      <c r="AB15" s="536"/>
      <c r="AC15" s="536"/>
      <c r="AD15" s="536"/>
      <c r="AE15" s="536"/>
    </row>
    <row r="16" spans="1:31" s="23" customFormat="1" ht="17.149999999999999" customHeight="1">
      <c r="B16" s="34" t="s">
        <v>845</v>
      </c>
      <c r="C16" s="97"/>
      <c r="D16" s="97"/>
      <c r="E16" s="97"/>
      <c r="F16" s="502">
        <f>利润表!V20</f>
        <v>343.67688754</v>
      </c>
      <c r="G16" s="502">
        <f>利润表!W20</f>
        <v>720.15036743999997</v>
      </c>
      <c r="H16" s="502">
        <f>利润表!X20</f>
        <v>1059.3593532499999</v>
      </c>
      <c r="I16" s="502">
        <f>利润表!Y20</f>
        <v>0</v>
      </c>
      <c r="J16" s="502">
        <f>利润表!Z20</f>
        <v>0</v>
      </c>
      <c r="K16" s="502">
        <f>利润表!AA20</f>
        <v>0</v>
      </c>
      <c r="L16" s="502">
        <f>利润表!AB20</f>
        <v>0</v>
      </c>
      <c r="M16" s="502">
        <f>利润表!AC20</f>
        <v>0</v>
      </c>
      <c r="N16" s="502">
        <f>利润表!AD20</f>
        <v>0</v>
      </c>
      <c r="O16" s="502">
        <f>利润表!AE20</f>
        <v>0</v>
      </c>
      <c r="P16" s="502">
        <f>利润表!AF20</f>
        <v>0</v>
      </c>
      <c r="Q16" s="502">
        <f>利润表!AG20</f>
        <v>0</v>
      </c>
      <c r="R16" s="502">
        <f>利润表!AH20</f>
        <v>0</v>
      </c>
      <c r="S16" s="502">
        <f>利润表!AI20</f>
        <v>0</v>
      </c>
      <c r="T16" s="502">
        <f>利润表!AJ20</f>
        <v>0</v>
      </c>
      <c r="U16" s="502">
        <f>利润表!AK20</f>
        <v>0</v>
      </c>
      <c r="V16" s="539" t="str">
        <f t="shared" ref="V16:AE16" si="5">IF(ISERROR(V17*V5),"—",V17*V5)</f>
        <v>—</v>
      </c>
      <c r="W16" s="539" t="str">
        <f t="shared" si="5"/>
        <v>—</v>
      </c>
      <c r="X16" s="539" t="str">
        <f t="shared" si="5"/>
        <v>—</v>
      </c>
      <c r="Y16" s="539">
        <f t="shared" si="5"/>
        <v>0</v>
      </c>
      <c r="Z16" s="539">
        <f t="shared" si="5"/>
        <v>0</v>
      </c>
      <c r="AA16" s="539">
        <f t="shared" si="5"/>
        <v>0</v>
      </c>
      <c r="AB16" s="539">
        <f t="shared" si="5"/>
        <v>0</v>
      </c>
      <c r="AC16" s="539">
        <f t="shared" si="5"/>
        <v>0</v>
      </c>
      <c r="AD16" s="539">
        <f t="shared" si="5"/>
        <v>0</v>
      </c>
      <c r="AE16" s="539">
        <f t="shared" si="5"/>
        <v>0</v>
      </c>
    </row>
    <row r="17" spans="1:31" s="23" customFormat="1" ht="17.149999999999999" customHeight="1">
      <c r="B17" s="416" t="s">
        <v>846</v>
      </c>
      <c r="C17" s="97" t="s">
        <v>707</v>
      </c>
      <c r="D17" s="97"/>
      <c r="E17" s="97"/>
      <c r="F17" s="510">
        <f>利润表!V21</f>
        <v>0.10198231041520744</v>
      </c>
      <c r="G17" s="510">
        <f>利润表!W21</f>
        <v>0.11216712732265785</v>
      </c>
      <c r="H17" s="510">
        <f>利润表!X21</f>
        <v>0.11436589363664162</v>
      </c>
      <c r="I17" s="510" t="str">
        <f>利润表!Y21</f>
        <v>—</v>
      </c>
      <c r="J17" s="510" t="str">
        <f>利润表!Z21</f>
        <v>—</v>
      </c>
      <c r="K17" s="510" t="str">
        <f>利润表!AA21</f>
        <v>—</v>
      </c>
      <c r="L17" s="510" t="str">
        <f>利润表!AB21</f>
        <v>—</v>
      </c>
      <c r="M17" s="510" t="str">
        <f>利润表!AC21</f>
        <v>—</v>
      </c>
      <c r="N17" s="510" t="str">
        <f>利润表!AD21</f>
        <v>—</v>
      </c>
      <c r="O17" s="510" t="str">
        <f>利润表!AE21</f>
        <v>—</v>
      </c>
      <c r="P17" s="510" t="str">
        <f>利润表!AF21</f>
        <v>—</v>
      </c>
      <c r="Q17" s="510" t="str">
        <f>利润表!AG21</f>
        <v>—</v>
      </c>
      <c r="R17" s="510" t="str">
        <f>利润表!AH21</f>
        <v>—</v>
      </c>
      <c r="S17" s="510" t="str">
        <f>利润表!AI21</f>
        <v>—</v>
      </c>
      <c r="T17" s="510" t="str">
        <f>利润表!AJ21</f>
        <v>—</v>
      </c>
      <c r="U17" s="510" t="str">
        <f>利润表!AK21</f>
        <v>—</v>
      </c>
      <c r="V17" s="540">
        <v>0</v>
      </c>
      <c r="W17" s="540">
        <v>0</v>
      </c>
      <c r="X17" s="540">
        <v>0</v>
      </c>
      <c r="Y17" s="540"/>
      <c r="Z17" s="540"/>
      <c r="AA17" s="540"/>
      <c r="AB17" s="540"/>
      <c r="AC17" s="540"/>
      <c r="AD17" s="540"/>
      <c r="AE17" s="540"/>
    </row>
    <row r="18" spans="1:31" s="23" customFormat="1" ht="17.149999999999999" customHeight="1">
      <c r="B18" s="416"/>
      <c r="C18" s="97"/>
      <c r="D18" s="97"/>
      <c r="E18" s="97"/>
      <c r="F18" s="511"/>
      <c r="G18" s="511"/>
      <c r="H18" s="511"/>
      <c r="I18" s="511"/>
      <c r="J18" s="511"/>
      <c r="K18" s="511"/>
      <c r="L18" s="511"/>
      <c r="M18" s="511"/>
      <c r="N18" s="511"/>
      <c r="O18" s="511"/>
      <c r="P18" s="511"/>
      <c r="Q18" s="511"/>
      <c r="R18" s="511"/>
      <c r="S18" s="511"/>
      <c r="T18" s="511"/>
      <c r="U18" s="511"/>
      <c r="V18" s="541"/>
      <c r="W18" s="541"/>
      <c r="X18" s="541"/>
      <c r="Y18" s="541"/>
      <c r="Z18" s="541"/>
      <c r="AA18" s="541"/>
      <c r="AB18" s="541"/>
      <c r="AC18" s="541"/>
      <c r="AD18" s="541"/>
      <c r="AE18" s="541"/>
    </row>
    <row r="19" spans="1:31" s="23" customFormat="1" ht="17.149999999999999" customHeight="1">
      <c r="B19" s="34" t="s">
        <v>839</v>
      </c>
      <c r="C19" s="97"/>
      <c r="D19" s="97"/>
      <c r="E19" s="97"/>
      <c r="F19" s="502">
        <f>利润表!V22</f>
        <v>613.47947542999987</v>
      </c>
      <c r="G19" s="502">
        <f>利润表!W22</f>
        <v>1191.3940408999999</v>
      </c>
      <c r="H19" s="502">
        <f>利润表!X22</f>
        <v>2082.6993748299997</v>
      </c>
      <c r="I19" s="502">
        <f>利润表!Y22</f>
        <v>0</v>
      </c>
      <c r="J19" s="502">
        <f>利润表!Z22</f>
        <v>0</v>
      </c>
      <c r="K19" s="502">
        <f>利润表!AA22</f>
        <v>0</v>
      </c>
      <c r="L19" s="502">
        <f>利润表!AB22</f>
        <v>0</v>
      </c>
      <c r="M19" s="502">
        <f>利润表!AC22</f>
        <v>0</v>
      </c>
      <c r="N19" s="502">
        <f>利润表!AD22</f>
        <v>0</v>
      </c>
      <c r="O19" s="502">
        <f>利润表!AE22</f>
        <v>0</v>
      </c>
      <c r="P19" s="502">
        <f>利润表!AF22</f>
        <v>0</v>
      </c>
      <c r="Q19" s="502">
        <f>利润表!AG22</f>
        <v>0</v>
      </c>
      <c r="R19" s="502">
        <f>利润表!AH22</f>
        <v>0</v>
      </c>
      <c r="S19" s="502">
        <f>利润表!AI22</f>
        <v>0</v>
      </c>
      <c r="T19" s="502">
        <f>利润表!AJ22</f>
        <v>0</v>
      </c>
      <c r="U19" s="502">
        <f>利润表!AK22</f>
        <v>0</v>
      </c>
      <c r="V19" s="539" t="str">
        <f t="shared" ref="V19:AE19" si="6">IF(ISERROR(V20*V5),"—",V20*V5)</f>
        <v>—</v>
      </c>
      <c r="W19" s="539" t="str">
        <f t="shared" si="6"/>
        <v>—</v>
      </c>
      <c r="X19" s="539" t="str">
        <f t="shared" si="6"/>
        <v>—</v>
      </c>
      <c r="Y19" s="539">
        <f t="shared" si="6"/>
        <v>0</v>
      </c>
      <c r="Z19" s="539">
        <f t="shared" si="6"/>
        <v>0</v>
      </c>
      <c r="AA19" s="539">
        <f t="shared" si="6"/>
        <v>0</v>
      </c>
      <c r="AB19" s="539">
        <f t="shared" si="6"/>
        <v>0</v>
      </c>
      <c r="AC19" s="539">
        <f t="shared" si="6"/>
        <v>0</v>
      </c>
      <c r="AD19" s="539">
        <f t="shared" si="6"/>
        <v>0</v>
      </c>
      <c r="AE19" s="539">
        <f t="shared" si="6"/>
        <v>0</v>
      </c>
    </row>
    <row r="20" spans="1:31" s="23" customFormat="1" ht="17.149999999999999" customHeight="1">
      <c r="B20" s="416" t="s">
        <v>838</v>
      </c>
      <c r="C20" s="97" t="s">
        <v>708</v>
      </c>
      <c r="D20" s="97"/>
      <c r="E20" s="97"/>
      <c r="F20" s="513">
        <f>利润表!V23</f>
        <v>0.18204324051142121</v>
      </c>
      <c r="G20" s="513">
        <f>利润表!W23</f>
        <v>0.18556575559647975</v>
      </c>
      <c r="H20" s="513">
        <f>利润表!X23</f>
        <v>0.22484322666163023</v>
      </c>
      <c r="I20" s="513" t="str">
        <f>利润表!Y23</f>
        <v>—</v>
      </c>
      <c r="J20" s="513" t="str">
        <f>利润表!Z23</f>
        <v>—</v>
      </c>
      <c r="K20" s="513" t="str">
        <f>利润表!AA23</f>
        <v>—</v>
      </c>
      <c r="L20" s="513" t="str">
        <f>利润表!AB23</f>
        <v>—</v>
      </c>
      <c r="M20" s="513" t="str">
        <f>利润表!AC23</f>
        <v>—</v>
      </c>
      <c r="N20" s="513" t="str">
        <f>利润表!AD23</f>
        <v>—</v>
      </c>
      <c r="O20" s="513" t="str">
        <f>利润表!AE23</f>
        <v>—</v>
      </c>
      <c r="P20" s="513" t="str">
        <f>利润表!AF23</f>
        <v>—</v>
      </c>
      <c r="Q20" s="513" t="str">
        <f>利润表!AG23</f>
        <v>—</v>
      </c>
      <c r="R20" s="513" t="str">
        <f>利润表!AH23</f>
        <v>—</v>
      </c>
      <c r="S20" s="513" t="str">
        <f>利润表!AI23</f>
        <v>—</v>
      </c>
      <c r="T20" s="513" t="str">
        <f>利润表!AJ23</f>
        <v>—</v>
      </c>
      <c r="U20" s="513" t="str">
        <f>利润表!AK23</f>
        <v>—</v>
      </c>
      <c r="V20" s="540">
        <v>0</v>
      </c>
      <c r="W20" s="785">
        <v>0</v>
      </c>
      <c r="X20" s="785">
        <v>0</v>
      </c>
      <c r="Y20" s="540"/>
      <c r="Z20" s="540"/>
      <c r="AA20" s="540"/>
      <c r="AB20" s="540"/>
      <c r="AC20" s="540"/>
      <c r="AD20" s="540"/>
      <c r="AE20" s="540"/>
    </row>
    <row r="21" spans="1:31" s="23" customFormat="1" ht="17.149999999999999" customHeight="1">
      <c r="B21" s="416"/>
      <c r="C21" s="97"/>
      <c r="D21" s="97"/>
      <c r="E21" s="97"/>
      <c r="F21" s="511"/>
      <c r="G21" s="511"/>
      <c r="H21" s="511"/>
      <c r="I21" s="511"/>
      <c r="J21" s="511"/>
      <c r="K21" s="511"/>
      <c r="L21" s="511"/>
      <c r="M21" s="511"/>
      <c r="N21" s="511"/>
      <c r="O21" s="511"/>
      <c r="P21" s="511"/>
      <c r="Q21" s="511"/>
      <c r="R21" s="512"/>
      <c r="S21" s="512"/>
      <c r="T21" s="512"/>
      <c r="U21" s="512"/>
      <c r="V21" s="541"/>
      <c r="W21" s="541"/>
      <c r="X21" s="541"/>
      <c r="Y21" s="541"/>
      <c r="Z21" s="541"/>
      <c r="AA21" s="541"/>
      <c r="AB21" s="541"/>
      <c r="AC21" s="541"/>
      <c r="AD21" s="541"/>
      <c r="AE21" s="541"/>
    </row>
    <row r="22" spans="1:31" s="23" customFormat="1" ht="17.149999999999999" customHeight="1">
      <c r="B22" s="34" t="s">
        <v>698</v>
      </c>
      <c r="C22" s="97"/>
      <c r="D22" s="97"/>
      <c r="E22" s="97"/>
      <c r="F22" s="502">
        <f>利润表!V24</f>
        <v>127.61458323999999</v>
      </c>
      <c r="G22" s="502">
        <f>利润表!W24</f>
        <v>343.91099055000001</v>
      </c>
      <c r="H22" s="502">
        <f>利润表!X24</f>
        <v>488.72903760000003</v>
      </c>
      <c r="I22" s="502">
        <f>利润表!Y24</f>
        <v>0</v>
      </c>
      <c r="J22" s="502">
        <f>利润表!Z24</f>
        <v>0</v>
      </c>
      <c r="K22" s="502">
        <f>利润表!AA24</f>
        <v>0</v>
      </c>
      <c r="L22" s="502">
        <f>利润表!AB24</f>
        <v>0</v>
      </c>
      <c r="M22" s="502">
        <f>利润表!AC24</f>
        <v>0</v>
      </c>
      <c r="N22" s="502">
        <f>利润表!AD24</f>
        <v>0</v>
      </c>
      <c r="O22" s="502">
        <f>利润表!AE24</f>
        <v>0</v>
      </c>
      <c r="P22" s="502">
        <f>利润表!AF24</f>
        <v>0</v>
      </c>
      <c r="Q22" s="502">
        <f>利润表!AG24</f>
        <v>0</v>
      </c>
      <c r="R22" s="502">
        <f>利润表!AH24</f>
        <v>0</v>
      </c>
      <c r="S22" s="502">
        <f>利润表!AI24</f>
        <v>0</v>
      </c>
      <c r="T22" s="502">
        <f>利润表!AJ24</f>
        <v>0</v>
      </c>
      <c r="U22" s="502">
        <f>利润表!AK24</f>
        <v>0</v>
      </c>
      <c r="V22" s="539" t="str">
        <f t="shared" ref="V22:AE22" si="7">IF(ISERROR(V23*V5),"—",V23*V5)</f>
        <v>—</v>
      </c>
      <c r="W22" s="539" t="str">
        <f t="shared" si="7"/>
        <v>—</v>
      </c>
      <c r="X22" s="539" t="str">
        <f t="shared" si="7"/>
        <v>—</v>
      </c>
      <c r="Y22" s="539">
        <f t="shared" si="7"/>
        <v>0</v>
      </c>
      <c r="Z22" s="539">
        <f t="shared" si="7"/>
        <v>0</v>
      </c>
      <c r="AA22" s="539">
        <f t="shared" si="7"/>
        <v>0</v>
      </c>
      <c r="AB22" s="539">
        <f t="shared" si="7"/>
        <v>0</v>
      </c>
      <c r="AC22" s="539">
        <f t="shared" si="7"/>
        <v>0</v>
      </c>
      <c r="AD22" s="539">
        <f t="shared" si="7"/>
        <v>0</v>
      </c>
      <c r="AE22" s="539">
        <f t="shared" si="7"/>
        <v>0</v>
      </c>
    </row>
    <row r="23" spans="1:31" s="23" customFormat="1" ht="17.149999999999999" customHeight="1" collapsed="1">
      <c r="B23" s="416" t="s">
        <v>837</v>
      </c>
      <c r="C23" s="97" t="s">
        <v>931</v>
      </c>
      <c r="D23" s="97"/>
      <c r="E23" s="97"/>
      <c r="F23" s="513">
        <f>利润表!V25</f>
        <v>3.78682143412227E-2</v>
      </c>
      <c r="G23" s="513">
        <f>利润表!W25</f>
        <v>5.3565907356003938E-2</v>
      </c>
      <c r="H23" s="513">
        <f>利润表!X25</f>
        <v>5.276201409825975E-2</v>
      </c>
      <c r="I23" s="513" t="str">
        <f>利润表!Y25</f>
        <v>—</v>
      </c>
      <c r="J23" s="513" t="str">
        <f>利润表!Z25</f>
        <v>—</v>
      </c>
      <c r="K23" s="513" t="str">
        <f>利润表!AA25</f>
        <v>—</v>
      </c>
      <c r="L23" s="513" t="str">
        <f>利润表!AB25</f>
        <v>—</v>
      </c>
      <c r="M23" s="513" t="str">
        <f>利润表!AC25</f>
        <v>—</v>
      </c>
      <c r="N23" s="513" t="str">
        <f>利润表!AD25</f>
        <v>—</v>
      </c>
      <c r="O23" s="513" t="str">
        <f>利润表!AE25</f>
        <v>—</v>
      </c>
      <c r="P23" s="513" t="str">
        <f>利润表!AF25</f>
        <v>—</v>
      </c>
      <c r="Q23" s="513" t="str">
        <f>利润表!AG25</f>
        <v>—</v>
      </c>
      <c r="R23" s="513" t="str">
        <f>利润表!AH25</f>
        <v>—</v>
      </c>
      <c r="S23" s="513" t="str">
        <f>利润表!AI25</f>
        <v>—</v>
      </c>
      <c r="T23" s="513" t="str">
        <f>利润表!AJ25</f>
        <v>—</v>
      </c>
      <c r="U23" s="513" t="str">
        <f>利润表!AK25</f>
        <v>—</v>
      </c>
      <c r="V23" s="540">
        <v>0</v>
      </c>
      <c r="W23" s="540">
        <v>0</v>
      </c>
      <c r="X23" s="540">
        <v>0</v>
      </c>
      <c r="Y23" s="540"/>
      <c r="Z23" s="540"/>
      <c r="AA23" s="540"/>
      <c r="AB23" s="540"/>
      <c r="AC23" s="540"/>
      <c r="AD23" s="540"/>
      <c r="AE23" s="540"/>
    </row>
    <row r="24" spans="1:31" s="23" customFormat="1" ht="17.149999999999999" customHeight="1">
      <c r="B24" s="416"/>
      <c r="C24" s="97"/>
      <c r="D24" s="97"/>
      <c r="E24" s="97"/>
      <c r="F24" s="513"/>
      <c r="G24" s="513"/>
      <c r="H24" s="513"/>
      <c r="I24" s="513"/>
      <c r="J24" s="513"/>
      <c r="K24" s="513"/>
      <c r="L24" s="513"/>
      <c r="M24" s="513"/>
      <c r="N24" s="513"/>
      <c r="O24" s="513"/>
      <c r="P24" s="513"/>
      <c r="Q24" s="513"/>
      <c r="R24" s="513"/>
      <c r="S24" s="513"/>
      <c r="T24" s="513"/>
      <c r="U24" s="513"/>
      <c r="V24" s="542"/>
      <c r="W24" s="542"/>
      <c r="X24" s="542"/>
      <c r="Y24" s="542"/>
      <c r="Z24" s="542"/>
      <c r="AA24" s="542"/>
      <c r="AB24" s="542"/>
      <c r="AC24" s="542"/>
      <c r="AD24" s="542"/>
      <c r="AE24" s="542"/>
    </row>
    <row r="25" spans="1:31" s="23" customFormat="1" ht="17.149999999999999" customHeight="1" outlineLevel="1">
      <c r="B25" s="34" t="s">
        <v>910</v>
      </c>
      <c r="D25" s="97"/>
      <c r="E25" s="97"/>
      <c r="F25" s="502">
        <f>利润表!V26</f>
        <v>12.45037159</v>
      </c>
      <c r="G25" s="502">
        <f>利润表!W26</f>
        <v>10.954113699999999</v>
      </c>
      <c r="H25" s="502">
        <f>利润表!X26</f>
        <v>34.441347549999996</v>
      </c>
      <c r="I25" s="502">
        <f>利润表!Y26</f>
        <v>0</v>
      </c>
      <c r="J25" s="502">
        <f>利润表!Z26</f>
        <v>0</v>
      </c>
      <c r="K25" s="502">
        <f>利润表!AA26</f>
        <v>0</v>
      </c>
      <c r="L25" s="502">
        <f>利润表!AB26</f>
        <v>0</v>
      </c>
      <c r="M25" s="502">
        <f>利润表!AC26</f>
        <v>0</v>
      </c>
      <c r="N25" s="502">
        <f>利润表!AD26</f>
        <v>0</v>
      </c>
      <c r="O25" s="502">
        <f>利润表!AE26</f>
        <v>0</v>
      </c>
      <c r="P25" s="502">
        <f>利润表!AF26</f>
        <v>0</v>
      </c>
      <c r="Q25" s="502">
        <f>利润表!AG26</f>
        <v>0</v>
      </c>
      <c r="R25" s="502">
        <f>利润表!AH26</f>
        <v>0</v>
      </c>
      <c r="S25" s="502">
        <f>利润表!AI26</f>
        <v>0</v>
      </c>
      <c r="T25" s="502">
        <f>利润表!AJ26</f>
        <v>0</v>
      </c>
      <c r="U25" s="502">
        <f>利润表!AK26</f>
        <v>0</v>
      </c>
      <c r="V25" s="539" t="str">
        <f t="shared" ref="V25:AE25" si="8">IF(ISERROR(V26*V5),"—",V26*V5)</f>
        <v>—</v>
      </c>
      <c r="W25" s="539" t="str">
        <f t="shared" si="8"/>
        <v>—</v>
      </c>
      <c r="X25" s="539" t="str">
        <f t="shared" si="8"/>
        <v>—</v>
      </c>
      <c r="Y25" s="539">
        <f t="shared" si="8"/>
        <v>0</v>
      </c>
      <c r="Z25" s="539">
        <f t="shared" si="8"/>
        <v>0</v>
      </c>
      <c r="AA25" s="539">
        <f t="shared" si="8"/>
        <v>0</v>
      </c>
      <c r="AB25" s="539">
        <f t="shared" si="8"/>
        <v>0</v>
      </c>
      <c r="AC25" s="539">
        <f t="shared" si="8"/>
        <v>0</v>
      </c>
      <c r="AD25" s="539">
        <f t="shared" si="8"/>
        <v>0</v>
      </c>
      <c r="AE25" s="539">
        <f t="shared" si="8"/>
        <v>0</v>
      </c>
    </row>
    <row r="26" spans="1:31" s="23" customFormat="1" ht="17.149999999999999" customHeight="1" outlineLevel="1">
      <c r="B26" s="416" t="s">
        <v>932</v>
      </c>
      <c r="C26" s="97" t="s">
        <v>1255</v>
      </c>
      <c r="D26" s="97"/>
      <c r="E26" s="97"/>
      <c r="F26" s="510">
        <f>利润表!V27</f>
        <v>3.6945098908586905E-3</v>
      </c>
      <c r="G26" s="510">
        <f>利润表!W27</f>
        <v>1.7061596045039027E-3</v>
      </c>
      <c r="H26" s="510">
        <f>利润表!X27</f>
        <v>3.7182052327397125E-3</v>
      </c>
      <c r="I26" s="510" t="str">
        <f>利润表!Y27</f>
        <v xml:space="preserve"> —</v>
      </c>
      <c r="J26" s="510" t="str">
        <f>利润表!Z27</f>
        <v xml:space="preserve"> —</v>
      </c>
      <c r="K26" s="510" t="str">
        <f>利润表!AA27</f>
        <v xml:space="preserve"> —</v>
      </c>
      <c r="L26" s="510" t="str">
        <f>利润表!AB27</f>
        <v xml:space="preserve"> —</v>
      </c>
      <c r="M26" s="510" t="str">
        <f>利润表!AC27</f>
        <v xml:space="preserve"> —</v>
      </c>
      <c r="N26" s="510" t="str">
        <f>利润表!AD27</f>
        <v xml:space="preserve"> —</v>
      </c>
      <c r="O26" s="510" t="str">
        <f>利润表!AE27</f>
        <v xml:space="preserve"> —</v>
      </c>
      <c r="P26" s="510" t="str">
        <f>利润表!AF27</f>
        <v xml:space="preserve"> —</v>
      </c>
      <c r="Q26" s="510" t="str">
        <f>利润表!AG27</f>
        <v xml:space="preserve"> —</v>
      </c>
      <c r="R26" s="510" t="str">
        <f>利润表!AH27</f>
        <v xml:space="preserve"> —</v>
      </c>
      <c r="S26" s="510" t="str">
        <f>利润表!AI27</f>
        <v xml:space="preserve"> —</v>
      </c>
      <c r="T26" s="510" t="str">
        <f>利润表!AJ27</f>
        <v xml:space="preserve"> —</v>
      </c>
      <c r="U26" s="510" t="str">
        <f>利润表!AK27</f>
        <v xml:space="preserve"> —</v>
      </c>
      <c r="V26" s="540">
        <v>0</v>
      </c>
      <c r="W26" s="540">
        <v>0</v>
      </c>
      <c r="X26" s="540">
        <v>0</v>
      </c>
      <c r="Y26" s="540"/>
      <c r="Z26" s="540"/>
      <c r="AA26" s="540"/>
      <c r="AB26" s="540"/>
      <c r="AC26" s="540"/>
      <c r="AD26" s="540"/>
      <c r="AE26" s="540"/>
    </row>
    <row r="27" spans="1:31" s="23" customFormat="1" ht="17.149999999999999" customHeight="1" outlineLevel="1">
      <c r="B27" s="97"/>
      <c r="C27" s="97"/>
      <c r="D27" s="97"/>
      <c r="E27" s="97"/>
      <c r="F27" s="510"/>
      <c r="G27" s="510"/>
      <c r="H27" s="510"/>
      <c r="I27" s="510"/>
      <c r="J27" s="510"/>
      <c r="K27" s="510"/>
      <c r="L27" s="510"/>
      <c r="M27" s="510"/>
      <c r="N27" s="510"/>
      <c r="O27" s="510"/>
      <c r="P27" s="510"/>
      <c r="Q27" s="510"/>
      <c r="R27" s="510"/>
      <c r="S27" s="510"/>
      <c r="T27" s="510"/>
      <c r="U27" s="510"/>
      <c r="V27" s="543"/>
      <c r="W27" s="543"/>
      <c r="X27" s="543"/>
      <c r="Y27" s="543"/>
      <c r="Z27" s="543"/>
      <c r="AA27" s="543"/>
      <c r="AB27" s="543"/>
      <c r="AC27" s="543"/>
      <c r="AD27" s="543"/>
      <c r="AE27" s="543"/>
    </row>
    <row r="28" spans="1:31" s="132" customFormat="1" ht="17.149999999999999" customHeight="1">
      <c r="A28" s="23"/>
      <c r="B28" s="51" t="s">
        <v>913</v>
      </c>
      <c r="C28" s="504"/>
      <c r="D28" s="504"/>
      <c r="E28" s="504"/>
      <c r="F28" s="507">
        <f>利润表!V42</f>
        <v>3.7748032400000002</v>
      </c>
      <c r="G28" s="507">
        <f>利润表!W42</f>
        <v>7.79221275</v>
      </c>
      <c r="H28" s="507">
        <f>利润表!X42</f>
        <v>11.638472839999999</v>
      </c>
      <c r="I28" s="507">
        <f>利润表!Y42</f>
        <v>0</v>
      </c>
      <c r="J28" s="507">
        <f>利润表!Z42</f>
        <v>0</v>
      </c>
      <c r="K28" s="507">
        <f>利润表!AA42</f>
        <v>0</v>
      </c>
      <c r="L28" s="507">
        <f>利润表!AB42</f>
        <v>0</v>
      </c>
      <c r="M28" s="507">
        <f>利润表!AC42</f>
        <v>0</v>
      </c>
      <c r="N28" s="507">
        <f>利润表!AD42</f>
        <v>0</v>
      </c>
      <c r="O28" s="507">
        <f>利润表!AE42</f>
        <v>0</v>
      </c>
      <c r="P28" s="507">
        <f>利润表!AF42</f>
        <v>0</v>
      </c>
      <c r="Q28" s="507">
        <f>利润表!AG42</f>
        <v>0</v>
      </c>
      <c r="R28" s="507">
        <f>利润表!AH42</f>
        <v>0</v>
      </c>
      <c r="S28" s="507">
        <f>利润表!AI42</f>
        <v>0</v>
      </c>
      <c r="T28" s="507">
        <f>利润表!AJ42</f>
        <v>0</v>
      </c>
      <c r="U28" s="507">
        <f>利润表!AK42</f>
        <v>0</v>
      </c>
      <c r="V28" s="646" t="str">
        <f>IF(ISERROR(V5*V29),"—",V5*V29)</f>
        <v>—</v>
      </c>
      <c r="W28" s="646" t="str">
        <f t="shared" ref="W28:AE28" si="9">IF(ISERROR(W5*W29),"—",W5*W29)</f>
        <v>—</v>
      </c>
      <c r="X28" s="646" t="str">
        <f t="shared" si="9"/>
        <v>—</v>
      </c>
      <c r="Y28" s="646">
        <f t="shared" si="9"/>
        <v>0</v>
      </c>
      <c r="Z28" s="646">
        <f t="shared" si="9"/>
        <v>0</v>
      </c>
      <c r="AA28" s="646">
        <f t="shared" si="9"/>
        <v>0</v>
      </c>
      <c r="AB28" s="646">
        <f t="shared" si="9"/>
        <v>0</v>
      </c>
      <c r="AC28" s="646">
        <f t="shared" si="9"/>
        <v>0</v>
      </c>
      <c r="AD28" s="646">
        <f t="shared" si="9"/>
        <v>0</v>
      </c>
      <c r="AE28" s="646">
        <f t="shared" si="9"/>
        <v>0</v>
      </c>
    </row>
    <row r="29" spans="1:31" s="11" customFormat="1" ht="17.149999999999999" customHeight="1">
      <c r="B29" s="728" t="s">
        <v>1236</v>
      </c>
      <c r="C29" s="505" t="s">
        <v>1254</v>
      </c>
      <c r="D29" s="505"/>
      <c r="E29" s="505"/>
      <c r="F29" s="508">
        <f>IF(ISERROR(F28/F5),"—",F28/F5)</f>
        <v>1.1201310583715221E-3</v>
      </c>
      <c r="G29" s="508">
        <f t="shared" ref="G29:U29" si="10">IF(ISERROR(G28/G5),"—",G28/G5)</f>
        <v>1.2136772529346917E-3</v>
      </c>
      <c r="H29" s="508">
        <f t="shared" si="10"/>
        <v>1.2564615990115933E-3</v>
      </c>
      <c r="I29" s="508" t="str">
        <f t="shared" si="10"/>
        <v>—</v>
      </c>
      <c r="J29" s="508" t="str">
        <f t="shared" si="10"/>
        <v>—</v>
      </c>
      <c r="K29" s="508" t="str">
        <f t="shared" si="10"/>
        <v>—</v>
      </c>
      <c r="L29" s="508" t="str">
        <f t="shared" si="10"/>
        <v>—</v>
      </c>
      <c r="M29" s="508" t="str">
        <f t="shared" si="10"/>
        <v>—</v>
      </c>
      <c r="N29" s="508" t="str">
        <f t="shared" si="10"/>
        <v>—</v>
      </c>
      <c r="O29" s="508" t="str">
        <f t="shared" si="10"/>
        <v>—</v>
      </c>
      <c r="P29" s="508" t="str">
        <f t="shared" si="10"/>
        <v>—</v>
      </c>
      <c r="Q29" s="508" t="str">
        <f t="shared" si="10"/>
        <v>—</v>
      </c>
      <c r="R29" s="508" t="str">
        <f t="shared" si="10"/>
        <v>—</v>
      </c>
      <c r="S29" s="508" t="str">
        <f t="shared" si="10"/>
        <v>—</v>
      </c>
      <c r="T29" s="508" t="str">
        <f t="shared" si="10"/>
        <v>—</v>
      </c>
      <c r="U29" s="508" t="str">
        <f t="shared" si="10"/>
        <v>—</v>
      </c>
      <c r="V29" s="645">
        <f>IF(ISNUMBER(AVERAGE(Q29,M29,I29)),AVERAGE(Q29,M29,I29),0)</f>
        <v>0</v>
      </c>
      <c r="W29" s="645">
        <f>IF(ISNUMBER(AVERAGE(V29,Q29,M29)),AVERAGE(V29,Q29,M29),0)</f>
        <v>0</v>
      </c>
      <c r="X29" s="645">
        <f>IF(ISNUMBER(AVERAGE(W29,V29,Q29)),AVERAGE(W29,V29,Q29),0)</f>
        <v>0</v>
      </c>
      <c r="Y29" s="645">
        <f t="shared" ref="Y29:AE29" si="11">IF(ISNUMBER(AVERAGE(X29,W29,V29)),AVERAGE(X29,W29,V29),0)</f>
        <v>0</v>
      </c>
      <c r="Z29" s="645">
        <f t="shared" si="11"/>
        <v>0</v>
      </c>
      <c r="AA29" s="645">
        <f t="shared" si="11"/>
        <v>0</v>
      </c>
      <c r="AB29" s="645">
        <f t="shared" si="11"/>
        <v>0</v>
      </c>
      <c r="AC29" s="645">
        <f t="shared" si="11"/>
        <v>0</v>
      </c>
      <c r="AD29" s="645">
        <f t="shared" si="11"/>
        <v>0</v>
      </c>
      <c r="AE29" s="645">
        <f t="shared" si="11"/>
        <v>0</v>
      </c>
    </row>
    <row r="30" spans="1:31" s="23" customFormat="1" ht="17.149999999999999" customHeight="1">
      <c r="B30" s="416"/>
      <c r="C30" s="97"/>
      <c r="D30" s="97"/>
      <c r="E30" s="97"/>
      <c r="F30" s="513"/>
      <c r="G30" s="513"/>
      <c r="H30" s="513"/>
      <c r="I30" s="513"/>
      <c r="J30" s="513"/>
      <c r="K30" s="513"/>
      <c r="L30" s="513"/>
      <c r="M30" s="513"/>
      <c r="N30" s="513"/>
      <c r="O30" s="513"/>
      <c r="P30" s="513"/>
      <c r="Q30" s="513"/>
      <c r="R30" s="513"/>
      <c r="S30" s="513"/>
      <c r="T30" s="513"/>
      <c r="U30" s="513"/>
      <c r="V30" s="533"/>
      <c r="W30" s="533"/>
      <c r="X30" s="533"/>
      <c r="Y30" s="533"/>
      <c r="Z30" s="533"/>
      <c r="AA30" s="533"/>
      <c r="AB30" s="533"/>
      <c r="AC30" s="533"/>
      <c r="AD30" s="533"/>
      <c r="AE30" s="533"/>
    </row>
    <row r="31" spans="1:31" s="23" customFormat="1" ht="17.149999999999999" customHeight="1">
      <c r="B31" s="34" t="s">
        <v>581</v>
      </c>
      <c r="C31" s="97"/>
      <c r="D31" s="506" t="s">
        <v>699</v>
      </c>
      <c r="E31" s="97"/>
      <c r="F31" s="501">
        <f>利润表!V44</f>
        <v>21.03606216</v>
      </c>
      <c r="G31" s="501">
        <f>利润表!W44</f>
        <v>60.356782689999996</v>
      </c>
      <c r="H31" s="501">
        <f>利润表!X44</f>
        <v>90.58400773999999</v>
      </c>
      <c r="I31" s="501">
        <f>利润表!Y44</f>
        <v>0</v>
      </c>
      <c r="J31" s="501">
        <f>利润表!Z44</f>
        <v>0</v>
      </c>
      <c r="K31" s="501">
        <f>利润表!AA44</f>
        <v>0</v>
      </c>
      <c r="L31" s="501">
        <f>利润表!AB44</f>
        <v>0</v>
      </c>
      <c r="M31" s="501">
        <f>利润表!AC44</f>
        <v>0</v>
      </c>
      <c r="N31" s="501">
        <f>利润表!AD44</f>
        <v>0</v>
      </c>
      <c r="O31" s="501">
        <f>利润表!AE44</f>
        <v>0</v>
      </c>
      <c r="P31" s="501">
        <f>利润表!AF44</f>
        <v>0</v>
      </c>
      <c r="Q31" s="501">
        <f>利润表!AG44</f>
        <v>0</v>
      </c>
      <c r="R31" s="501">
        <f>利润表!AH44</f>
        <v>0</v>
      </c>
      <c r="S31" s="501">
        <f>利润表!AI44</f>
        <v>0</v>
      </c>
      <c r="T31" s="501">
        <f>利润表!AJ44</f>
        <v>0</v>
      </c>
      <c r="U31" s="501">
        <f>利润表!AK44</f>
        <v>0</v>
      </c>
      <c r="V31" s="646" t="str">
        <f>IF(ISERROR(V5*V32),"—",V5*V32)</f>
        <v>—</v>
      </c>
      <c r="W31" s="646" t="str">
        <f t="shared" ref="W31:AE31" si="12">IF(ISERROR(W5*W32),"—",W5*W32)</f>
        <v>—</v>
      </c>
      <c r="X31" s="646" t="str">
        <f t="shared" si="12"/>
        <v>—</v>
      </c>
      <c r="Y31" s="646">
        <f t="shared" si="12"/>
        <v>0</v>
      </c>
      <c r="Z31" s="646">
        <f t="shared" si="12"/>
        <v>0</v>
      </c>
      <c r="AA31" s="646">
        <f t="shared" si="12"/>
        <v>0</v>
      </c>
      <c r="AB31" s="646">
        <f t="shared" si="12"/>
        <v>0</v>
      </c>
      <c r="AC31" s="646">
        <f t="shared" si="12"/>
        <v>0</v>
      </c>
      <c r="AD31" s="646">
        <f t="shared" si="12"/>
        <v>0</v>
      </c>
      <c r="AE31" s="646">
        <f t="shared" si="12"/>
        <v>0</v>
      </c>
    </row>
    <row r="32" spans="1:31" s="11" customFormat="1" ht="17.149999999999999" customHeight="1" collapsed="1">
      <c r="B32" s="729" t="s">
        <v>1237</v>
      </c>
      <c r="C32" s="505" t="s">
        <v>1253</v>
      </c>
      <c r="D32" s="505"/>
      <c r="E32" s="505"/>
      <c r="F32" s="508">
        <f>IF(ISERROR(F31/F5),"—",F31/F5)</f>
        <v>6.2422184874594763E-3</v>
      </c>
      <c r="G32" s="508">
        <f t="shared" ref="G32:U32" si="13">IF(ISERROR(G31/G5),"—",G31/G5)</f>
        <v>9.4008796424578291E-3</v>
      </c>
      <c r="H32" s="508">
        <f t="shared" si="13"/>
        <v>9.7792321015442562E-3</v>
      </c>
      <c r="I32" s="508" t="str">
        <f t="shared" si="13"/>
        <v>—</v>
      </c>
      <c r="J32" s="508" t="str">
        <f t="shared" si="13"/>
        <v>—</v>
      </c>
      <c r="K32" s="508" t="str">
        <f t="shared" si="13"/>
        <v>—</v>
      </c>
      <c r="L32" s="508" t="str">
        <f t="shared" si="13"/>
        <v>—</v>
      </c>
      <c r="M32" s="508" t="str">
        <f t="shared" si="13"/>
        <v>—</v>
      </c>
      <c r="N32" s="508" t="str">
        <f t="shared" si="13"/>
        <v>—</v>
      </c>
      <c r="O32" s="508" t="str">
        <f t="shared" si="13"/>
        <v>—</v>
      </c>
      <c r="P32" s="508" t="str">
        <f t="shared" si="13"/>
        <v>—</v>
      </c>
      <c r="Q32" s="508" t="str">
        <f t="shared" si="13"/>
        <v>—</v>
      </c>
      <c r="R32" s="508" t="str">
        <f t="shared" si="13"/>
        <v>—</v>
      </c>
      <c r="S32" s="508" t="str">
        <f t="shared" si="13"/>
        <v>—</v>
      </c>
      <c r="T32" s="508" t="str">
        <f t="shared" si="13"/>
        <v>—</v>
      </c>
      <c r="U32" s="508" t="str">
        <f t="shared" si="13"/>
        <v>—</v>
      </c>
      <c r="V32" s="645">
        <f>IF(ISNUMBER(AVERAGE(Q32,M32,I32)),AVERAGE(Q32,M32,I32),0)</f>
        <v>0</v>
      </c>
      <c r="W32" s="645">
        <f>IF(ISNUMBER(AVERAGE(V32,Q32,M32)),AVERAGE(V32,Q32,M32),0)</f>
        <v>0</v>
      </c>
      <c r="X32" s="645">
        <f>IF(ISNUMBER(AVERAGE(W32,V32,Q32)),AVERAGE(W32,V32,Q32),0)</f>
        <v>0</v>
      </c>
      <c r="Y32" s="645">
        <f t="shared" ref="Y32:AE32" si="14">IF(ISNUMBER(AVERAGE(X32,W32,V32)),AVERAGE(X32,W32,V32),0)</f>
        <v>0</v>
      </c>
      <c r="Z32" s="645">
        <f t="shared" si="14"/>
        <v>0</v>
      </c>
      <c r="AA32" s="645">
        <f t="shared" si="14"/>
        <v>0</v>
      </c>
      <c r="AB32" s="645">
        <f t="shared" si="14"/>
        <v>0</v>
      </c>
      <c r="AC32" s="645">
        <f t="shared" si="14"/>
        <v>0</v>
      </c>
      <c r="AD32" s="645">
        <f t="shared" si="14"/>
        <v>0</v>
      </c>
      <c r="AE32" s="645">
        <f t="shared" si="14"/>
        <v>0</v>
      </c>
    </row>
    <row r="33" spans="1:32" ht="17.149999999999999" customHeight="1">
      <c r="B33" s="104"/>
      <c r="C33" s="104"/>
      <c r="D33" s="104"/>
      <c r="E33" s="104"/>
      <c r="F33" s="139"/>
      <c r="G33" s="139"/>
      <c r="H33" s="139"/>
      <c r="I33" s="139"/>
      <c r="J33" s="139"/>
      <c r="K33" s="139"/>
      <c r="L33" s="139"/>
      <c r="M33" s="139"/>
      <c r="N33" s="139"/>
      <c r="O33" s="139"/>
      <c r="P33" s="139"/>
      <c r="Q33" s="139"/>
      <c r="R33" s="139"/>
      <c r="S33" s="139"/>
      <c r="T33" s="139"/>
      <c r="U33" s="139"/>
      <c r="V33" s="546"/>
      <c r="W33" s="546"/>
      <c r="X33" s="546"/>
      <c r="Y33" s="546"/>
      <c r="Z33" s="546"/>
      <c r="AA33" s="546"/>
      <c r="AB33" s="546"/>
      <c r="AC33" s="546"/>
      <c r="AD33" s="546"/>
      <c r="AE33" s="546"/>
    </row>
    <row r="34" spans="1:32" s="132" customFormat="1" ht="17.149999999999999" customHeight="1">
      <c r="A34" s="23"/>
      <c r="B34" s="51" t="s">
        <v>911</v>
      </c>
      <c r="C34" s="504"/>
      <c r="D34" s="504"/>
      <c r="E34" s="504"/>
      <c r="F34" s="507">
        <f>利润表!V61</f>
        <v>0</v>
      </c>
      <c r="G34" s="507">
        <f>利润表!W61</f>
        <v>-9.371032E-2</v>
      </c>
      <c r="H34" s="507">
        <f>利润表!X61</f>
        <v>-9.371032E-2</v>
      </c>
      <c r="I34" s="507">
        <f>利润表!Y61</f>
        <v>0</v>
      </c>
      <c r="J34" s="507">
        <f>利润表!Z61</f>
        <v>0</v>
      </c>
      <c r="K34" s="507">
        <f>利润表!AA61</f>
        <v>0</v>
      </c>
      <c r="L34" s="507">
        <f>利润表!AB61</f>
        <v>0</v>
      </c>
      <c r="M34" s="507">
        <f>利润表!AC61</f>
        <v>0</v>
      </c>
      <c r="N34" s="507">
        <f>利润表!AD61</f>
        <v>0</v>
      </c>
      <c r="O34" s="507">
        <f>利润表!AE61</f>
        <v>0</v>
      </c>
      <c r="P34" s="507">
        <f>利润表!AF61</f>
        <v>0</v>
      </c>
      <c r="Q34" s="507">
        <f>利润表!AG61</f>
        <v>0</v>
      </c>
      <c r="R34" s="507">
        <f>利润表!AH61</f>
        <v>0</v>
      </c>
      <c r="S34" s="507">
        <f>利润表!AI61</f>
        <v>0</v>
      </c>
      <c r="T34" s="507">
        <f>利润表!AJ61</f>
        <v>0</v>
      </c>
      <c r="U34" s="507">
        <f>利润表!AK61</f>
        <v>0</v>
      </c>
      <c r="V34" s="646" t="str">
        <f t="shared" ref="V34:AE34" si="15">IF(ISERROR(V5*V35),"—",V5*V35)</f>
        <v>—</v>
      </c>
      <c r="W34" s="646" t="str">
        <f t="shared" si="15"/>
        <v>—</v>
      </c>
      <c r="X34" s="646" t="str">
        <f t="shared" si="15"/>
        <v>—</v>
      </c>
      <c r="Y34" s="646">
        <f t="shared" si="15"/>
        <v>0</v>
      </c>
      <c r="Z34" s="646">
        <f t="shared" si="15"/>
        <v>0</v>
      </c>
      <c r="AA34" s="646">
        <f t="shared" si="15"/>
        <v>0</v>
      </c>
      <c r="AB34" s="646">
        <f t="shared" si="15"/>
        <v>0</v>
      </c>
      <c r="AC34" s="646">
        <f t="shared" si="15"/>
        <v>0</v>
      </c>
      <c r="AD34" s="646">
        <f t="shared" si="15"/>
        <v>0</v>
      </c>
      <c r="AE34" s="646">
        <f t="shared" si="15"/>
        <v>0</v>
      </c>
    </row>
    <row r="35" spans="1:32" s="11" customFormat="1" ht="17.149999999999999" customHeight="1">
      <c r="B35" s="730" t="s">
        <v>1238</v>
      </c>
      <c r="C35" s="505" t="s">
        <v>1252</v>
      </c>
      <c r="D35" s="505"/>
      <c r="E35" s="505"/>
      <c r="F35" s="508">
        <f>IF(ISERROR(F34/F5),"—",F34/F5)</f>
        <v>0</v>
      </c>
      <c r="G35" s="508">
        <f t="shared" ref="G35:U35" si="16">IF(ISERROR(G34/G5),"—",G34/G5)</f>
        <v>-1.4595864794532321E-5</v>
      </c>
      <c r="H35" s="508">
        <f t="shared" si="16"/>
        <v>-1.0116741270935346E-5</v>
      </c>
      <c r="I35" s="508" t="str">
        <f t="shared" si="16"/>
        <v>—</v>
      </c>
      <c r="J35" s="508" t="str">
        <f t="shared" si="16"/>
        <v>—</v>
      </c>
      <c r="K35" s="508" t="str">
        <f t="shared" si="16"/>
        <v>—</v>
      </c>
      <c r="L35" s="508" t="str">
        <f t="shared" si="16"/>
        <v>—</v>
      </c>
      <c r="M35" s="508" t="str">
        <f t="shared" si="16"/>
        <v>—</v>
      </c>
      <c r="N35" s="508" t="str">
        <f t="shared" si="16"/>
        <v>—</v>
      </c>
      <c r="O35" s="508" t="str">
        <f t="shared" si="16"/>
        <v>—</v>
      </c>
      <c r="P35" s="508" t="str">
        <f t="shared" si="16"/>
        <v>—</v>
      </c>
      <c r="Q35" s="508" t="str">
        <f t="shared" si="16"/>
        <v>—</v>
      </c>
      <c r="R35" s="508" t="str">
        <f t="shared" si="16"/>
        <v>—</v>
      </c>
      <c r="S35" s="508" t="str">
        <f t="shared" si="16"/>
        <v>—</v>
      </c>
      <c r="T35" s="508" t="str">
        <f t="shared" si="16"/>
        <v>—</v>
      </c>
      <c r="U35" s="508" t="str">
        <f t="shared" si="16"/>
        <v>—</v>
      </c>
      <c r="V35" s="645">
        <v>0</v>
      </c>
      <c r="W35" s="645">
        <v>0</v>
      </c>
      <c r="X35" s="645">
        <v>0</v>
      </c>
      <c r="Y35" s="645">
        <v>0</v>
      </c>
      <c r="Z35" s="645">
        <v>0</v>
      </c>
      <c r="AA35" s="645">
        <v>0</v>
      </c>
      <c r="AB35" s="645">
        <v>0</v>
      </c>
      <c r="AC35" s="645">
        <v>0</v>
      </c>
      <c r="AD35" s="645">
        <v>0</v>
      </c>
      <c r="AE35" s="645">
        <v>0</v>
      </c>
    </row>
    <row r="36" spans="1:32" ht="17.149999999999999" customHeight="1">
      <c r="A36" s="23"/>
      <c r="B36" s="416"/>
      <c r="C36" s="104"/>
      <c r="D36" s="104"/>
      <c r="E36" s="104"/>
      <c r="F36" s="138"/>
      <c r="G36" s="138"/>
      <c r="H36" s="138"/>
      <c r="I36" s="138"/>
      <c r="J36" s="138"/>
      <c r="K36" s="138"/>
      <c r="L36" s="138"/>
      <c r="M36" s="138"/>
      <c r="N36" s="138"/>
      <c r="O36" s="138"/>
      <c r="P36" s="138"/>
      <c r="Q36" s="138"/>
      <c r="R36" s="138"/>
      <c r="S36" s="138"/>
      <c r="T36" s="138"/>
      <c r="U36" s="138"/>
      <c r="V36" s="547"/>
      <c r="W36" s="547"/>
      <c r="X36" s="547"/>
      <c r="Y36" s="547"/>
      <c r="Z36" s="547"/>
      <c r="AA36" s="547"/>
      <c r="AB36" s="547"/>
      <c r="AC36" s="547"/>
      <c r="AD36" s="547"/>
      <c r="AE36" s="547"/>
    </row>
    <row r="37" spans="1:32" ht="17.149999999999999" customHeight="1">
      <c r="B37" s="104" t="s">
        <v>696</v>
      </c>
      <c r="C37" s="104"/>
      <c r="D37" s="104"/>
      <c r="E37" s="519" t="s">
        <v>699</v>
      </c>
      <c r="F37" s="134">
        <f>利润表!V67</f>
        <v>6.6888568199999998</v>
      </c>
      <c r="G37" s="134">
        <f>利润表!W67</f>
        <v>12.23663676</v>
      </c>
      <c r="H37" s="134">
        <f>利润表!X67</f>
        <v>25.175903879999996</v>
      </c>
      <c r="I37" s="134">
        <f>利润表!Y67</f>
        <v>0</v>
      </c>
      <c r="J37" s="134">
        <f>利润表!Z67</f>
        <v>0</v>
      </c>
      <c r="K37" s="134">
        <f>利润表!AA67</f>
        <v>0</v>
      </c>
      <c r="L37" s="134">
        <f>利润表!AB67</f>
        <v>0</v>
      </c>
      <c r="M37" s="134">
        <f>利润表!AC67</f>
        <v>0</v>
      </c>
      <c r="N37" s="134">
        <f>利润表!AD67</f>
        <v>0</v>
      </c>
      <c r="O37" s="134">
        <f>利润表!AE67</f>
        <v>0</v>
      </c>
      <c r="P37" s="134">
        <f>利润表!AF67</f>
        <v>0</v>
      </c>
      <c r="Q37" s="134">
        <f>利润表!AG67</f>
        <v>0</v>
      </c>
      <c r="R37" s="134">
        <f>利润表!AH67</f>
        <v>0</v>
      </c>
      <c r="S37" s="134">
        <f>利润表!AI67</f>
        <v>0</v>
      </c>
      <c r="T37" s="134">
        <f>利润表!AJ67</f>
        <v>0</v>
      </c>
      <c r="U37" s="134">
        <f>利润表!AK67</f>
        <v>0</v>
      </c>
      <c r="V37" s="544">
        <v>0</v>
      </c>
      <c r="W37" s="544">
        <v>0</v>
      </c>
      <c r="X37" s="544">
        <v>0</v>
      </c>
      <c r="Y37" s="544">
        <v>0</v>
      </c>
      <c r="Z37" s="544">
        <v>0</v>
      </c>
      <c r="AA37" s="544">
        <v>0</v>
      </c>
      <c r="AB37" s="544">
        <v>0</v>
      </c>
      <c r="AC37" s="544">
        <v>0</v>
      </c>
      <c r="AD37" s="544">
        <v>0</v>
      </c>
      <c r="AE37" s="544">
        <v>0</v>
      </c>
    </row>
    <row r="38" spans="1:32" ht="17.149999999999999" customHeight="1">
      <c r="B38" s="104" t="s">
        <v>697</v>
      </c>
      <c r="C38" s="104"/>
      <c r="D38" s="104"/>
      <c r="E38" s="519" t="s">
        <v>699</v>
      </c>
      <c r="F38" s="134">
        <f>利润表!V69</f>
        <v>3.8056111299999995</v>
      </c>
      <c r="G38" s="134">
        <f>利润表!W69</f>
        <v>22.68840016</v>
      </c>
      <c r="H38" s="134">
        <f>利润表!X69</f>
        <v>27.16375657</v>
      </c>
      <c r="I38" s="134">
        <f>利润表!Y69</f>
        <v>0</v>
      </c>
      <c r="J38" s="134">
        <f>利润表!Z69</f>
        <v>0</v>
      </c>
      <c r="K38" s="134">
        <f>利润表!AA69</f>
        <v>0</v>
      </c>
      <c r="L38" s="134">
        <f>利润表!AB69</f>
        <v>0</v>
      </c>
      <c r="M38" s="134">
        <f>利润表!AC69</f>
        <v>0</v>
      </c>
      <c r="N38" s="134">
        <f>利润表!AD69</f>
        <v>0</v>
      </c>
      <c r="O38" s="134">
        <f>利润表!AE69</f>
        <v>0</v>
      </c>
      <c r="P38" s="134">
        <f>利润表!AF69</f>
        <v>0</v>
      </c>
      <c r="Q38" s="134">
        <f>利润表!AG69</f>
        <v>0</v>
      </c>
      <c r="R38" s="134">
        <f>利润表!AH69</f>
        <v>0</v>
      </c>
      <c r="S38" s="134">
        <f>利润表!AI69</f>
        <v>0</v>
      </c>
      <c r="T38" s="134">
        <f>利润表!AJ69</f>
        <v>0</v>
      </c>
      <c r="U38" s="134">
        <f>利润表!AK69</f>
        <v>0</v>
      </c>
      <c r="V38" s="544">
        <v>0</v>
      </c>
      <c r="W38" s="544">
        <v>0</v>
      </c>
      <c r="X38" s="544">
        <v>0</v>
      </c>
      <c r="Y38" s="544">
        <v>0</v>
      </c>
      <c r="Z38" s="544">
        <v>0</v>
      </c>
      <c r="AA38" s="544">
        <v>0</v>
      </c>
      <c r="AB38" s="544">
        <v>0</v>
      </c>
      <c r="AC38" s="544">
        <v>0</v>
      </c>
      <c r="AD38" s="544">
        <v>0</v>
      </c>
      <c r="AE38" s="544">
        <v>0</v>
      </c>
    </row>
    <row r="39" spans="1:32" ht="17.149999999999999" customHeight="1">
      <c r="B39" s="104" t="s">
        <v>717</v>
      </c>
      <c r="D39" s="294" t="s">
        <v>699</v>
      </c>
      <c r="E39" s="104"/>
      <c r="F39" s="134">
        <f>利润表!V71</f>
        <v>2.8832456900000003</v>
      </c>
      <c r="G39" s="134">
        <f>利润表!W71</f>
        <v>-10.451763399999999</v>
      </c>
      <c r="H39" s="134">
        <f>利润表!X71</f>
        <v>-1.9878526900000013</v>
      </c>
      <c r="I39" s="134">
        <f>利润表!Y71</f>
        <v>0</v>
      </c>
      <c r="J39" s="134">
        <f>利润表!Z71</f>
        <v>0</v>
      </c>
      <c r="K39" s="134">
        <f>利润表!AA71</f>
        <v>0</v>
      </c>
      <c r="L39" s="134">
        <f>利润表!AB71</f>
        <v>0</v>
      </c>
      <c r="M39" s="134">
        <f>利润表!AC71</f>
        <v>0</v>
      </c>
      <c r="N39" s="134">
        <f>利润表!AD71</f>
        <v>0</v>
      </c>
      <c r="O39" s="134">
        <f>利润表!AE71</f>
        <v>0</v>
      </c>
      <c r="P39" s="134">
        <f>利润表!AF71</f>
        <v>0</v>
      </c>
      <c r="Q39" s="134">
        <f>利润表!AG71</f>
        <v>0</v>
      </c>
      <c r="R39" s="134">
        <f>利润表!AH71</f>
        <v>0</v>
      </c>
      <c r="S39" s="134">
        <f>利润表!AI71</f>
        <v>0</v>
      </c>
      <c r="T39" s="134">
        <f>利润表!AJ71</f>
        <v>0</v>
      </c>
      <c r="U39" s="134">
        <f>利润表!AK71</f>
        <v>0</v>
      </c>
      <c r="V39" s="548">
        <f t="shared" ref="V39:AE39" si="17">V37-V38</f>
        <v>0</v>
      </c>
      <c r="W39" s="548">
        <f t="shared" si="17"/>
        <v>0</v>
      </c>
      <c r="X39" s="548">
        <f t="shared" si="17"/>
        <v>0</v>
      </c>
      <c r="Y39" s="548">
        <f t="shared" si="17"/>
        <v>0</v>
      </c>
      <c r="Z39" s="548">
        <f t="shared" si="17"/>
        <v>0</v>
      </c>
      <c r="AA39" s="548">
        <f t="shared" si="17"/>
        <v>0</v>
      </c>
      <c r="AB39" s="548">
        <f t="shared" si="17"/>
        <v>0</v>
      </c>
      <c r="AC39" s="548">
        <f t="shared" si="17"/>
        <v>0</v>
      </c>
      <c r="AD39" s="548">
        <f t="shared" si="17"/>
        <v>0</v>
      </c>
      <c r="AE39" s="548">
        <f t="shared" si="17"/>
        <v>0</v>
      </c>
    </row>
    <row r="40" spans="1:32" ht="17.149999999999999" customHeight="1">
      <c r="B40" s="103" t="s">
        <v>933</v>
      </c>
      <c r="C40" s="104"/>
      <c r="E40" s="104"/>
      <c r="F40" s="135">
        <f>利润表!V72</f>
        <v>1.9283965702646508E-3</v>
      </c>
      <c r="G40" s="135">
        <f>利润表!W72</f>
        <v>-3.8595523156395879E-3</v>
      </c>
      <c r="H40" s="135">
        <f>利润表!X72</f>
        <v>-5.3348568575881214E-4</v>
      </c>
      <c r="I40" s="135" t="str">
        <f>利润表!Y72</f>
        <v>—</v>
      </c>
      <c r="J40" s="135" t="str">
        <f>利润表!Z72</f>
        <v>—</v>
      </c>
      <c r="K40" s="135" t="str">
        <f>利润表!AA72</f>
        <v>—</v>
      </c>
      <c r="L40" s="135" t="str">
        <f>利润表!AB72</f>
        <v>—</v>
      </c>
      <c r="M40" s="135" t="str">
        <f>利润表!AC72</f>
        <v>—</v>
      </c>
      <c r="N40" s="135" t="str">
        <f>利润表!AD72</f>
        <v>—</v>
      </c>
      <c r="O40" s="135" t="str">
        <f>利润表!AE72</f>
        <v>—</v>
      </c>
      <c r="P40" s="135" t="str">
        <f>利润表!AF72</f>
        <v>—</v>
      </c>
      <c r="Q40" s="135" t="str">
        <f>利润表!AG72</f>
        <v>—</v>
      </c>
      <c r="R40" s="135" t="str">
        <f>利润表!AH72</f>
        <v>—</v>
      </c>
      <c r="S40" s="135" t="str">
        <f>利润表!AI72</f>
        <v>—</v>
      </c>
      <c r="T40" s="135" t="str">
        <f>利润表!AJ72</f>
        <v>—</v>
      </c>
      <c r="U40" s="135" t="str">
        <f>利润表!AK72</f>
        <v>—</v>
      </c>
      <c r="V40" s="545" t="str">
        <f>IF(ISERROR(利润表!AL72),"—",利润表!AL72)</f>
        <v>—</v>
      </c>
      <c r="W40" s="545" t="str">
        <f>IF(ISERROR(利润表!AM72),"—",利润表!AM72)</f>
        <v>—</v>
      </c>
      <c r="X40" s="545" t="str">
        <f>IF(ISERROR(利润表!AN72),"—",利润表!AN72)</f>
        <v>—</v>
      </c>
      <c r="Y40" s="545" t="str">
        <f>IF(ISERROR(利润表!AO72),"—",利润表!AO72)</f>
        <v>—</v>
      </c>
      <c r="Z40" s="545" t="str">
        <f>IF(ISERROR(利润表!AP72),"—",利润表!AP72)</f>
        <v>—</v>
      </c>
      <c r="AA40" s="545" t="str">
        <f>IF(ISERROR(利润表!AQ72),"—",利润表!AQ72)</f>
        <v>—</v>
      </c>
      <c r="AB40" s="545" t="str">
        <f>IF(ISERROR(利润表!AR72),"—",利润表!AR72)</f>
        <v>—</v>
      </c>
      <c r="AC40" s="545" t="str">
        <f>IF(ISERROR(利润表!AS72),"—",利润表!AS72)</f>
        <v>—</v>
      </c>
      <c r="AD40" s="545" t="str">
        <f>IF(ISERROR(利润表!AT72),"—",利润表!AT72)</f>
        <v>—</v>
      </c>
      <c r="AE40" s="545" t="str">
        <f>IF(ISERROR(利润表!AU72),"—",利润表!AU72)</f>
        <v>—</v>
      </c>
    </row>
    <row r="41" spans="1:32" ht="17.149999999999999" customHeight="1">
      <c r="B41" s="104"/>
      <c r="C41" s="104"/>
      <c r="D41" s="104"/>
      <c r="E41" s="104"/>
      <c r="F41" s="140"/>
      <c r="G41" s="140"/>
      <c r="H41" s="140"/>
      <c r="I41" s="140"/>
      <c r="J41" s="140"/>
      <c r="K41" s="140"/>
      <c r="L41" s="140"/>
      <c r="M41" s="140"/>
      <c r="N41" s="140"/>
      <c r="O41" s="140"/>
      <c r="P41" s="140"/>
      <c r="Q41" s="140"/>
      <c r="R41" s="137"/>
      <c r="S41" s="140"/>
      <c r="T41" s="140"/>
      <c r="U41" s="140"/>
      <c r="V41" s="549"/>
      <c r="W41" s="549"/>
      <c r="X41" s="549"/>
      <c r="Y41" s="549"/>
      <c r="Z41" s="549"/>
      <c r="AA41" s="549"/>
      <c r="AB41" s="549"/>
      <c r="AC41" s="549"/>
      <c r="AD41" s="549"/>
      <c r="AE41" s="549"/>
    </row>
    <row r="42" spans="1:32" ht="17.149999999999999" customHeight="1">
      <c r="B42" s="103" t="s">
        <v>711</v>
      </c>
      <c r="C42" s="104"/>
      <c r="D42" s="104"/>
      <c r="E42" s="104"/>
      <c r="F42" s="418">
        <f>利润表!V76</f>
        <v>383.93731226999995</v>
      </c>
      <c r="G42" s="418">
        <f>利润表!W76</f>
        <v>672.27381200999992</v>
      </c>
      <c r="H42" s="418">
        <f>利润表!X76</f>
        <v>908.19904876999999</v>
      </c>
      <c r="I42" s="418">
        <f>利润表!Y76</f>
        <v>0</v>
      </c>
      <c r="J42" s="418">
        <f>利润表!Z76</f>
        <v>0</v>
      </c>
      <c r="K42" s="418">
        <f>利润表!AA76</f>
        <v>0</v>
      </c>
      <c r="L42" s="418">
        <f>利润表!AB76</f>
        <v>0</v>
      </c>
      <c r="M42" s="418">
        <f>利润表!AC76</f>
        <v>0</v>
      </c>
      <c r="N42" s="418">
        <f>利润表!AD76</f>
        <v>0</v>
      </c>
      <c r="O42" s="418">
        <f>利润表!AE76</f>
        <v>0</v>
      </c>
      <c r="P42" s="418">
        <f>利润表!AF76</f>
        <v>0</v>
      </c>
      <c r="Q42" s="418">
        <f>利润表!AG76</f>
        <v>0</v>
      </c>
      <c r="R42" s="418">
        <f>利润表!AH76</f>
        <v>0</v>
      </c>
      <c r="S42" s="418">
        <f>利润表!AI76</f>
        <v>0</v>
      </c>
      <c r="T42" s="418">
        <f>利润表!AJ76</f>
        <v>0</v>
      </c>
      <c r="U42" s="134">
        <f>利润表!AK76</f>
        <v>0</v>
      </c>
      <c r="V42" s="642" t="str">
        <f>IF(ISERROR(利润表!AL74*V43),"—",利润表!AL74*V43)</f>
        <v>—</v>
      </c>
      <c r="W42" s="642" t="str">
        <f>IF(ISERROR(利润表!AM74*W43),"—",利润表!AM74*W43)</f>
        <v>—</v>
      </c>
      <c r="X42" s="642" t="str">
        <f>IF(ISERROR(利润表!AN74*X43),"—",利润表!AN74*X43)</f>
        <v>—</v>
      </c>
      <c r="Y42" s="642">
        <f>IF(ISERROR(利润表!AO74*Y43),"—",利润表!AO74*Y43)</f>
        <v>0</v>
      </c>
      <c r="Z42" s="642">
        <f>IF(ISERROR(利润表!AP74*Z43),"—",利润表!AP74*Z43)</f>
        <v>0</v>
      </c>
      <c r="AA42" s="642">
        <f>IF(ISERROR(利润表!AQ74*AA43),"—",利润表!AQ74*AA43)</f>
        <v>0</v>
      </c>
      <c r="AB42" s="642">
        <f>IF(ISERROR(利润表!AR74*AB43),"—",利润表!AR74*AB43)</f>
        <v>0</v>
      </c>
      <c r="AC42" s="642">
        <f>IF(ISERROR(利润表!AS74*AC43),"—",利润表!AS74*AC43)</f>
        <v>0</v>
      </c>
      <c r="AD42" s="642">
        <f>IF(ISERROR(利润表!AT74*AD43),"—",利润表!AT74*AD43)</f>
        <v>0</v>
      </c>
      <c r="AE42" s="642">
        <f>IF(ISERROR(利润表!AU74*AE43),"—",利润表!AU74*AE43)</f>
        <v>0</v>
      </c>
    </row>
    <row r="43" spans="1:32" ht="17.149999999999999" customHeight="1">
      <c r="B43" s="727" t="s">
        <v>1234</v>
      </c>
      <c r="C43" s="104" t="s">
        <v>1251</v>
      </c>
      <c r="D43" s="104"/>
      <c r="E43" s="104"/>
      <c r="F43" s="419">
        <f>利润表!V77</f>
        <v>0.25678817408657811</v>
      </c>
      <c r="G43" s="419">
        <f>利润表!W77</f>
        <v>0.24825245736877743</v>
      </c>
      <c r="H43" s="419">
        <f>利润表!X77</f>
        <v>0.24373596432770075</v>
      </c>
      <c r="I43" s="419" t="str">
        <f>利润表!Y77</f>
        <v>—</v>
      </c>
      <c r="J43" s="419" t="str">
        <f>利润表!Z77</f>
        <v>—</v>
      </c>
      <c r="K43" s="419" t="str">
        <f>利润表!AA77</f>
        <v>—</v>
      </c>
      <c r="L43" s="419" t="str">
        <f>利润表!AB77</f>
        <v>—</v>
      </c>
      <c r="M43" s="419" t="str">
        <f>利润表!AC77</f>
        <v>—</v>
      </c>
      <c r="N43" s="419" t="str">
        <f>利润表!AD77</f>
        <v>—</v>
      </c>
      <c r="O43" s="419" t="str">
        <f>利润表!AE77</f>
        <v>—</v>
      </c>
      <c r="P43" s="419" t="str">
        <f>利润表!AF77</f>
        <v>—</v>
      </c>
      <c r="Q43" s="419" t="str">
        <f>利润表!AG77</f>
        <v>—</v>
      </c>
      <c r="R43" s="419" t="str">
        <f>利润表!AH77</f>
        <v>—</v>
      </c>
      <c r="S43" s="419" t="str">
        <f>利润表!AI77</f>
        <v>—</v>
      </c>
      <c r="T43" s="419" t="str">
        <f>利润表!AJ77</f>
        <v>—</v>
      </c>
      <c r="U43" s="639" t="str">
        <f>利润表!AK77</f>
        <v>—</v>
      </c>
      <c r="V43" s="540">
        <f>IF(ISNUMBER(AVERAGE(Q43,M43)),AVERAGE(Q43,M43),0)</f>
        <v>0</v>
      </c>
      <c r="W43" s="540">
        <f>IF(ISNUMBER(AVERAGE(V43,Q43)),AVERAGE(V43,Q43),0)</f>
        <v>0</v>
      </c>
      <c r="X43" s="540">
        <f>IF(ISNUMBER(AVERAGE(W43,V43)),AVERAGE(W43,V43),0)</f>
        <v>0</v>
      </c>
      <c r="Y43" s="540">
        <f t="shared" ref="Y43:AE43" si="18">IF(ISNUMBER(AVERAGE(X43,W43)),AVERAGE(X43,W43),0)</f>
        <v>0</v>
      </c>
      <c r="Z43" s="540">
        <f t="shared" si="18"/>
        <v>0</v>
      </c>
      <c r="AA43" s="540">
        <f t="shared" si="18"/>
        <v>0</v>
      </c>
      <c r="AB43" s="540">
        <f t="shared" si="18"/>
        <v>0</v>
      </c>
      <c r="AC43" s="540">
        <f t="shared" si="18"/>
        <v>0</v>
      </c>
      <c r="AD43" s="540">
        <f t="shared" si="18"/>
        <v>0</v>
      </c>
      <c r="AE43" s="540">
        <f t="shared" si="18"/>
        <v>0</v>
      </c>
      <c r="AF43" s="176"/>
    </row>
    <row r="44" spans="1:32" ht="17.149999999999999" customHeight="1">
      <c r="B44" s="103"/>
      <c r="C44" s="104"/>
      <c r="D44" s="104"/>
      <c r="E44" s="104"/>
      <c r="F44" s="141"/>
      <c r="G44" s="141"/>
      <c r="H44" s="141"/>
      <c r="I44" s="141"/>
      <c r="J44" s="141"/>
      <c r="K44" s="141"/>
      <c r="L44" s="141"/>
      <c r="M44" s="141"/>
      <c r="N44" s="141"/>
      <c r="O44" s="141"/>
      <c r="P44" s="141"/>
      <c r="Q44" s="141"/>
      <c r="R44" s="259"/>
      <c r="S44" s="141"/>
      <c r="T44" s="141"/>
      <c r="U44" s="640"/>
      <c r="V44" s="643"/>
      <c r="W44" s="643"/>
      <c r="X44" s="643"/>
      <c r="Y44" s="643"/>
      <c r="Z44" s="643"/>
      <c r="AA44" s="643"/>
      <c r="AB44" s="643"/>
      <c r="AC44" s="643"/>
      <c r="AD44" s="643"/>
      <c r="AE44" s="643"/>
      <c r="AF44" s="176"/>
    </row>
    <row r="45" spans="1:32" ht="17.149999999999999" customHeight="1">
      <c r="B45" s="103" t="s">
        <v>712</v>
      </c>
      <c r="C45" s="104"/>
      <c r="D45" s="104"/>
      <c r="E45" s="104"/>
      <c r="F45" s="139">
        <f>利润表!V81</f>
        <v>52.655597049999997</v>
      </c>
      <c r="G45" s="139">
        <f>利润表!W81</f>
        <v>68.775369429999998</v>
      </c>
      <c r="H45" s="139">
        <f>利润表!X81</f>
        <v>66.924970680000001</v>
      </c>
      <c r="I45" s="139">
        <f>利润表!Y81</f>
        <v>0</v>
      </c>
      <c r="J45" s="139">
        <f>利润表!Z81</f>
        <v>0</v>
      </c>
      <c r="K45" s="139">
        <f>利润表!AA81</f>
        <v>0</v>
      </c>
      <c r="L45" s="139">
        <f>利润表!AB81</f>
        <v>0</v>
      </c>
      <c r="M45" s="139">
        <f>利润表!AC81</f>
        <v>0</v>
      </c>
      <c r="N45" s="139">
        <f>利润表!AD81</f>
        <v>0</v>
      </c>
      <c r="O45" s="139">
        <f>利润表!AE81</f>
        <v>0</v>
      </c>
      <c r="P45" s="139">
        <f>利润表!AF81</f>
        <v>0</v>
      </c>
      <c r="Q45" s="139">
        <f>利润表!AG81</f>
        <v>0</v>
      </c>
      <c r="R45" s="139">
        <f>利润表!AH81</f>
        <v>0</v>
      </c>
      <c r="S45" s="139">
        <f>利润表!AI81</f>
        <v>0</v>
      </c>
      <c r="T45" s="139">
        <f>利润表!AJ81</f>
        <v>0</v>
      </c>
      <c r="U45" s="641">
        <f>利润表!AK81</f>
        <v>0</v>
      </c>
      <c r="V45" s="539" t="str">
        <f>IF(ISERROR(V46*利润表!AL78),"—",V46*利润表!AL78)</f>
        <v>—</v>
      </c>
      <c r="W45" s="539" t="str">
        <f>IF(ISERROR(W46*利润表!AM78),"—",W46*利润表!AM78)</f>
        <v>—</v>
      </c>
      <c r="X45" s="539" t="str">
        <f>IF(ISERROR(X46*利润表!AN78),"—",X46*利润表!AN78)</f>
        <v>—</v>
      </c>
      <c r="Y45" s="539">
        <f>IF(ISERROR(Y46*利润表!AO78),"—",Y46*利润表!AO78)</f>
        <v>0</v>
      </c>
      <c r="Z45" s="539">
        <f>IF(ISERROR(Z46*利润表!AP78),"—",Z46*利润表!AP78)</f>
        <v>0</v>
      </c>
      <c r="AA45" s="539">
        <f>IF(ISERROR(AA46*利润表!AQ78),"—",AA46*利润表!AQ78)</f>
        <v>0</v>
      </c>
      <c r="AB45" s="539">
        <f>IF(ISERROR(AB46*利润表!AR78),"—",AB46*利润表!AR78)</f>
        <v>0</v>
      </c>
      <c r="AC45" s="539">
        <f>IF(ISERROR(AC46*利润表!AS78),"—",AC46*利润表!AS78)</f>
        <v>0</v>
      </c>
      <c r="AD45" s="539">
        <f>IF(ISERROR(AD46*利润表!AT78),"—",AD46*利润表!AT78)</f>
        <v>0</v>
      </c>
      <c r="AE45" s="539">
        <f>IF(ISERROR(AE46*利润表!AU78),"—",AE46*利润表!AU78)</f>
        <v>0</v>
      </c>
      <c r="AF45" s="176"/>
    </row>
    <row r="46" spans="1:32" ht="17.149999999999999" customHeight="1" collapsed="1">
      <c r="B46" s="105" t="s">
        <v>848</v>
      </c>
      <c r="C46" s="104" t="s">
        <v>730</v>
      </c>
      <c r="D46" s="104"/>
      <c r="E46" s="104"/>
      <c r="F46" s="419">
        <f>利润表!V82</f>
        <v>4.738562671488989E-2</v>
      </c>
      <c r="G46" s="419">
        <f>利润表!W82</f>
        <v>3.3783782853421228E-2</v>
      </c>
      <c r="H46" s="419">
        <f>利润表!X82</f>
        <v>2.3749436793401732E-2</v>
      </c>
      <c r="I46" s="419" t="str">
        <f>利润表!Y82</f>
        <v>—</v>
      </c>
      <c r="J46" s="419" t="str">
        <f>利润表!Z82</f>
        <v>—</v>
      </c>
      <c r="K46" s="419" t="str">
        <f>利润表!AA82</f>
        <v>—</v>
      </c>
      <c r="L46" s="419" t="str">
        <f>利润表!AB82</f>
        <v>—</v>
      </c>
      <c r="M46" s="419" t="str">
        <f>利润表!AC82</f>
        <v>—</v>
      </c>
      <c r="N46" s="419" t="str">
        <f>利润表!AD82</f>
        <v>—</v>
      </c>
      <c r="O46" s="419" t="str">
        <f>利润表!AE82</f>
        <v>—</v>
      </c>
      <c r="P46" s="419" t="str">
        <f>利润表!AF82</f>
        <v>—</v>
      </c>
      <c r="Q46" s="419" t="str">
        <f>利润表!AG82</f>
        <v>—</v>
      </c>
      <c r="R46" s="419" t="str">
        <f>利润表!AH82</f>
        <v>—</v>
      </c>
      <c r="S46" s="419" t="str">
        <f>利润表!AI82</f>
        <v>—</v>
      </c>
      <c r="T46" s="419" t="str">
        <f>利润表!AJ82</f>
        <v>—</v>
      </c>
      <c r="U46" s="639" t="str">
        <f>利润表!AK82</f>
        <v>—</v>
      </c>
      <c r="V46" s="644">
        <v>0</v>
      </c>
      <c r="W46" s="644">
        <v>0</v>
      </c>
      <c r="X46" s="644">
        <v>0</v>
      </c>
      <c r="Y46" s="644">
        <v>0</v>
      </c>
      <c r="Z46" s="644">
        <v>0</v>
      </c>
      <c r="AA46" s="644">
        <v>0</v>
      </c>
      <c r="AB46" s="644">
        <v>0</v>
      </c>
      <c r="AC46" s="644">
        <v>0</v>
      </c>
      <c r="AD46" s="644">
        <v>0</v>
      </c>
      <c r="AE46" s="644">
        <v>0</v>
      </c>
      <c r="AF46" s="176"/>
    </row>
    <row r="47" spans="1:32" s="11" customFormat="1" ht="17.149999999999999" customHeight="1" thickBot="1">
      <c r="A47" s="23"/>
      <c r="B47" s="651" t="s">
        <v>1203</v>
      </c>
      <c r="C47" s="444"/>
      <c r="D47" s="444"/>
      <c r="E47" s="737" t="s">
        <v>699</v>
      </c>
      <c r="F47" s="445"/>
      <c r="G47" s="446"/>
      <c r="H47" s="446"/>
      <c r="I47" s="446"/>
      <c r="J47" s="446"/>
      <c r="K47" s="446"/>
      <c r="L47" s="446"/>
      <c r="M47" s="446"/>
      <c r="N47" s="446"/>
      <c r="O47" s="446"/>
      <c r="P47" s="446"/>
      <c r="Q47" s="446"/>
      <c r="R47" s="446"/>
      <c r="S47" s="446"/>
      <c r="T47" s="446"/>
      <c r="U47" s="446"/>
      <c r="V47" s="652"/>
      <c r="W47" s="652"/>
      <c r="X47" s="652"/>
      <c r="Y47" s="652"/>
      <c r="Z47" s="652"/>
      <c r="AA47" s="652"/>
      <c r="AB47" s="652"/>
      <c r="AC47" s="652"/>
      <c r="AD47" s="652"/>
      <c r="AE47" s="652"/>
    </row>
    <row r="48" spans="1:32" ht="17.149999999999999" customHeight="1" thickTop="1">
      <c r="A48" s="11"/>
      <c r="B48" s="11"/>
      <c r="C48" s="11"/>
      <c r="D48" s="11"/>
      <c r="E48" s="11"/>
      <c r="F48" s="11"/>
      <c r="G48" s="11"/>
      <c r="H48" s="11"/>
      <c r="I48" s="11"/>
      <c r="J48" s="11"/>
      <c r="K48" s="11"/>
      <c r="L48" s="11"/>
      <c r="M48" s="11"/>
      <c r="N48" s="11"/>
      <c r="O48" s="11"/>
      <c r="P48" s="11"/>
      <c r="Q48" s="11"/>
      <c r="R48" s="11"/>
      <c r="S48" s="11"/>
      <c r="T48" s="11"/>
      <c r="U48" s="11"/>
      <c r="V48" s="550"/>
      <c r="W48" s="550"/>
      <c r="X48" s="550"/>
      <c r="Y48" s="550"/>
      <c r="Z48" s="550"/>
      <c r="AA48" s="550"/>
      <c r="AB48" s="550"/>
      <c r="AC48" s="550"/>
      <c r="AD48" s="550"/>
      <c r="AE48" s="550"/>
    </row>
    <row r="49" spans="1:31" ht="17.149999999999999" customHeight="1">
      <c r="A49" s="11"/>
      <c r="B49" s="11"/>
      <c r="C49" s="11"/>
      <c r="D49" s="11"/>
      <c r="E49" s="11"/>
      <c r="F49" s="11"/>
      <c r="G49" s="11"/>
      <c r="H49" s="11"/>
      <c r="I49" s="11"/>
      <c r="J49" s="11"/>
      <c r="K49" s="11"/>
      <c r="L49" s="11"/>
      <c r="M49" s="11"/>
      <c r="N49" s="11"/>
      <c r="O49" s="11"/>
      <c r="P49" s="11"/>
      <c r="Q49" s="11"/>
      <c r="R49" s="11"/>
      <c r="S49" s="11"/>
      <c r="T49" s="11"/>
      <c r="U49" s="11"/>
      <c r="V49" s="550"/>
      <c r="W49" s="550"/>
      <c r="X49" s="550"/>
      <c r="Y49" s="550"/>
      <c r="Z49" s="550"/>
      <c r="AA49" s="550"/>
      <c r="AB49" s="550"/>
      <c r="AC49" s="550"/>
      <c r="AD49" s="550"/>
      <c r="AE49" s="550"/>
    </row>
  </sheetData>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5231" r:id="rId4" name="Predict_Input_1">
          <controlPr defaultSize="0" autoLine="0" r:id="rId5">
            <anchor moveWithCells="1">
              <from>
                <xdr:col>3</xdr:col>
                <xdr:colOff>255814</xdr:colOff>
                <xdr:row>16</xdr:row>
                <xdr:rowOff>43543</xdr:rowOff>
              </from>
              <to>
                <xdr:col>4</xdr:col>
                <xdr:colOff>332014</xdr:colOff>
                <xdr:row>17</xdr:row>
                <xdr:rowOff>21771</xdr:rowOff>
              </to>
            </anchor>
          </controlPr>
        </control>
      </mc:Choice>
      <mc:Fallback>
        <control shapeId="5231" r:id="rId4" name="Predict_Input_1"/>
      </mc:Fallback>
    </mc:AlternateContent>
    <mc:AlternateContent xmlns:mc="http://schemas.openxmlformats.org/markup-compatibility/2006">
      <mc:Choice Requires="x14">
        <control shapeId="5232" r:id="rId6" name="Predict_Input_2">
          <controlPr defaultSize="0" autoLine="0" r:id="rId7">
            <anchor moveWithCells="1">
              <from>
                <xdr:col>3</xdr:col>
                <xdr:colOff>255814</xdr:colOff>
                <xdr:row>19</xdr:row>
                <xdr:rowOff>5443</xdr:rowOff>
              </from>
              <to>
                <xdr:col>4</xdr:col>
                <xdr:colOff>332014</xdr:colOff>
                <xdr:row>19</xdr:row>
                <xdr:rowOff>212271</xdr:rowOff>
              </to>
            </anchor>
          </controlPr>
        </control>
      </mc:Choice>
      <mc:Fallback>
        <control shapeId="5232" r:id="rId6" name="Predict_Input_2"/>
      </mc:Fallback>
    </mc:AlternateContent>
    <mc:AlternateContent xmlns:mc="http://schemas.openxmlformats.org/markup-compatibility/2006">
      <mc:Choice Requires="x14">
        <control shapeId="5234" r:id="rId8" name="Predict_Input_3">
          <controlPr defaultSize="0" autoLine="0" r:id="rId7">
            <anchor moveWithCells="1">
              <from>
                <xdr:col>3</xdr:col>
                <xdr:colOff>255814</xdr:colOff>
                <xdr:row>22</xdr:row>
                <xdr:rowOff>87086</xdr:rowOff>
              </from>
              <to>
                <xdr:col>4</xdr:col>
                <xdr:colOff>332014</xdr:colOff>
                <xdr:row>23</xdr:row>
                <xdr:rowOff>76200</xdr:rowOff>
              </to>
            </anchor>
          </controlPr>
        </control>
      </mc:Choice>
      <mc:Fallback>
        <control shapeId="5234" r:id="rId8" name="Predict_Input_3"/>
      </mc:Fallback>
    </mc:AlternateContent>
    <mc:AlternateContent xmlns:mc="http://schemas.openxmlformats.org/markup-compatibility/2006">
      <mc:Choice Requires="x14">
        <control shapeId="5237" r:id="rId9" name="Predict_Input_8">
          <controlPr defaultSize="0" autoLine="0" r:id="rId7">
            <anchor moveWithCells="1">
              <from>
                <xdr:col>3</xdr:col>
                <xdr:colOff>179614</xdr:colOff>
                <xdr:row>42</xdr:row>
                <xdr:rowOff>70757</xdr:rowOff>
              </from>
              <to>
                <xdr:col>4</xdr:col>
                <xdr:colOff>255814</xdr:colOff>
                <xdr:row>43</xdr:row>
                <xdr:rowOff>59871</xdr:rowOff>
              </to>
            </anchor>
          </controlPr>
        </control>
      </mc:Choice>
      <mc:Fallback>
        <control shapeId="5237" r:id="rId9" name="Predict_Input_8"/>
      </mc:Fallback>
    </mc:AlternateContent>
    <mc:AlternateContent xmlns:mc="http://schemas.openxmlformats.org/markup-compatibility/2006">
      <mc:Choice Requires="x14">
        <control shapeId="5238" r:id="rId10" name="Predict_Input_9">
          <controlPr defaultSize="0" autoLine="0" r:id="rId7">
            <anchor moveWithCells="1">
              <from>
                <xdr:col>3</xdr:col>
                <xdr:colOff>163286</xdr:colOff>
                <xdr:row>45</xdr:row>
                <xdr:rowOff>70757</xdr:rowOff>
              </from>
              <to>
                <xdr:col>4</xdr:col>
                <xdr:colOff>239486</xdr:colOff>
                <xdr:row>46</xdr:row>
                <xdr:rowOff>59871</xdr:rowOff>
              </to>
            </anchor>
          </controlPr>
        </control>
      </mc:Choice>
      <mc:Fallback>
        <control shapeId="5238" r:id="rId10" name="Predict_Input_9"/>
      </mc:Fallback>
    </mc:AlternateContent>
    <mc:AlternateContent xmlns:mc="http://schemas.openxmlformats.org/markup-compatibility/2006">
      <mc:Choice Requires="x14">
        <control shapeId="24898346" r:id="rId11" name="Predict_Input_4">
          <controlPr defaultSize="0" autoLine="0" r:id="rId7">
            <anchor moveWithCells="1">
              <from>
                <xdr:col>3</xdr:col>
                <xdr:colOff>228600</xdr:colOff>
                <xdr:row>25</xdr:row>
                <xdr:rowOff>43543</xdr:rowOff>
              </from>
              <to>
                <xdr:col>4</xdr:col>
                <xdr:colOff>304800</xdr:colOff>
                <xdr:row>26</xdr:row>
                <xdr:rowOff>32657</xdr:rowOff>
              </to>
            </anchor>
          </controlPr>
        </control>
      </mc:Choice>
      <mc:Fallback>
        <control shapeId="24898346" r:id="rId11" name="Predict_Input_4"/>
      </mc:Fallback>
    </mc:AlternateContent>
    <mc:AlternateContent xmlns:mc="http://schemas.openxmlformats.org/markup-compatibility/2006">
      <mc:Choice Requires="x14">
        <control shapeId="24898353" r:id="rId12" name="Predict_Input_5">
          <controlPr defaultSize="0" autoLine="0" r:id="rId7">
            <anchor moveWithCells="1">
              <from>
                <xdr:col>3</xdr:col>
                <xdr:colOff>228600</xdr:colOff>
                <xdr:row>28</xdr:row>
                <xdr:rowOff>43543</xdr:rowOff>
              </from>
              <to>
                <xdr:col>4</xdr:col>
                <xdr:colOff>304800</xdr:colOff>
                <xdr:row>29</xdr:row>
                <xdr:rowOff>32657</xdr:rowOff>
              </to>
            </anchor>
          </controlPr>
        </control>
      </mc:Choice>
      <mc:Fallback>
        <control shapeId="24898353" r:id="rId12" name="Predict_Input_5"/>
      </mc:Fallback>
    </mc:AlternateContent>
    <mc:AlternateContent xmlns:mc="http://schemas.openxmlformats.org/markup-compatibility/2006">
      <mc:Choice Requires="x14">
        <control shapeId="24898354" r:id="rId13" name="Predict_Input_6">
          <controlPr defaultSize="0" autoLine="0" r:id="rId7">
            <anchor moveWithCells="1">
              <from>
                <xdr:col>3</xdr:col>
                <xdr:colOff>223157</xdr:colOff>
                <xdr:row>31</xdr:row>
                <xdr:rowOff>43543</xdr:rowOff>
              </from>
              <to>
                <xdr:col>4</xdr:col>
                <xdr:colOff>299357</xdr:colOff>
                <xdr:row>32</xdr:row>
                <xdr:rowOff>32657</xdr:rowOff>
              </to>
            </anchor>
          </controlPr>
        </control>
      </mc:Choice>
      <mc:Fallback>
        <control shapeId="24898354" r:id="rId13" name="Predict_Input_6"/>
      </mc:Fallback>
    </mc:AlternateContent>
    <mc:AlternateContent xmlns:mc="http://schemas.openxmlformats.org/markup-compatibility/2006">
      <mc:Choice Requires="x14">
        <control shapeId="24898355" r:id="rId14" name="Predict_Input_7">
          <controlPr defaultSize="0" autoLine="0" r:id="rId7">
            <anchor moveWithCells="1">
              <from>
                <xdr:col>3</xdr:col>
                <xdr:colOff>201386</xdr:colOff>
                <xdr:row>34</xdr:row>
                <xdr:rowOff>70757</xdr:rowOff>
              </from>
              <to>
                <xdr:col>4</xdr:col>
                <xdr:colOff>277586</xdr:colOff>
                <xdr:row>35</xdr:row>
                <xdr:rowOff>59871</xdr:rowOff>
              </to>
            </anchor>
          </controlPr>
        </control>
      </mc:Choice>
      <mc:Fallback>
        <control shapeId="24898355" r:id="rId14" name="Predict_Input_7"/>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sheetPr>
  <dimension ref="A1:AE283"/>
  <sheetViews>
    <sheetView topLeftCell="H274" workbookViewId="0">
      <selection activeCell="R280" sqref="R280"/>
    </sheetView>
  </sheetViews>
  <sheetFormatPr defaultColWidth="9" defaultRowHeight="13.3" outlineLevelCol="2"/>
  <cols>
    <col min="1" max="1" width="2.640625" style="746" customWidth="1"/>
    <col min="2" max="2" width="3" style="262" customWidth="1"/>
    <col min="3" max="3" width="19.85546875" style="260" customWidth="1"/>
    <col min="4" max="4" width="16.35546875" style="260" customWidth="1"/>
    <col min="5" max="5" width="17.0703125" style="260" customWidth="1"/>
    <col min="6" max="6" width="7" style="260" customWidth="1"/>
    <col min="7" max="7" width="20.140625" style="260" customWidth="1"/>
    <col min="8" max="8" width="9.0703125" style="260" customWidth="1"/>
    <col min="9" max="9" width="11.5" style="260" customWidth="1" outlineLevel="2"/>
    <col min="10" max="10" width="11.5" style="260" customWidth="1" outlineLevel="1"/>
    <col min="11" max="11" width="11.5" style="260" customWidth="1"/>
    <col min="12" max="15" width="11.5" style="260" hidden="1" customWidth="1"/>
    <col min="16" max="18" width="15.5703125" style="260" customWidth="1"/>
    <col min="19" max="19" width="15.5703125" style="260" hidden="1" customWidth="1"/>
    <col min="20" max="25" width="15.640625" style="260" hidden="1" customWidth="1"/>
    <col min="26" max="29" width="15.5703125" style="260" customWidth="1"/>
    <col min="30" max="33" width="9" style="260" customWidth="1"/>
    <col min="34" max="34" width="15.5703125" style="260" customWidth="1"/>
    <col min="35" max="38" width="9" style="260" customWidth="1"/>
    <col min="39" max="39" width="15.5703125" style="260" customWidth="1"/>
    <col min="40" max="43" width="9" style="260" customWidth="1"/>
    <col min="44" max="44" width="15.5703125" style="260" customWidth="1"/>
    <col min="45" max="89" width="9" style="260" customWidth="1"/>
    <col min="90" max="16384" width="9" style="260"/>
  </cols>
  <sheetData>
    <row r="1" spans="1:25">
      <c r="C1" s="262"/>
      <c r="D1" s="262"/>
      <c r="E1" s="262"/>
      <c r="F1" s="262"/>
      <c r="G1" s="262"/>
      <c r="H1" s="262"/>
      <c r="I1" s="262"/>
      <c r="J1" s="262"/>
      <c r="K1" s="262"/>
      <c r="L1" s="262"/>
      <c r="M1" s="262"/>
      <c r="N1" s="262"/>
      <c r="O1" s="262"/>
      <c r="P1" s="262"/>
      <c r="Q1" s="262"/>
      <c r="R1" s="262"/>
      <c r="S1" s="262"/>
      <c r="T1" s="262"/>
      <c r="U1" s="262"/>
      <c r="V1" s="262"/>
      <c r="W1" s="262"/>
      <c r="X1" s="262"/>
      <c r="Y1" s="262"/>
    </row>
    <row r="2" spans="1:25" s="295" customFormat="1" ht="14.15">
      <c r="A2" s="747"/>
      <c r="B2" s="153" t="s">
        <v>718</v>
      </c>
      <c r="C2" s="154"/>
      <c r="D2" s="155"/>
      <c r="E2" s="739"/>
      <c r="F2" s="155"/>
      <c r="G2" s="154"/>
      <c r="H2" s="155"/>
      <c r="I2" s="155"/>
      <c r="J2" s="155"/>
      <c r="K2" s="155"/>
      <c r="L2" s="155"/>
      <c r="M2" s="155"/>
      <c r="N2" s="155"/>
      <c r="O2" s="155"/>
      <c r="P2" s="155"/>
      <c r="Q2" s="155"/>
      <c r="R2" s="155"/>
      <c r="S2" s="155"/>
      <c r="T2" s="155"/>
      <c r="U2" s="155"/>
      <c r="V2" s="155"/>
      <c r="W2" s="155"/>
      <c r="X2" s="155"/>
      <c r="Y2" s="155"/>
    </row>
    <row r="3" spans="1:25" ht="13.75">
      <c r="B3" s="296" t="str">
        <f>"单位："&amp;目录!D5</f>
        <v>单位：港元</v>
      </c>
      <c r="C3" s="297"/>
      <c r="D3" s="297"/>
      <c r="F3" s="297"/>
      <c r="G3" s="297"/>
      <c r="H3" s="297"/>
      <c r="I3" s="262"/>
      <c r="J3" s="262"/>
      <c r="K3" s="262"/>
      <c r="L3" s="262"/>
      <c r="M3" s="262"/>
      <c r="N3" s="262"/>
      <c r="O3" s="262"/>
      <c r="P3" s="262"/>
      <c r="Q3" s="262"/>
      <c r="R3" s="262"/>
      <c r="S3" s="262"/>
      <c r="T3" s="262"/>
      <c r="U3" s="262"/>
      <c r="V3" s="262"/>
      <c r="W3" s="262"/>
      <c r="X3" s="262"/>
      <c r="Y3" s="262"/>
    </row>
    <row r="4" spans="1:25" s="291" customFormat="1" ht="14.6" thickBot="1">
      <c r="A4" s="748"/>
      <c r="B4" s="298" t="s">
        <v>719</v>
      </c>
      <c r="C4" s="299"/>
      <c r="D4" s="299"/>
      <c r="E4" s="299"/>
      <c r="F4" s="299"/>
      <c r="G4" s="299"/>
      <c r="H4" s="299"/>
      <c r="I4" s="300">
        <f>资产负债表!Y4</f>
        <v>2021</v>
      </c>
      <c r="J4" s="300">
        <f>资产负债表!AC4</f>
        <v>2022</v>
      </c>
      <c r="K4" s="300">
        <f>资产负债表!AG4</f>
        <v>2023</v>
      </c>
      <c r="L4" s="300" t="str">
        <f>资产负债表!AH4</f>
        <v>1Q23</v>
      </c>
      <c r="M4" s="300" t="str">
        <f>资产负债表!AI4</f>
        <v>1H21</v>
      </c>
      <c r="N4" s="300" t="str">
        <f>资产负债表!AJ4</f>
        <v>3Q21</v>
      </c>
      <c r="O4" s="300" t="str">
        <f>资产负债表!AK4</f>
        <v>-</v>
      </c>
      <c r="P4" s="301" t="str">
        <f>资产负债表!AL4</f>
        <v>-E</v>
      </c>
      <c r="Q4" s="302" t="e">
        <f>资产负债表!AM4</f>
        <v>#VALUE!</v>
      </c>
      <c r="R4" s="302" t="e">
        <f>资产负债表!AN4</f>
        <v>#VALUE!</v>
      </c>
      <c r="S4" s="302" t="e">
        <f>资产负债表!AO4</f>
        <v>#VALUE!</v>
      </c>
      <c r="T4" s="302" t="e">
        <f>资产负债表!AP4</f>
        <v>#VALUE!</v>
      </c>
      <c r="U4" s="302" t="e">
        <f>资产负债表!AQ4</f>
        <v>#VALUE!</v>
      </c>
      <c r="V4" s="302" t="e">
        <f>资产负债表!AR4</f>
        <v>#VALUE!</v>
      </c>
      <c r="W4" s="302" t="e">
        <f>资产负债表!AS4</f>
        <v>#VALUE!</v>
      </c>
      <c r="X4" s="302" t="e">
        <f>资产负债表!AT4</f>
        <v>#VALUE!</v>
      </c>
      <c r="Y4" s="302" t="e">
        <f>资产负债表!AU4</f>
        <v>#VALUE!</v>
      </c>
    </row>
    <row r="5" spans="1:25" s="303" customFormat="1" ht="14.15" thickTop="1">
      <c r="A5" s="749"/>
      <c r="B5" s="261" t="s">
        <v>701</v>
      </c>
      <c r="I5" s="304">
        <f>利润表!Y6</f>
        <v>0</v>
      </c>
      <c r="J5" s="304">
        <f>利润表!AC6</f>
        <v>0</v>
      </c>
      <c r="K5" s="304">
        <f>利润表!AG6</f>
        <v>0</v>
      </c>
      <c r="L5" s="304">
        <f>利润表!AH6</f>
        <v>0</v>
      </c>
      <c r="M5" s="304">
        <f>利润表!AI6</f>
        <v>0</v>
      </c>
      <c r="N5" s="304">
        <f>利润表!AJ6</f>
        <v>0</v>
      </c>
      <c r="O5" s="304">
        <f>利润表!AK6</f>
        <v>0</v>
      </c>
      <c r="P5" s="468" t="str">
        <f>利润表!AL6</f>
        <v>—</v>
      </c>
      <c r="Q5" s="468" t="str">
        <f>利润表!AM6</f>
        <v>—</v>
      </c>
      <c r="R5" s="468" t="str">
        <f>利润表!AN6</f>
        <v>—</v>
      </c>
      <c r="S5" s="468">
        <f>利润表!AO6</f>
        <v>0</v>
      </c>
      <c r="T5" s="468">
        <f>利润表!AP6</f>
        <v>0</v>
      </c>
      <c r="U5" s="468">
        <f>利润表!AQ6</f>
        <v>0</v>
      </c>
      <c r="V5" s="468">
        <f>利润表!AR6</f>
        <v>0</v>
      </c>
      <c r="W5" s="468">
        <f>利润表!AS6</f>
        <v>0</v>
      </c>
      <c r="X5" s="468">
        <f>利润表!AT6</f>
        <v>0</v>
      </c>
      <c r="Y5" s="468">
        <f>利润表!AU6</f>
        <v>0</v>
      </c>
    </row>
    <row r="6" spans="1:25" s="303" customFormat="1" ht="13.75">
      <c r="A6" s="749"/>
      <c r="B6" s="261" t="s">
        <v>720</v>
      </c>
      <c r="I6" s="304">
        <f>利润表!Y10</f>
        <v>0</v>
      </c>
      <c r="J6" s="304">
        <f>利润表!AC10</f>
        <v>0</v>
      </c>
      <c r="K6" s="304">
        <f>利润表!AG10</f>
        <v>0</v>
      </c>
      <c r="L6" s="304">
        <f>利润表!AH10</f>
        <v>0</v>
      </c>
      <c r="M6" s="304">
        <f>利润表!AI10</f>
        <v>0</v>
      </c>
      <c r="N6" s="304">
        <f>利润表!AJ10</f>
        <v>0</v>
      </c>
      <c r="O6" s="304">
        <f>利润表!AK10</f>
        <v>0</v>
      </c>
      <c r="P6" s="468">
        <f>利润表!AL10</f>
        <v>0</v>
      </c>
      <c r="Q6" s="468">
        <f>利润表!AM10</f>
        <v>0</v>
      </c>
      <c r="R6" s="468">
        <f>利润表!AN10</f>
        <v>0</v>
      </c>
      <c r="S6" s="468">
        <f>利润表!AO10</f>
        <v>0</v>
      </c>
      <c r="T6" s="468">
        <f>利润表!AP10</f>
        <v>0</v>
      </c>
      <c r="U6" s="468">
        <f>利润表!AQ10</f>
        <v>0</v>
      </c>
      <c r="V6" s="468">
        <f>利润表!AR10</f>
        <v>0</v>
      </c>
      <c r="W6" s="468">
        <f>利润表!AS10</f>
        <v>0</v>
      </c>
      <c r="X6" s="468">
        <f>利润表!AT10</f>
        <v>0</v>
      </c>
      <c r="Y6" s="468">
        <f>利润表!AU10</f>
        <v>0</v>
      </c>
    </row>
    <row r="7" spans="1:25" s="303" customFormat="1" ht="13.75">
      <c r="A7" s="749"/>
      <c r="B7" s="261"/>
    </row>
    <row r="8" spans="1:25" s="303" customFormat="1" ht="13.75">
      <c r="A8" s="749"/>
      <c r="B8" s="319" t="s">
        <v>914</v>
      </c>
    </row>
    <row r="9" spans="1:25" s="303" customFormat="1" ht="13.75">
      <c r="A9" s="749"/>
      <c r="B9" s="261"/>
      <c r="I9" s="305"/>
      <c r="J9" s="305"/>
    </row>
    <row r="10" spans="1:25" ht="13.75">
      <c r="B10" s="564" t="s">
        <v>1050</v>
      </c>
      <c r="I10" s="306">
        <f>IF(ISERROR(资产负债表!Y11),0,资产负债表!Y11)</f>
        <v>0</v>
      </c>
      <c r="J10" s="306">
        <f>IF(ISERROR(资产负债表!AC11),0,资产负债表!AC11)</f>
        <v>0</v>
      </c>
      <c r="K10" s="306">
        <f>IF(ISERROR(资产负债表!AG11),0,资产负债表!AG11)</f>
        <v>0</v>
      </c>
      <c r="L10" s="306">
        <f>IF(ISERROR(资产负债表!AH11),0,资产负债表!AH11)</f>
        <v>0</v>
      </c>
      <c r="M10" s="306">
        <f>IF(ISERROR(资产负债表!AI11),0,资产负债表!AI11)</f>
        <v>0</v>
      </c>
      <c r="N10" s="306">
        <f>IF(ISERROR(资产负债表!AJ11),0,资产负债表!AJ11)</f>
        <v>0</v>
      </c>
      <c r="O10" s="306">
        <f>IF(ISERROR(资产负债表!AK11),0,资产负债表!AK11)</f>
        <v>0</v>
      </c>
      <c r="P10" s="306">
        <f t="shared" ref="P10:Y10" si="0">IF(ISERROR(P5/(365/P11)),0,P5/(365/P11))</f>
        <v>0</v>
      </c>
      <c r="Q10" s="306">
        <f t="shared" si="0"/>
        <v>0</v>
      </c>
      <c r="R10" s="306">
        <f t="shared" si="0"/>
        <v>0</v>
      </c>
      <c r="S10" s="306">
        <f t="shared" si="0"/>
        <v>0</v>
      </c>
      <c r="T10" s="306">
        <f t="shared" si="0"/>
        <v>0</v>
      </c>
      <c r="U10" s="306">
        <f t="shared" si="0"/>
        <v>0</v>
      </c>
      <c r="V10" s="306">
        <f t="shared" si="0"/>
        <v>0</v>
      </c>
      <c r="W10" s="306">
        <f t="shared" si="0"/>
        <v>0</v>
      </c>
      <c r="X10" s="306">
        <f t="shared" si="0"/>
        <v>0</v>
      </c>
      <c r="Y10" s="306">
        <f t="shared" si="0"/>
        <v>0</v>
      </c>
    </row>
    <row r="11" spans="1:25" ht="13.75">
      <c r="B11" s="261"/>
      <c r="C11" s="397" t="s">
        <v>977</v>
      </c>
      <c r="D11" s="264"/>
      <c r="E11" s="260" t="s">
        <v>707</v>
      </c>
      <c r="F11" s="308"/>
      <c r="G11" s="307"/>
      <c r="H11" s="264"/>
      <c r="I11" s="309">
        <f>IF(ISERROR(365/(I5/I10)),0,365/(I5/I10))</f>
        <v>0</v>
      </c>
      <c r="J11" s="309">
        <f>IF(ISERROR(365/(J5/J10)),0,365/(J5/J10))</f>
        <v>0</v>
      </c>
      <c r="K11" s="309">
        <f>IF(ISERROR(365/(K5/K10)),0,365/(K5/K10))</f>
        <v>0</v>
      </c>
      <c r="L11" s="309"/>
      <c r="M11" s="309"/>
      <c r="N11" s="309"/>
      <c r="O11" s="309">
        <f>IF(O10=0,0,365/(O5/O10))</f>
        <v>0</v>
      </c>
      <c r="P11" s="441">
        <v>0</v>
      </c>
      <c r="Q11" s="441">
        <v>0</v>
      </c>
      <c r="R11" s="441">
        <v>0</v>
      </c>
      <c r="S11" s="441"/>
      <c r="T11" s="441"/>
      <c r="U11" s="441"/>
      <c r="V11" s="441"/>
      <c r="W11" s="441"/>
      <c r="X11" s="441"/>
      <c r="Y11" s="441"/>
    </row>
    <row r="12" spans="1:25" s="264" customFormat="1" ht="14.15">
      <c r="A12" s="750"/>
      <c r="B12" s="266"/>
      <c r="C12" s="565" t="s">
        <v>1052</v>
      </c>
      <c r="E12" s="260"/>
      <c r="G12" s="310"/>
      <c r="I12" s="311">
        <f t="shared" ref="I12:Y12" si="1">IF(ISERROR(I10/I5),0,I10/I5)</f>
        <v>0</v>
      </c>
      <c r="J12" s="311">
        <f t="shared" si="1"/>
        <v>0</v>
      </c>
      <c r="K12" s="311">
        <f t="shared" si="1"/>
        <v>0</v>
      </c>
      <c r="L12" s="311"/>
      <c r="M12" s="311"/>
      <c r="N12" s="311"/>
      <c r="O12" s="311">
        <f t="shared" si="1"/>
        <v>0</v>
      </c>
      <c r="P12" s="311">
        <f t="shared" si="1"/>
        <v>0</v>
      </c>
      <c r="Q12" s="311">
        <f t="shared" si="1"/>
        <v>0</v>
      </c>
      <c r="R12" s="311">
        <f t="shared" si="1"/>
        <v>0</v>
      </c>
      <c r="S12" s="311">
        <f t="shared" si="1"/>
        <v>0</v>
      </c>
      <c r="T12" s="311">
        <f t="shared" si="1"/>
        <v>0</v>
      </c>
      <c r="U12" s="311">
        <f t="shared" si="1"/>
        <v>0</v>
      </c>
      <c r="V12" s="311">
        <f t="shared" si="1"/>
        <v>0</v>
      </c>
      <c r="W12" s="311">
        <f t="shared" si="1"/>
        <v>0</v>
      </c>
      <c r="X12" s="311">
        <f t="shared" si="1"/>
        <v>0</v>
      </c>
      <c r="Y12" s="311">
        <f t="shared" si="1"/>
        <v>0</v>
      </c>
    </row>
    <row r="13" spans="1:25" ht="13.75">
      <c r="B13" s="261"/>
      <c r="I13" s="306"/>
      <c r="J13" s="306"/>
      <c r="K13" s="306"/>
      <c r="L13" s="267"/>
      <c r="M13" s="267"/>
      <c r="N13" s="267"/>
      <c r="O13" s="267"/>
      <c r="P13" s="267"/>
      <c r="Q13" s="267"/>
      <c r="R13" s="267"/>
      <c r="S13" s="267"/>
      <c r="T13" s="267"/>
      <c r="U13" s="267"/>
      <c r="V13" s="267"/>
      <c r="W13" s="267"/>
      <c r="X13" s="267"/>
      <c r="Y13" s="267"/>
    </row>
    <row r="14" spans="1:25" ht="13.75">
      <c r="B14" s="564" t="s">
        <v>1051</v>
      </c>
      <c r="I14" s="306">
        <f>IF(ISERROR(资产负债表!Y12),0,资产负债表!Y12)</f>
        <v>0</v>
      </c>
      <c r="J14" s="306">
        <f>IF(ISERROR(资产负债表!AC12),0,资产负债表!AC12)</f>
        <v>0</v>
      </c>
      <c r="K14" s="306">
        <f>IF(ISERROR(资产负债表!AG12),0,资产负债表!AG12)</f>
        <v>0</v>
      </c>
      <c r="L14" s="306">
        <f>IF(ISERROR(资产负债表!AH12),0,资产负债表!AH12)</f>
        <v>0</v>
      </c>
      <c r="M14" s="306">
        <f>IF(ISERROR(资产负债表!AI12),0,资产负债表!AI12)</f>
        <v>0</v>
      </c>
      <c r="N14" s="306">
        <f>IF(ISERROR(资产负债表!AJ12),0,资产负债表!AJ12)</f>
        <v>0</v>
      </c>
      <c r="O14" s="306">
        <f>IF(ISERROR(资产负债表!AK12),0,资产负债表!AK12)</f>
        <v>0</v>
      </c>
      <c r="P14" s="306">
        <f>IF(ISERROR(P5/(365/P15)),0,P5/(365/P15))</f>
        <v>0</v>
      </c>
      <c r="Q14" s="306">
        <f t="shared" ref="Q14:Y14" si="2">IF(ISERROR(Q5/(365/Q15)),0,Q5/(365/Q15))</f>
        <v>0</v>
      </c>
      <c r="R14" s="306">
        <f t="shared" si="2"/>
        <v>0</v>
      </c>
      <c r="S14" s="306">
        <f t="shared" si="2"/>
        <v>0</v>
      </c>
      <c r="T14" s="306">
        <f t="shared" si="2"/>
        <v>0</v>
      </c>
      <c r="U14" s="306">
        <f t="shared" si="2"/>
        <v>0</v>
      </c>
      <c r="V14" s="306">
        <f t="shared" si="2"/>
        <v>0</v>
      </c>
      <c r="W14" s="306">
        <f t="shared" si="2"/>
        <v>0</v>
      </c>
      <c r="X14" s="306">
        <f t="shared" si="2"/>
        <v>0</v>
      </c>
      <c r="Y14" s="306">
        <f t="shared" si="2"/>
        <v>0</v>
      </c>
    </row>
    <row r="15" spans="1:25" ht="13.75">
      <c r="B15" s="261"/>
      <c r="C15" s="397" t="s">
        <v>977</v>
      </c>
      <c r="D15" s="264"/>
      <c r="E15" s="260" t="s">
        <v>708</v>
      </c>
      <c r="F15" s="308"/>
      <c r="G15" s="307"/>
      <c r="H15" s="264"/>
      <c r="I15" s="309">
        <f>IF(ISERROR(365/(I5/I14)),0,365/(I5/I14))</f>
        <v>0</v>
      </c>
      <c r="J15" s="309">
        <f>IF(ISERROR(365/(J5/J14)),0,365/(J5/J14))</f>
        <v>0</v>
      </c>
      <c r="K15" s="309">
        <f>IF(ISERROR(365/(K5/K14)),0,365/(K5/K14))</f>
        <v>0</v>
      </c>
      <c r="L15" s="309"/>
      <c r="M15" s="309"/>
      <c r="N15" s="309"/>
      <c r="O15" s="309">
        <f>IF(O14=0,0,365/(O5/O14))</f>
        <v>0</v>
      </c>
      <c r="P15" s="441">
        <f>IF(ISNUMBER(AVERAGE(K15,J15)),AVERAGE(K15,J15),0)</f>
        <v>0</v>
      </c>
      <c r="Q15" s="441">
        <f>IF(ISNUMBER(AVERAGE(P15,K15)),AVERAGE(P15,K15),0)</f>
        <v>0</v>
      </c>
      <c r="R15" s="441">
        <f>IF(ISNUMBER(AVERAGE(Q15,P15)),AVERAGE(Q15,P15),0)</f>
        <v>0</v>
      </c>
      <c r="S15" s="441">
        <f t="shared" ref="S15:Y15" si="3">IF(ISNUMBER(AVERAGE(R15,Q15)),AVERAGE(R15,Q15),0)</f>
        <v>0</v>
      </c>
      <c r="T15" s="441">
        <f t="shared" si="3"/>
        <v>0</v>
      </c>
      <c r="U15" s="441">
        <f t="shared" si="3"/>
        <v>0</v>
      </c>
      <c r="V15" s="441">
        <f t="shared" si="3"/>
        <v>0</v>
      </c>
      <c r="W15" s="441">
        <f t="shared" si="3"/>
        <v>0</v>
      </c>
      <c r="X15" s="441">
        <f t="shared" si="3"/>
        <v>0</v>
      </c>
      <c r="Y15" s="441">
        <f t="shared" si="3"/>
        <v>0</v>
      </c>
    </row>
    <row r="16" spans="1:25" s="264" customFormat="1" ht="14.15">
      <c r="A16" s="750"/>
      <c r="B16" s="266"/>
      <c r="C16" s="565" t="s">
        <v>1053</v>
      </c>
      <c r="E16" s="260"/>
      <c r="G16" s="310"/>
      <c r="I16" s="311">
        <f>IF(ISERROR(I14/I5),0,I14/I5)</f>
        <v>0</v>
      </c>
      <c r="J16" s="311">
        <f>IF(ISERROR(J14/J5),0,J14/J5)</f>
        <v>0</v>
      </c>
      <c r="K16" s="311">
        <f>IF(ISERROR(K14/K5),0,K14/K5)</f>
        <v>0</v>
      </c>
      <c r="L16" s="311"/>
      <c r="M16" s="311"/>
      <c r="N16" s="311"/>
      <c r="O16" s="311">
        <f>IF(ISERROR(O14/O5),0,O14/O5)</f>
        <v>0</v>
      </c>
      <c r="P16" s="311">
        <f>IF(ISERROR(P14/P5),0,P14/P5)</f>
        <v>0</v>
      </c>
      <c r="Q16" s="311">
        <f t="shared" ref="Q16:Y16" si="4">IF(ISERROR(Q14/Q5),0,Q14/Q5)</f>
        <v>0</v>
      </c>
      <c r="R16" s="311">
        <f t="shared" si="4"/>
        <v>0</v>
      </c>
      <c r="S16" s="311">
        <f t="shared" si="4"/>
        <v>0</v>
      </c>
      <c r="T16" s="311">
        <f t="shared" si="4"/>
        <v>0</v>
      </c>
      <c r="U16" s="311">
        <f t="shared" si="4"/>
        <v>0</v>
      </c>
      <c r="V16" s="311">
        <f t="shared" si="4"/>
        <v>0</v>
      </c>
      <c r="W16" s="311">
        <f t="shared" si="4"/>
        <v>0</v>
      </c>
      <c r="X16" s="311">
        <f t="shared" si="4"/>
        <v>0</v>
      </c>
      <c r="Y16" s="311">
        <f t="shared" si="4"/>
        <v>0</v>
      </c>
    </row>
    <row r="17" spans="1:25" s="264" customFormat="1" ht="14.15">
      <c r="A17" s="750"/>
      <c r="B17" s="266"/>
      <c r="C17" s="310"/>
      <c r="E17" s="260"/>
      <c r="G17" s="310"/>
      <c r="I17" s="311"/>
      <c r="J17" s="311"/>
      <c r="K17" s="311"/>
      <c r="L17" s="311"/>
      <c r="M17" s="311"/>
      <c r="N17" s="311"/>
      <c r="O17" s="311"/>
      <c r="P17" s="311"/>
      <c r="Q17" s="311"/>
      <c r="R17" s="311"/>
      <c r="S17" s="311"/>
      <c r="T17" s="311"/>
      <c r="U17" s="311"/>
      <c r="V17" s="311"/>
      <c r="W17" s="311"/>
      <c r="X17" s="311"/>
      <c r="Y17" s="311"/>
    </row>
    <row r="18" spans="1:25" ht="13.75">
      <c r="B18" s="261" t="s">
        <v>723</v>
      </c>
      <c r="I18" s="306">
        <f>资产负债表!Y14</f>
        <v>0</v>
      </c>
      <c r="J18" s="306">
        <f>资产负债表!AC14</f>
        <v>0</v>
      </c>
      <c r="K18" s="306">
        <f>资产负债表!AG14</f>
        <v>0</v>
      </c>
      <c r="L18" s="306">
        <f>资产负债表!AH14</f>
        <v>0</v>
      </c>
      <c r="M18" s="306">
        <f>资产负债表!AI14</f>
        <v>0</v>
      </c>
      <c r="N18" s="306">
        <f>资产负债表!AJ14</f>
        <v>0</v>
      </c>
      <c r="O18" s="306">
        <f>资产负债表!AK14</f>
        <v>0</v>
      </c>
      <c r="P18" s="306">
        <f t="shared" ref="P18:Y18" si="5">IF(ISERROR(P19*P6),0,P19*P6)</f>
        <v>0</v>
      </c>
      <c r="Q18" s="306">
        <f t="shared" si="5"/>
        <v>0</v>
      </c>
      <c r="R18" s="306">
        <f t="shared" si="5"/>
        <v>0</v>
      </c>
      <c r="S18" s="306">
        <f t="shared" si="5"/>
        <v>0</v>
      </c>
      <c r="T18" s="306">
        <f t="shared" si="5"/>
        <v>0</v>
      </c>
      <c r="U18" s="306">
        <f t="shared" si="5"/>
        <v>0</v>
      </c>
      <c r="V18" s="306">
        <f t="shared" si="5"/>
        <v>0</v>
      </c>
      <c r="W18" s="306">
        <f t="shared" si="5"/>
        <v>0</v>
      </c>
      <c r="X18" s="306">
        <f t="shared" si="5"/>
        <v>0</v>
      </c>
      <c r="Y18" s="306">
        <f t="shared" si="5"/>
        <v>0</v>
      </c>
    </row>
    <row r="19" spans="1:25" ht="14.15">
      <c r="B19" s="266"/>
      <c r="C19" s="307" t="s">
        <v>724</v>
      </c>
      <c r="E19" s="260" t="s">
        <v>931</v>
      </c>
      <c r="F19" s="308"/>
      <c r="G19" s="307"/>
      <c r="I19" s="311">
        <f t="shared" ref="I19:O19" si="6">IF(ISERROR(I18/I6),0,I18/I6)</f>
        <v>0</v>
      </c>
      <c r="J19" s="311">
        <f t="shared" si="6"/>
        <v>0</v>
      </c>
      <c r="K19" s="311">
        <f t="shared" si="6"/>
        <v>0</v>
      </c>
      <c r="L19" s="311"/>
      <c r="M19" s="311"/>
      <c r="N19" s="311"/>
      <c r="O19" s="311">
        <f t="shared" si="6"/>
        <v>0</v>
      </c>
      <c r="P19" s="442">
        <f>IF(ISNUMBER(AVERAGE(K19,J19)),AVERAGE(K19,J19),0)</f>
        <v>0</v>
      </c>
      <c r="Q19" s="442">
        <f>IF(ISNUMBER(AVERAGE(P19,K19)),AVERAGE(P19,K19),0)</f>
        <v>0</v>
      </c>
      <c r="R19" s="442">
        <f>IF(ISNUMBER(AVERAGE(Q19,P19)),AVERAGE(Q19,P19),0)</f>
        <v>0</v>
      </c>
      <c r="S19" s="442">
        <f t="shared" ref="S19:Y19" si="7">IF(ISNUMBER(AVERAGE(R19,Q19)),AVERAGE(R19,Q19),0)</f>
        <v>0</v>
      </c>
      <c r="T19" s="122">
        <f t="shared" si="7"/>
        <v>0</v>
      </c>
      <c r="U19" s="122">
        <f t="shared" si="7"/>
        <v>0</v>
      </c>
      <c r="V19" s="122">
        <f t="shared" si="7"/>
        <v>0</v>
      </c>
      <c r="W19" s="122">
        <f t="shared" si="7"/>
        <v>0</v>
      </c>
      <c r="X19" s="122">
        <f t="shared" si="7"/>
        <v>0</v>
      </c>
      <c r="Y19" s="122">
        <f t="shared" si="7"/>
        <v>0</v>
      </c>
    </row>
    <row r="20" spans="1:25" ht="14.15">
      <c r="B20" s="266"/>
      <c r="C20" s="307"/>
      <c r="F20" s="308"/>
      <c r="G20" s="307"/>
      <c r="I20" s="311"/>
      <c r="J20" s="311"/>
      <c r="K20" s="311"/>
      <c r="L20" s="311"/>
      <c r="M20" s="311"/>
      <c r="N20" s="311"/>
      <c r="O20" s="311"/>
      <c r="P20" s="631"/>
      <c r="Q20" s="631"/>
      <c r="R20" s="631"/>
      <c r="S20" s="631"/>
      <c r="T20" s="312"/>
      <c r="U20" s="312"/>
      <c r="V20" s="312"/>
      <c r="W20" s="312"/>
      <c r="X20" s="312"/>
      <c r="Y20" s="312"/>
    </row>
    <row r="21" spans="1:25" ht="13.75">
      <c r="B21" s="261" t="s">
        <v>726</v>
      </c>
      <c r="I21" s="306">
        <f>资产负债表!Y15</f>
        <v>0</v>
      </c>
      <c r="J21" s="306">
        <f>资产负债表!AC15</f>
        <v>0</v>
      </c>
      <c r="K21" s="306">
        <f>资产负债表!AG15</f>
        <v>0</v>
      </c>
      <c r="L21" s="306">
        <f>资产负债表!AH15</f>
        <v>0</v>
      </c>
      <c r="M21" s="306">
        <f>资产负债表!AI15</f>
        <v>0</v>
      </c>
      <c r="N21" s="306">
        <f>资产负债表!AJ15</f>
        <v>0</v>
      </c>
      <c r="O21" s="306">
        <f>资产负债表!AK15</f>
        <v>0</v>
      </c>
      <c r="P21" s="306">
        <f t="shared" ref="P21:Y21" si="8">IF(ISERROR(P5/(365/P22)),0,P5/(365/P22))</f>
        <v>0</v>
      </c>
      <c r="Q21" s="306">
        <f t="shared" si="8"/>
        <v>0</v>
      </c>
      <c r="R21" s="306">
        <f t="shared" si="8"/>
        <v>0</v>
      </c>
      <c r="S21" s="306">
        <f t="shared" si="8"/>
        <v>0</v>
      </c>
      <c r="T21" s="306">
        <f t="shared" si="8"/>
        <v>0</v>
      </c>
      <c r="U21" s="306">
        <f t="shared" si="8"/>
        <v>0</v>
      </c>
      <c r="V21" s="306">
        <f t="shared" si="8"/>
        <v>0</v>
      </c>
      <c r="W21" s="306">
        <f t="shared" si="8"/>
        <v>0</v>
      </c>
      <c r="X21" s="306">
        <f t="shared" si="8"/>
        <v>0</v>
      </c>
      <c r="Y21" s="306">
        <f t="shared" si="8"/>
        <v>0</v>
      </c>
    </row>
    <row r="22" spans="1:25" s="264" customFormat="1" ht="14.15">
      <c r="A22" s="750"/>
      <c r="B22" s="266"/>
      <c r="C22" s="310" t="s">
        <v>979</v>
      </c>
      <c r="E22" s="260" t="s">
        <v>1250</v>
      </c>
      <c r="F22" s="308"/>
      <c r="G22" s="310"/>
      <c r="I22" s="309">
        <f>IF(ISERROR(365/(I5/I21)),0,365/(I5/I21))</f>
        <v>0</v>
      </c>
      <c r="J22" s="309">
        <f>IF(ISERROR(365/(J5/J21)),0,365/(J5/J21))</f>
        <v>0</v>
      </c>
      <c r="K22" s="309">
        <f>IF(ISERROR(365/(K5/K21)),0,365/(K5/K21))</f>
        <v>0</v>
      </c>
      <c r="L22" s="309"/>
      <c r="M22" s="309"/>
      <c r="N22" s="309"/>
      <c r="O22" s="309">
        <f>IF(O21=0,0,365/(O5/O21))</f>
        <v>0</v>
      </c>
      <c r="P22" s="441">
        <f>IF(ISNUMBER(AVERAGE(K22,J22)),AVERAGE(K22,J22),0)</f>
        <v>0</v>
      </c>
      <c r="Q22" s="441">
        <f>IF(ISNUMBER(AVERAGE(P22,K22)),AVERAGE(P22,K22),0)</f>
        <v>0</v>
      </c>
      <c r="R22" s="441">
        <f>IF(ISNUMBER(AVERAGE(Q22,P22)),AVERAGE(Q22,P22),0)</f>
        <v>0</v>
      </c>
      <c r="S22" s="441">
        <f t="shared" ref="S22:Y22" si="9">IF(ISNUMBER(AVERAGE(R22,Q22)),AVERAGE(R22,Q22),0)</f>
        <v>0</v>
      </c>
      <c r="T22" s="121">
        <f t="shared" si="9"/>
        <v>0</v>
      </c>
      <c r="U22" s="121">
        <f t="shared" si="9"/>
        <v>0</v>
      </c>
      <c r="V22" s="121">
        <f t="shared" si="9"/>
        <v>0</v>
      </c>
      <c r="W22" s="121">
        <f t="shared" si="9"/>
        <v>0</v>
      </c>
      <c r="X22" s="121">
        <f t="shared" si="9"/>
        <v>0</v>
      </c>
      <c r="Y22" s="121">
        <f t="shared" si="9"/>
        <v>0</v>
      </c>
    </row>
    <row r="23" spans="1:25" ht="14.15">
      <c r="B23" s="266"/>
      <c r="C23" s="307" t="s">
        <v>727</v>
      </c>
      <c r="G23" s="307"/>
      <c r="I23" s="311">
        <f t="shared" ref="I23:Y23" si="10">IF(ISERROR(I21/I5),0,I21/I5)</f>
        <v>0</v>
      </c>
      <c r="J23" s="311">
        <f t="shared" si="10"/>
        <v>0</v>
      </c>
      <c r="K23" s="311">
        <f t="shared" si="10"/>
        <v>0</v>
      </c>
      <c r="L23" s="311"/>
      <c r="M23" s="311"/>
      <c r="N23" s="311"/>
      <c r="O23" s="311">
        <f t="shared" si="10"/>
        <v>0</v>
      </c>
      <c r="P23" s="311">
        <f t="shared" si="10"/>
        <v>0</v>
      </c>
      <c r="Q23" s="311">
        <f t="shared" si="10"/>
        <v>0</v>
      </c>
      <c r="R23" s="311">
        <f t="shared" si="10"/>
        <v>0</v>
      </c>
      <c r="S23" s="311">
        <f t="shared" si="10"/>
        <v>0</v>
      </c>
      <c r="T23" s="311">
        <f t="shared" si="10"/>
        <v>0</v>
      </c>
      <c r="U23" s="311">
        <f t="shared" si="10"/>
        <v>0</v>
      </c>
      <c r="V23" s="311">
        <f t="shared" si="10"/>
        <v>0</v>
      </c>
      <c r="W23" s="311">
        <f t="shared" si="10"/>
        <v>0</v>
      </c>
      <c r="X23" s="311">
        <f t="shared" si="10"/>
        <v>0</v>
      </c>
      <c r="Y23" s="311">
        <f t="shared" si="10"/>
        <v>0</v>
      </c>
    </row>
    <row r="24" spans="1:25" ht="14.15">
      <c r="B24" s="266"/>
      <c r="C24" s="307"/>
      <c r="F24" s="308"/>
      <c r="G24" s="307"/>
      <c r="I24" s="311"/>
      <c r="J24" s="311"/>
      <c r="K24" s="311"/>
      <c r="L24" s="311"/>
      <c r="M24" s="311"/>
      <c r="N24" s="311"/>
      <c r="O24" s="311"/>
      <c r="P24" s="631"/>
      <c r="Q24" s="631"/>
      <c r="R24" s="631"/>
      <c r="S24" s="631"/>
      <c r="T24" s="312"/>
      <c r="U24" s="312"/>
      <c r="V24" s="312"/>
      <c r="W24" s="312"/>
      <c r="X24" s="312"/>
      <c r="Y24" s="312"/>
    </row>
    <row r="25" spans="1:25" ht="13.75">
      <c r="B25" s="261" t="s">
        <v>721</v>
      </c>
      <c r="I25" s="306">
        <f>资产负债表!Y16</f>
        <v>0</v>
      </c>
      <c r="J25" s="306">
        <f>资产负债表!AC16</f>
        <v>0</v>
      </c>
      <c r="K25" s="306">
        <f>资产负债表!AG16</f>
        <v>0</v>
      </c>
      <c r="L25" s="306">
        <f>资产负债表!AH16</f>
        <v>0</v>
      </c>
      <c r="M25" s="306">
        <f>资产负债表!AI16</f>
        <v>0</v>
      </c>
      <c r="N25" s="306">
        <f>资产负债表!AJ16</f>
        <v>0</v>
      </c>
      <c r="O25" s="306">
        <f>资产负债表!AK16</f>
        <v>0</v>
      </c>
      <c r="P25" s="306">
        <f t="shared" ref="P25:Y25" si="11">IF(ISERROR(P6/(365/P26)),0,P6/(365/P26))</f>
        <v>0</v>
      </c>
      <c r="Q25" s="306">
        <f t="shared" si="11"/>
        <v>0</v>
      </c>
      <c r="R25" s="306">
        <f t="shared" si="11"/>
        <v>0</v>
      </c>
      <c r="S25" s="306">
        <f t="shared" si="11"/>
        <v>0</v>
      </c>
      <c r="T25" s="306">
        <f t="shared" si="11"/>
        <v>0</v>
      </c>
      <c r="U25" s="306">
        <f t="shared" si="11"/>
        <v>0</v>
      </c>
      <c r="V25" s="306">
        <f t="shared" si="11"/>
        <v>0</v>
      </c>
      <c r="W25" s="306">
        <f t="shared" si="11"/>
        <v>0</v>
      </c>
      <c r="X25" s="306">
        <f t="shared" si="11"/>
        <v>0</v>
      </c>
      <c r="Y25" s="306">
        <f t="shared" si="11"/>
        <v>0</v>
      </c>
    </row>
    <row r="26" spans="1:25" ht="14.15">
      <c r="B26" s="266"/>
      <c r="C26" s="310" t="s">
        <v>978</v>
      </c>
      <c r="E26" s="260" t="s">
        <v>710</v>
      </c>
      <c r="F26" s="308"/>
      <c r="G26" s="310"/>
      <c r="I26" s="309">
        <f>IF(ISERROR(365/(I6/I25)),0,365/(I6/I25))</f>
        <v>0</v>
      </c>
      <c r="J26" s="309">
        <f>IF(ISERROR(365/(J6/J25)),0,365/(J6/J25))</f>
        <v>0</v>
      </c>
      <c r="K26" s="309">
        <f>IF(ISERROR(365/(K6/K25)),0,365/(K6/K25))</f>
        <v>0</v>
      </c>
      <c r="L26" s="309"/>
      <c r="M26" s="309"/>
      <c r="N26" s="309"/>
      <c r="O26" s="309">
        <f>IF(O25=0,0,365/(O6/O25))</f>
        <v>0</v>
      </c>
      <c r="P26" s="441">
        <f>IF(ISNUMBER(AVERAGE(K26,J26)),AVERAGE(K26,J26),0)</f>
        <v>0</v>
      </c>
      <c r="Q26" s="441">
        <f>IF(ISNUMBER(AVERAGE(P26,K26)),AVERAGE(P26,K26),0)</f>
        <v>0</v>
      </c>
      <c r="R26" s="441">
        <f>IF(ISNUMBER(AVERAGE(Q26,P26)),AVERAGE(Q26,P26),0)</f>
        <v>0</v>
      </c>
      <c r="S26" s="441">
        <f t="shared" ref="S26:Y26" si="12">IF(ISNUMBER(AVERAGE(R26,Q26)),AVERAGE(R26,Q26),0)</f>
        <v>0</v>
      </c>
      <c r="T26" s="441">
        <f t="shared" si="12"/>
        <v>0</v>
      </c>
      <c r="U26" s="441">
        <f t="shared" si="12"/>
        <v>0</v>
      </c>
      <c r="V26" s="441">
        <f t="shared" si="12"/>
        <v>0</v>
      </c>
      <c r="W26" s="441">
        <f t="shared" si="12"/>
        <v>0</v>
      </c>
      <c r="X26" s="441">
        <f t="shared" si="12"/>
        <v>0</v>
      </c>
      <c r="Y26" s="441">
        <f t="shared" si="12"/>
        <v>0</v>
      </c>
    </row>
    <row r="27" spans="1:25" ht="14.15">
      <c r="B27" s="266"/>
      <c r="C27" s="307" t="s">
        <v>722</v>
      </c>
      <c r="G27" s="310"/>
      <c r="I27" s="311">
        <f t="shared" ref="I27:Y27" si="13">IF(ISERROR(I25/I6),0,I25/I6)</f>
        <v>0</v>
      </c>
      <c r="J27" s="311">
        <f t="shared" si="13"/>
        <v>0</v>
      </c>
      <c r="K27" s="311">
        <f t="shared" si="13"/>
        <v>0</v>
      </c>
      <c r="L27" s="311"/>
      <c r="M27" s="311"/>
      <c r="N27" s="311"/>
      <c r="O27" s="311">
        <f t="shared" si="13"/>
        <v>0</v>
      </c>
      <c r="P27" s="311">
        <f t="shared" si="13"/>
        <v>0</v>
      </c>
      <c r="Q27" s="311">
        <f t="shared" si="13"/>
        <v>0</v>
      </c>
      <c r="R27" s="311">
        <f t="shared" si="13"/>
        <v>0</v>
      </c>
      <c r="S27" s="311">
        <f t="shared" si="13"/>
        <v>0</v>
      </c>
      <c r="T27" s="311">
        <f t="shared" si="13"/>
        <v>0</v>
      </c>
      <c r="U27" s="311">
        <f t="shared" si="13"/>
        <v>0</v>
      </c>
      <c r="V27" s="311">
        <f t="shared" si="13"/>
        <v>0</v>
      </c>
      <c r="W27" s="311">
        <f t="shared" si="13"/>
        <v>0</v>
      </c>
      <c r="X27" s="311">
        <f t="shared" si="13"/>
        <v>0</v>
      </c>
      <c r="Y27" s="311">
        <f t="shared" si="13"/>
        <v>0</v>
      </c>
    </row>
    <row r="28" spans="1:25" s="264" customFormat="1" ht="14.15">
      <c r="A28" s="750"/>
      <c r="B28" s="266"/>
      <c r="C28" s="310"/>
      <c r="G28" s="310"/>
      <c r="I28" s="313"/>
      <c r="J28" s="313"/>
      <c r="K28" s="313"/>
      <c r="L28" s="314"/>
      <c r="M28" s="314"/>
      <c r="N28" s="314"/>
      <c r="O28" s="314"/>
      <c r="P28" s="314"/>
      <c r="Q28" s="315"/>
      <c r="R28" s="314"/>
      <c r="S28" s="314"/>
      <c r="T28" s="314"/>
      <c r="U28" s="314"/>
      <c r="V28" s="314"/>
      <c r="W28" s="314"/>
      <c r="X28" s="314"/>
      <c r="Y28" s="314"/>
    </row>
    <row r="29" spans="1:25" ht="13.75">
      <c r="B29" s="261" t="s">
        <v>860</v>
      </c>
      <c r="I29" s="306">
        <f>资产负债表!Y17</f>
        <v>0</v>
      </c>
      <c r="J29" s="306">
        <f>资产负债表!AC17</f>
        <v>0</v>
      </c>
      <c r="K29" s="306">
        <f>资产负债表!AG17</f>
        <v>0</v>
      </c>
      <c r="L29" s="306">
        <f>资产负债表!AH17</f>
        <v>0</v>
      </c>
      <c r="M29" s="306">
        <f>资产负债表!AI17</f>
        <v>0</v>
      </c>
      <c r="N29" s="306">
        <f>资产负债表!AJ17</f>
        <v>0</v>
      </c>
      <c r="O29" s="306">
        <f>资产负债表!AK17</f>
        <v>0</v>
      </c>
      <c r="P29" s="306">
        <f t="shared" ref="P29:Y29" si="14">IF(ISERROR(P5*P30),0,P5*P30)</f>
        <v>0</v>
      </c>
      <c r="Q29" s="306">
        <f t="shared" si="14"/>
        <v>0</v>
      </c>
      <c r="R29" s="306">
        <f t="shared" si="14"/>
        <v>0</v>
      </c>
      <c r="S29" s="306">
        <f t="shared" si="14"/>
        <v>0</v>
      </c>
      <c r="T29" s="306">
        <f t="shared" si="14"/>
        <v>0</v>
      </c>
      <c r="U29" s="306">
        <f t="shared" si="14"/>
        <v>0</v>
      </c>
      <c r="V29" s="306">
        <f t="shared" si="14"/>
        <v>0</v>
      </c>
      <c r="W29" s="306">
        <f t="shared" si="14"/>
        <v>0</v>
      </c>
      <c r="X29" s="306">
        <f t="shared" si="14"/>
        <v>0</v>
      </c>
      <c r="Y29" s="306">
        <f t="shared" si="14"/>
        <v>0</v>
      </c>
    </row>
    <row r="30" spans="1:25" s="264" customFormat="1" ht="14.15">
      <c r="A30" s="750"/>
      <c r="B30" s="266"/>
      <c r="C30" s="307" t="s">
        <v>725</v>
      </c>
      <c r="E30" s="260" t="s">
        <v>1249</v>
      </c>
      <c r="F30" s="308"/>
      <c r="G30" s="307"/>
      <c r="I30" s="311">
        <f t="shared" ref="I30:O30" si="15">IF(ISERROR(I29/I5),0,I29/I5)</f>
        <v>0</v>
      </c>
      <c r="J30" s="311">
        <f t="shared" si="15"/>
        <v>0</v>
      </c>
      <c r="K30" s="311">
        <f t="shared" si="15"/>
        <v>0</v>
      </c>
      <c r="L30" s="311"/>
      <c r="M30" s="311"/>
      <c r="N30" s="311"/>
      <c r="O30" s="311">
        <f t="shared" si="15"/>
        <v>0</v>
      </c>
      <c r="P30" s="442">
        <f>IF(ISNUMBER(K30),K30,0)</f>
        <v>0</v>
      </c>
      <c r="Q30" s="442">
        <f>IF(ISNUMBER(P30),P30,0)</f>
        <v>0</v>
      </c>
      <c r="R30" s="442">
        <f>IF(ISNUMBER(Q30),Q30,0)</f>
        <v>0</v>
      </c>
      <c r="S30" s="442">
        <f t="shared" ref="S30:Y30" si="16">IF(ISNUMBER(R30),R30,0)</f>
        <v>0</v>
      </c>
      <c r="T30" s="442">
        <f t="shared" si="16"/>
        <v>0</v>
      </c>
      <c r="U30" s="442">
        <f t="shared" si="16"/>
        <v>0</v>
      </c>
      <c r="V30" s="442">
        <f t="shared" si="16"/>
        <v>0</v>
      </c>
      <c r="W30" s="442">
        <f t="shared" si="16"/>
        <v>0</v>
      </c>
      <c r="X30" s="442">
        <f t="shared" si="16"/>
        <v>0</v>
      </c>
      <c r="Y30" s="442">
        <f t="shared" si="16"/>
        <v>0</v>
      </c>
    </row>
    <row r="31" spans="1:25" s="264" customFormat="1" ht="14.15">
      <c r="A31" s="750"/>
      <c r="B31" s="266"/>
      <c r="C31" s="307"/>
      <c r="E31" s="260"/>
      <c r="G31" s="307"/>
      <c r="I31" s="309"/>
      <c r="J31" s="309"/>
      <c r="K31" s="309"/>
      <c r="L31" s="316"/>
      <c r="M31" s="316"/>
      <c r="N31" s="316"/>
      <c r="O31" s="316"/>
      <c r="P31" s="316"/>
      <c r="Q31" s="316"/>
      <c r="R31" s="316"/>
      <c r="S31" s="316"/>
      <c r="T31" s="316"/>
      <c r="U31" s="316"/>
      <c r="V31" s="316"/>
      <c r="W31" s="316"/>
      <c r="X31" s="316"/>
      <c r="Y31" s="316"/>
    </row>
    <row r="32" spans="1:25" s="264" customFormat="1" ht="14.15">
      <c r="A32" s="750"/>
      <c r="B32" s="266"/>
      <c r="C32" s="310"/>
      <c r="E32" s="260"/>
      <c r="G32" s="310"/>
      <c r="I32" s="314"/>
      <c r="J32" s="314"/>
      <c r="K32" s="313"/>
      <c r="L32" s="314"/>
      <c r="M32" s="314"/>
      <c r="N32" s="314"/>
      <c r="O32" s="314"/>
      <c r="P32" s="314"/>
      <c r="Q32" s="315"/>
      <c r="R32" s="314"/>
      <c r="S32" s="314"/>
      <c r="T32" s="314"/>
      <c r="U32" s="314"/>
      <c r="V32" s="314"/>
      <c r="W32" s="314"/>
      <c r="X32" s="314"/>
      <c r="Y32" s="314"/>
    </row>
    <row r="33" spans="1:25" s="264" customFormat="1" ht="14.15">
      <c r="A33" s="750"/>
      <c r="B33" s="266"/>
      <c r="C33" s="307"/>
      <c r="E33" s="260"/>
      <c r="G33" s="307"/>
      <c r="I33" s="314"/>
      <c r="J33" s="314"/>
      <c r="K33" s="314"/>
      <c r="L33" s="314"/>
      <c r="M33" s="314"/>
      <c r="N33" s="314"/>
      <c r="O33" s="314"/>
      <c r="P33" s="314"/>
      <c r="Q33" s="315"/>
      <c r="R33" s="314"/>
      <c r="S33" s="314"/>
      <c r="T33" s="314"/>
      <c r="U33" s="314"/>
      <c r="V33" s="314"/>
      <c r="W33" s="314"/>
      <c r="X33" s="314"/>
      <c r="Y33" s="314"/>
    </row>
    <row r="34" spans="1:25" ht="14.15">
      <c r="A34" s="749"/>
      <c r="B34" s="319" t="s">
        <v>728</v>
      </c>
      <c r="C34" s="266"/>
      <c r="G34" s="266"/>
      <c r="I34" s="267"/>
      <c r="J34" s="267"/>
      <c r="K34" s="267"/>
      <c r="L34" s="267"/>
      <c r="M34" s="267"/>
      <c r="N34" s="267"/>
      <c r="O34" s="267"/>
      <c r="P34" s="267"/>
      <c r="Q34" s="267"/>
      <c r="R34" s="267"/>
      <c r="S34" s="267"/>
      <c r="T34" s="267"/>
      <c r="U34" s="267"/>
      <c r="V34" s="267"/>
      <c r="W34" s="267"/>
      <c r="X34" s="267"/>
      <c r="Y34" s="267"/>
    </row>
    <row r="35" spans="1:25" ht="13.75">
      <c r="B35" s="564" t="s">
        <v>1054</v>
      </c>
      <c r="I35" s="267">
        <f>资产负债表!Y52</f>
        <v>0</v>
      </c>
      <c r="J35" s="267">
        <f>资产负债表!AC52</f>
        <v>0</v>
      </c>
      <c r="K35" s="267">
        <f>资产负债表!AG52</f>
        <v>0</v>
      </c>
      <c r="L35" s="267">
        <f>资产负债表!AH52</f>
        <v>0</v>
      </c>
      <c r="M35" s="267">
        <f>资产负债表!AI52</f>
        <v>0</v>
      </c>
      <c r="N35" s="267">
        <f>资产负债表!AJ52</f>
        <v>0</v>
      </c>
      <c r="O35" s="267">
        <f>资产负债表!AK52</f>
        <v>0</v>
      </c>
      <c r="P35" s="306">
        <f t="shared" ref="P35:Y35" si="17">IF(ISERROR(P6/(365/P36)),0,P6/(365/P36))</f>
        <v>0</v>
      </c>
      <c r="Q35" s="306">
        <f t="shared" si="17"/>
        <v>0</v>
      </c>
      <c r="R35" s="306">
        <f t="shared" si="17"/>
        <v>0</v>
      </c>
      <c r="S35" s="306">
        <f t="shared" si="17"/>
        <v>0</v>
      </c>
      <c r="T35" s="306">
        <f t="shared" si="17"/>
        <v>0</v>
      </c>
      <c r="U35" s="306">
        <f t="shared" si="17"/>
        <v>0</v>
      </c>
      <c r="V35" s="306">
        <f t="shared" si="17"/>
        <v>0</v>
      </c>
      <c r="W35" s="306">
        <f t="shared" si="17"/>
        <v>0</v>
      </c>
      <c r="X35" s="306">
        <f t="shared" si="17"/>
        <v>0</v>
      </c>
      <c r="Y35" s="306">
        <f t="shared" si="17"/>
        <v>0</v>
      </c>
    </row>
    <row r="36" spans="1:25" s="264" customFormat="1" ht="14.15">
      <c r="A36" s="750"/>
      <c r="B36" s="266"/>
      <c r="C36" s="310" t="s">
        <v>978</v>
      </c>
      <c r="E36" s="260" t="s">
        <v>713</v>
      </c>
      <c r="F36" s="308"/>
      <c r="G36" s="310"/>
      <c r="H36" s="88"/>
      <c r="I36" s="309">
        <f>IF(ISERROR(365/(I6/I35)),0,365/(I6/I35))</f>
        <v>0</v>
      </c>
      <c r="J36" s="309">
        <f>IF(ISERROR(365/(J6/J35)),0,365/(J6/J35))</f>
        <v>0</v>
      </c>
      <c r="K36" s="309">
        <f>IF(ISERROR(365/(K6/K35)),0,365/(K6/K35))</f>
        <v>0</v>
      </c>
      <c r="L36" s="309"/>
      <c r="M36" s="309"/>
      <c r="N36" s="309"/>
      <c r="O36" s="309">
        <f>IF(O35=0,0,365/(O6/O35))</f>
        <v>0</v>
      </c>
      <c r="P36" s="441">
        <v>0</v>
      </c>
      <c r="Q36" s="441">
        <v>0</v>
      </c>
      <c r="R36" s="441">
        <v>0</v>
      </c>
      <c r="S36" s="441">
        <v>0</v>
      </c>
      <c r="T36" s="121">
        <v>0</v>
      </c>
      <c r="U36" s="121">
        <v>0</v>
      </c>
      <c r="V36" s="121">
        <v>0</v>
      </c>
      <c r="W36" s="121">
        <v>0</v>
      </c>
      <c r="X36" s="121">
        <v>0</v>
      </c>
      <c r="Y36" s="121">
        <v>0</v>
      </c>
    </row>
    <row r="37" spans="1:25" s="264" customFormat="1" ht="14.15">
      <c r="A37" s="750"/>
      <c r="B37" s="266"/>
      <c r="C37" s="575" t="s">
        <v>1055</v>
      </c>
      <c r="E37" s="260"/>
      <c r="G37" s="307"/>
      <c r="I37" s="311">
        <f t="shared" ref="I37:Y37" si="18">IF(ISERROR(I35/I6),0,I35/I6)</f>
        <v>0</v>
      </c>
      <c r="J37" s="311">
        <f t="shared" si="18"/>
        <v>0</v>
      </c>
      <c r="K37" s="311">
        <f t="shared" si="18"/>
        <v>0</v>
      </c>
      <c r="L37" s="311"/>
      <c r="M37" s="311"/>
      <c r="N37" s="311"/>
      <c r="O37" s="311">
        <f t="shared" si="18"/>
        <v>0</v>
      </c>
      <c r="P37" s="311">
        <f t="shared" si="18"/>
        <v>0</v>
      </c>
      <c r="Q37" s="311">
        <f t="shared" si="18"/>
        <v>0</v>
      </c>
      <c r="R37" s="311">
        <f t="shared" si="18"/>
        <v>0</v>
      </c>
      <c r="S37" s="311">
        <f t="shared" si="18"/>
        <v>0</v>
      </c>
      <c r="T37" s="311">
        <f t="shared" si="18"/>
        <v>0</v>
      </c>
      <c r="U37" s="311">
        <f t="shared" si="18"/>
        <v>0</v>
      </c>
      <c r="V37" s="311">
        <f t="shared" si="18"/>
        <v>0</v>
      </c>
      <c r="W37" s="311">
        <f t="shared" si="18"/>
        <v>0</v>
      </c>
      <c r="X37" s="311">
        <f t="shared" si="18"/>
        <v>0</v>
      </c>
      <c r="Y37" s="311">
        <f t="shared" si="18"/>
        <v>0</v>
      </c>
    </row>
    <row r="38" spans="1:25" ht="14.15">
      <c r="B38" s="266"/>
      <c r="C38" s="310"/>
      <c r="G38" s="310"/>
      <c r="I38" s="267"/>
      <c r="J38" s="267"/>
      <c r="K38" s="306"/>
      <c r="L38" s="267"/>
      <c r="M38" s="267"/>
      <c r="N38" s="267"/>
      <c r="O38" s="267"/>
      <c r="P38" s="267"/>
      <c r="Q38" s="320"/>
      <c r="R38" s="267"/>
      <c r="S38" s="267"/>
      <c r="T38" s="267"/>
      <c r="U38" s="267"/>
      <c r="V38" s="267"/>
      <c r="W38" s="267"/>
      <c r="X38" s="267"/>
      <c r="Y38" s="267"/>
    </row>
    <row r="39" spans="1:25" ht="13.75">
      <c r="B39" s="564" t="s">
        <v>1056</v>
      </c>
      <c r="I39" s="267">
        <f>资产负债表!Y53</f>
        <v>0</v>
      </c>
      <c r="J39" s="267">
        <f>资产负债表!AC53</f>
        <v>0</v>
      </c>
      <c r="K39" s="267">
        <f>资产负债表!AG53</f>
        <v>0</v>
      </c>
      <c r="L39" s="267">
        <f>资产负债表!AH53</f>
        <v>0</v>
      </c>
      <c r="M39" s="267">
        <f>资产负债表!AI53</f>
        <v>0</v>
      </c>
      <c r="N39" s="267">
        <f>资产负债表!AJ53</f>
        <v>0</v>
      </c>
      <c r="O39" s="267">
        <f>资产负债表!AK53</f>
        <v>0</v>
      </c>
      <c r="P39" s="306">
        <f>IF(ISERROR(P6/(365/P40)),0,P6/(365/P40))</f>
        <v>0</v>
      </c>
      <c r="Q39" s="306">
        <f t="shared" ref="Q39:Y39" si="19">IF(ISERROR(Q6/(365/Q40)),0,Q6/(365/Q40))</f>
        <v>0</v>
      </c>
      <c r="R39" s="306">
        <f t="shared" si="19"/>
        <v>0</v>
      </c>
      <c r="S39" s="306">
        <f t="shared" si="19"/>
        <v>0</v>
      </c>
      <c r="T39" s="306">
        <f t="shared" si="19"/>
        <v>0</v>
      </c>
      <c r="U39" s="306">
        <f t="shared" si="19"/>
        <v>0</v>
      </c>
      <c r="V39" s="306">
        <f t="shared" si="19"/>
        <v>0</v>
      </c>
      <c r="W39" s="306">
        <f t="shared" si="19"/>
        <v>0</v>
      </c>
      <c r="X39" s="306">
        <f t="shared" si="19"/>
        <v>0</v>
      </c>
      <c r="Y39" s="306">
        <f t="shared" si="19"/>
        <v>0</v>
      </c>
    </row>
    <row r="40" spans="1:25" s="264" customFormat="1" ht="14.15">
      <c r="A40" s="750"/>
      <c r="B40" s="266"/>
      <c r="C40" s="310" t="s">
        <v>978</v>
      </c>
      <c r="E40" s="260" t="s">
        <v>1160</v>
      </c>
      <c r="F40" s="308"/>
      <c r="G40" s="310"/>
      <c r="H40" s="88"/>
      <c r="I40" s="309">
        <f>IF(ISERROR(365/(I6/I39)),0,365/(I6/I39))</f>
        <v>0</v>
      </c>
      <c r="J40" s="309">
        <f>IF(ISERROR(365/(J6/J39)),0,365/(J6/J39))</f>
        <v>0</v>
      </c>
      <c r="K40" s="309">
        <f>IF(ISERROR(365/(K6/K39)),0,365/(K6/K39))</f>
        <v>0</v>
      </c>
      <c r="L40" s="309"/>
      <c r="M40" s="309"/>
      <c r="N40" s="309"/>
      <c r="O40" s="309">
        <f>IF(O39=0,0,365/(O6/O39))</f>
        <v>0</v>
      </c>
      <c r="P40" s="441">
        <f>IF(ISNUMBER(AVERAGE(K40,J40)),AVERAGE(K40,J40),0)</f>
        <v>0</v>
      </c>
      <c r="Q40" s="441">
        <f>IF(ISNUMBER(AVERAGE(P40,K40)),AVERAGE(P40,K40),0)</f>
        <v>0</v>
      </c>
      <c r="R40" s="441">
        <f>IF(ISNUMBER(AVERAGE(Q40,P40)),AVERAGE(Q40,P40),0)</f>
        <v>0</v>
      </c>
      <c r="S40" s="441">
        <f t="shared" ref="S40:Y40" si="20">IF(ISNUMBER(AVERAGE(R40,Q40)),AVERAGE(R40,Q40),0)</f>
        <v>0</v>
      </c>
      <c r="T40" s="121">
        <f t="shared" si="20"/>
        <v>0</v>
      </c>
      <c r="U40" s="121">
        <f t="shared" si="20"/>
        <v>0</v>
      </c>
      <c r="V40" s="121">
        <f t="shared" si="20"/>
        <v>0</v>
      </c>
      <c r="W40" s="121">
        <f t="shared" si="20"/>
        <v>0</v>
      </c>
      <c r="X40" s="121">
        <f t="shared" si="20"/>
        <v>0</v>
      </c>
      <c r="Y40" s="121">
        <f t="shared" si="20"/>
        <v>0</v>
      </c>
    </row>
    <row r="41" spans="1:25" s="264" customFormat="1" ht="14.15">
      <c r="A41" s="750"/>
      <c r="B41" s="266"/>
      <c r="C41" s="575" t="s">
        <v>1057</v>
      </c>
      <c r="E41" s="260"/>
      <c r="G41" s="307"/>
      <c r="I41" s="311">
        <f>IF(ISERROR(I39/I6),0,I39/I6)</f>
        <v>0</v>
      </c>
      <c r="J41" s="311">
        <f>IF(ISERROR(J39/J6),0,J39/J6)</f>
        <v>0</v>
      </c>
      <c r="K41" s="311">
        <f>IF(ISERROR(K39/K6),0,K39/K6)</f>
        <v>0</v>
      </c>
      <c r="L41" s="311"/>
      <c r="M41" s="311"/>
      <c r="N41" s="311"/>
      <c r="O41" s="311">
        <f>IF(ISERROR(O39/O6),0,O39/O6)</f>
        <v>0</v>
      </c>
      <c r="P41" s="311">
        <f>IF(ISERROR(P39/P6),0,P39/P6)</f>
        <v>0</v>
      </c>
      <c r="Q41" s="311">
        <f t="shared" ref="Q41:Y41" si="21">IF(ISERROR(Q39/Q6),0,Q39/Q6)</f>
        <v>0</v>
      </c>
      <c r="R41" s="311">
        <f t="shared" si="21"/>
        <v>0</v>
      </c>
      <c r="S41" s="311">
        <f t="shared" si="21"/>
        <v>0</v>
      </c>
      <c r="T41" s="311">
        <f t="shared" si="21"/>
        <v>0</v>
      </c>
      <c r="U41" s="311">
        <f t="shared" si="21"/>
        <v>0</v>
      </c>
      <c r="V41" s="311">
        <f t="shared" si="21"/>
        <v>0</v>
      </c>
      <c r="W41" s="311">
        <f t="shared" si="21"/>
        <v>0</v>
      </c>
      <c r="X41" s="311">
        <f t="shared" si="21"/>
        <v>0</v>
      </c>
      <c r="Y41" s="311">
        <f t="shared" si="21"/>
        <v>0</v>
      </c>
    </row>
    <row r="42" spans="1:25" s="264" customFormat="1" ht="14.15">
      <c r="A42" s="750"/>
      <c r="B42" s="266"/>
      <c r="C42" s="307"/>
      <c r="E42" s="260"/>
      <c r="G42" s="307"/>
      <c r="I42" s="311"/>
      <c r="J42" s="311"/>
      <c r="K42" s="311"/>
      <c r="L42" s="311"/>
      <c r="M42" s="311"/>
      <c r="N42" s="311"/>
      <c r="O42" s="311"/>
      <c r="P42" s="311"/>
      <c r="Q42" s="311"/>
      <c r="R42" s="311"/>
      <c r="S42" s="311"/>
      <c r="T42" s="311"/>
      <c r="U42" s="311"/>
      <c r="V42" s="311"/>
      <c r="W42" s="311"/>
      <c r="X42" s="311"/>
      <c r="Y42" s="311"/>
    </row>
    <row r="43" spans="1:25" ht="13.75">
      <c r="B43" s="261" t="s">
        <v>729</v>
      </c>
      <c r="I43" s="267">
        <f>资产负债表!Y54</f>
        <v>0</v>
      </c>
      <c r="J43" s="267">
        <f>资产负债表!AC54</f>
        <v>0</v>
      </c>
      <c r="K43" s="306">
        <f>资产负债表!AG54</f>
        <v>0</v>
      </c>
      <c r="L43" s="306">
        <f>资产负债表!AH54</f>
        <v>0</v>
      </c>
      <c r="M43" s="306">
        <f>资产负债表!AI54</f>
        <v>0</v>
      </c>
      <c r="N43" s="306">
        <f>资产负债表!AJ54</f>
        <v>0</v>
      </c>
      <c r="O43" s="306">
        <f>资产负债表!AK54</f>
        <v>0</v>
      </c>
      <c r="P43" s="306">
        <f t="shared" ref="P43:Y43" si="22">IF(ISERROR(P5*P44),0,P5*P44)</f>
        <v>0</v>
      </c>
      <c r="Q43" s="306">
        <f t="shared" si="22"/>
        <v>0</v>
      </c>
      <c r="R43" s="306">
        <f t="shared" si="22"/>
        <v>0</v>
      </c>
      <c r="S43" s="306">
        <f t="shared" si="22"/>
        <v>0</v>
      </c>
      <c r="T43" s="306">
        <f t="shared" si="22"/>
        <v>0</v>
      </c>
      <c r="U43" s="306">
        <f t="shared" si="22"/>
        <v>0</v>
      </c>
      <c r="V43" s="306">
        <f t="shared" si="22"/>
        <v>0</v>
      </c>
      <c r="W43" s="306">
        <f t="shared" si="22"/>
        <v>0</v>
      </c>
      <c r="X43" s="306">
        <f t="shared" si="22"/>
        <v>0</v>
      </c>
      <c r="Y43" s="306">
        <f t="shared" si="22"/>
        <v>0</v>
      </c>
    </row>
    <row r="44" spans="1:25" s="264" customFormat="1" ht="14.15">
      <c r="A44" s="750"/>
      <c r="B44" s="266"/>
      <c r="C44" s="307" t="s">
        <v>725</v>
      </c>
      <c r="E44" s="260" t="s">
        <v>730</v>
      </c>
      <c r="F44" s="308"/>
      <c r="G44" s="307"/>
      <c r="I44" s="317">
        <f t="shared" ref="I44:O44" si="23">IF(ISERROR(I43/I5),0,I43/I5)</f>
        <v>0</v>
      </c>
      <c r="J44" s="317">
        <f t="shared" si="23"/>
        <v>0</v>
      </c>
      <c r="K44" s="317">
        <f t="shared" si="23"/>
        <v>0</v>
      </c>
      <c r="L44" s="317"/>
      <c r="M44" s="317"/>
      <c r="N44" s="317"/>
      <c r="O44" s="311">
        <f t="shared" si="23"/>
        <v>0</v>
      </c>
      <c r="P44" s="469">
        <v>0</v>
      </c>
      <c r="Q44" s="469">
        <v>0</v>
      </c>
      <c r="R44" s="469">
        <v>0</v>
      </c>
      <c r="S44" s="469">
        <v>0</v>
      </c>
      <c r="T44" s="470">
        <v>0</v>
      </c>
      <c r="U44" s="470">
        <v>0</v>
      </c>
      <c r="V44" s="470">
        <v>0</v>
      </c>
      <c r="W44" s="470">
        <v>0</v>
      </c>
      <c r="X44" s="470">
        <v>0</v>
      </c>
      <c r="Y44" s="470">
        <v>0</v>
      </c>
    </row>
    <row r="45" spans="1:25" s="264" customFormat="1" ht="14.15">
      <c r="A45" s="750"/>
      <c r="B45" s="266"/>
      <c r="C45" s="307"/>
      <c r="E45" s="260"/>
      <c r="F45" s="308"/>
      <c r="G45" s="307"/>
      <c r="I45" s="317"/>
      <c r="J45" s="317"/>
      <c r="K45" s="317"/>
      <c r="L45" s="317"/>
      <c r="M45" s="317"/>
      <c r="N45" s="317"/>
      <c r="O45" s="311"/>
      <c r="P45" s="597"/>
      <c r="Q45" s="597"/>
      <c r="R45" s="597"/>
      <c r="S45" s="597"/>
      <c r="T45" s="471"/>
      <c r="U45" s="471"/>
      <c r="V45" s="471"/>
      <c r="W45" s="471"/>
      <c r="X45" s="471"/>
      <c r="Y45" s="471"/>
    </row>
    <row r="46" spans="1:25" ht="13.75">
      <c r="B46" s="261" t="s">
        <v>915</v>
      </c>
      <c r="I46" s="267">
        <f>资产负债表!Y55</f>
        <v>0</v>
      </c>
      <c r="J46" s="267">
        <f>资产负债表!AC55</f>
        <v>0</v>
      </c>
      <c r="K46" s="306">
        <f>资产负债表!AG55</f>
        <v>0</v>
      </c>
      <c r="L46" s="306">
        <f>资产负债表!AH55</f>
        <v>0</v>
      </c>
      <c r="M46" s="306">
        <f>资产负债表!AI55</f>
        <v>0</v>
      </c>
      <c r="N46" s="306">
        <f>资产负债表!AJ55</f>
        <v>0</v>
      </c>
      <c r="O46" s="306">
        <f>资产负债表!AK55</f>
        <v>0</v>
      </c>
      <c r="P46" s="306">
        <f t="shared" ref="P46:Y46" si="24">IF(ISERROR(P6*P47),0,P6*P47)</f>
        <v>0</v>
      </c>
      <c r="Q46" s="306">
        <f t="shared" si="24"/>
        <v>0</v>
      </c>
      <c r="R46" s="306">
        <f t="shared" si="24"/>
        <v>0</v>
      </c>
      <c r="S46" s="306">
        <f t="shared" si="24"/>
        <v>0</v>
      </c>
      <c r="T46" s="306">
        <f t="shared" si="24"/>
        <v>0</v>
      </c>
      <c r="U46" s="306">
        <f t="shared" si="24"/>
        <v>0</v>
      </c>
      <c r="V46" s="306">
        <f t="shared" si="24"/>
        <v>0</v>
      </c>
      <c r="W46" s="306">
        <f t="shared" si="24"/>
        <v>0</v>
      </c>
      <c r="X46" s="306">
        <f t="shared" si="24"/>
        <v>0</v>
      </c>
      <c r="Y46" s="306">
        <f t="shared" si="24"/>
        <v>0</v>
      </c>
    </row>
    <row r="47" spans="1:25" s="264" customFormat="1" ht="14.15">
      <c r="A47" s="750"/>
      <c r="B47" s="266"/>
      <c r="C47" s="307" t="s">
        <v>724</v>
      </c>
      <c r="E47" s="260" t="s">
        <v>1161</v>
      </c>
      <c r="F47" s="308"/>
      <c r="G47" s="307"/>
      <c r="H47" s="88"/>
      <c r="I47" s="311">
        <f t="shared" ref="I47:O47" si="25">IF(ISERROR(I46/I6),0,I46/I6)</f>
        <v>0</v>
      </c>
      <c r="J47" s="311">
        <f t="shared" si="25"/>
        <v>0</v>
      </c>
      <c r="K47" s="311">
        <f t="shared" si="25"/>
        <v>0</v>
      </c>
      <c r="L47" s="311"/>
      <c r="M47" s="311"/>
      <c r="N47" s="311"/>
      <c r="O47" s="311">
        <f t="shared" si="25"/>
        <v>0</v>
      </c>
      <c r="P47" s="469">
        <f>IF(ISNUMBER(K47),K47,0)</f>
        <v>0</v>
      </c>
      <c r="Q47" s="469">
        <f>IF(ISNUMBER(P47),P47,0)</f>
        <v>0</v>
      </c>
      <c r="R47" s="469">
        <f>IF(ISNUMBER(Q47),Q47,0)</f>
        <v>0</v>
      </c>
      <c r="S47" s="469">
        <f t="shared" ref="S47:Y47" si="26">IF(ISNUMBER(R47),R47,0)</f>
        <v>0</v>
      </c>
      <c r="T47" s="469">
        <f t="shared" si="26"/>
        <v>0</v>
      </c>
      <c r="U47" s="469">
        <f t="shared" si="26"/>
        <v>0</v>
      </c>
      <c r="V47" s="469">
        <f t="shared" si="26"/>
        <v>0</v>
      </c>
      <c r="W47" s="469">
        <f t="shared" si="26"/>
        <v>0</v>
      </c>
      <c r="X47" s="469">
        <f t="shared" si="26"/>
        <v>0</v>
      </c>
      <c r="Y47" s="469">
        <f t="shared" si="26"/>
        <v>0</v>
      </c>
    </row>
    <row r="48" spans="1:25" s="264" customFormat="1" ht="14.15">
      <c r="A48" s="750"/>
      <c r="B48" s="266"/>
      <c r="C48" s="310"/>
      <c r="E48" s="260"/>
      <c r="G48" s="310"/>
      <c r="I48" s="317"/>
      <c r="J48" s="317"/>
      <c r="K48" s="311"/>
      <c r="L48" s="317"/>
      <c r="M48" s="317"/>
      <c r="N48" s="317"/>
      <c r="O48" s="317"/>
      <c r="P48" s="311"/>
      <c r="Q48" s="318"/>
      <c r="R48" s="311"/>
      <c r="S48" s="311"/>
      <c r="T48" s="311"/>
      <c r="U48" s="311"/>
      <c r="V48" s="311"/>
      <c r="W48" s="311"/>
      <c r="X48" s="311"/>
      <c r="Y48" s="311"/>
    </row>
    <row r="49" spans="1:25" ht="13.75">
      <c r="B49" s="261" t="s">
        <v>731</v>
      </c>
      <c r="I49" s="267">
        <f>资产负债表!Y56</f>
        <v>0</v>
      </c>
      <c r="J49" s="267">
        <f>资产负债表!AC56</f>
        <v>0</v>
      </c>
      <c r="K49" s="306">
        <f>资产负债表!AG56</f>
        <v>0</v>
      </c>
      <c r="L49" s="306">
        <f>资产负债表!AH56</f>
        <v>0</v>
      </c>
      <c r="M49" s="306">
        <f>资产负债表!AI56</f>
        <v>0</v>
      </c>
      <c r="N49" s="306">
        <f>资产负债表!AJ56</f>
        <v>0</v>
      </c>
      <c r="O49" s="306">
        <f>资产负债表!AK56</f>
        <v>0</v>
      </c>
      <c r="P49" s="306">
        <f t="shared" ref="P49:Y49" si="27">IF(ISERROR(P50*P6),0,P50*P6)</f>
        <v>0</v>
      </c>
      <c r="Q49" s="306">
        <f t="shared" si="27"/>
        <v>0</v>
      </c>
      <c r="R49" s="306">
        <f t="shared" si="27"/>
        <v>0</v>
      </c>
      <c r="S49" s="306">
        <f t="shared" si="27"/>
        <v>0</v>
      </c>
      <c r="T49" s="306">
        <f t="shared" si="27"/>
        <v>0</v>
      </c>
      <c r="U49" s="306">
        <f t="shared" si="27"/>
        <v>0</v>
      </c>
      <c r="V49" s="306">
        <f t="shared" si="27"/>
        <v>0</v>
      </c>
      <c r="W49" s="306">
        <f t="shared" si="27"/>
        <v>0</v>
      </c>
      <c r="X49" s="306">
        <f t="shared" si="27"/>
        <v>0</v>
      </c>
      <c r="Y49" s="306">
        <f t="shared" si="27"/>
        <v>0</v>
      </c>
    </row>
    <row r="50" spans="1:25" s="264" customFormat="1" ht="14.15">
      <c r="A50" s="750"/>
      <c r="B50" s="266"/>
      <c r="C50" s="307" t="s">
        <v>732</v>
      </c>
      <c r="E50" s="260" t="s">
        <v>1162</v>
      </c>
      <c r="F50" s="308"/>
      <c r="G50" s="307"/>
      <c r="H50" s="88"/>
      <c r="I50" s="311">
        <f t="shared" ref="I50:O50" si="28">IF(ISERROR(I49/I6),0,I49/I6)</f>
        <v>0</v>
      </c>
      <c r="J50" s="311">
        <f t="shared" si="28"/>
        <v>0</v>
      </c>
      <c r="K50" s="311">
        <f t="shared" si="28"/>
        <v>0</v>
      </c>
      <c r="L50" s="311"/>
      <c r="M50" s="311"/>
      <c r="N50" s="311"/>
      <c r="O50" s="311">
        <f t="shared" si="28"/>
        <v>0</v>
      </c>
      <c r="P50" s="469">
        <f>IF(ISNUMBER(AVERAGE(K50,J50)),AVERAGE(K50,J50),0)</f>
        <v>0</v>
      </c>
      <c r="Q50" s="469">
        <f>IF(ISNUMBER(AVERAGE(P50,K50)),AVERAGE(P50,K50),0)</f>
        <v>0</v>
      </c>
      <c r="R50" s="469">
        <f>IF(ISNUMBER(AVERAGE(Q50,P50)),AVERAGE(Q50,P50),0)</f>
        <v>0</v>
      </c>
      <c r="S50" s="469">
        <f t="shared" ref="S50:Y50" si="29">IF(ISNUMBER(AVERAGE(R50,Q50)),AVERAGE(R50,Q50),0)</f>
        <v>0</v>
      </c>
      <c r="T50" s="470">
        <f t="shared" si="29"/>
        <v>0</v>
      </c>
      <c r="U50" s="470">
        <f t="shared" si="29"/>
        <v>0</v>
      </c>
      <c r="V50" s="470">
        <f t="shared" si="29"/>
        <v>0</v>
      </c>
      <c r="W50" s="470">
        <f t="shared" si="29"/>
        <v>0</v>
      </c>
      <c r="X50" s="470">
        <f t="shared" si="29"/>
        <v>0</v>
      </c>
      <c r="Y50" s="470">
        <f t="shared" si="29"/>
        <v>0</v>
      </c>
    </row>
    <row r="51" spans="1:25" ht="14.15">
      <c r="B51" s="266"/>
      <c r="C51" s="310"/>
      <c r="G51" s="310"/>
      <c r="I51" s="267"/>
      <c r="J51" s="267"/>
      <c r="K51" s="306"/>
      <c r="L51" s="267"/>
      <c r="M51" s="267"/>
      <c r="N51" s="267"/>
      <c r="O51" s="267"/>
      <c r="P51" s="306"/>
      <c r="Q51" s="306"/>
      <c r="R51" s="306"/>
      <c r="S51" s="306"/>
      <c r="T51" s="306"/>
      <c r="U51" s="306"/>
      <c r="V51" s="306"/>
      <c r="W51" s="306"/>
      <c r="X51" s="306"/>
      <c r="Y51" s="306"/>
    </row>
    <row r="52" spans="1:25" s="264" customFormat="1" ht="13.75">
      <c r="A52" s="750"/>
      <c r="B52" s="261" t="s">
        <v>733</v>
      </c>
      <c r="C52" s="260"/>
      <c r="E52" s="260"/>
      <c r="G52" s="260"/>
      <c r="I52" s="267">
        <f>资产负债表!Y57</f>
        <v>0</v>
      </c>
      <c r="J52" s="267">
        <f>资产负债表!AC57</f>
        <v>0</v>
      </c>
      <c r="K52" s="306">
        <f>资产负债表!AG57</f>
        <v>0</v>
      </c>
      <c r="L52" s="306">
        <f>资产负债表!AH57</f>
        <v>0</v>
      </c>
      <c r="M52" s="306">
        <f>资产负债表!AI57</f>
        <v>0</v>
      </c>
      <c r="N52" s="306">
        <f>资产负债表!AJ57</f>
        <v>0</v>
      </c>
      <c r="O52" s="306">
        <f>资产负债表!AK57</f>
        <v>0</v>
      </c>
      <c r="P52" s="306">
        <f t="shared" ref="P52:Y52" si="30">IF(ISERROR(P53*P5),0,P53*P5)</f>
        <v>0</v>
      </c>
      <c r="Q52" s="306">
        <f t="shared" si="30"/>
        <v>0</v>
      </c>
      <c r="R52" s="306">
        <f t="shared" si="30"/>
        <v>0</v>
      </c>
      <c r="S52" s="306">
        <f t="shared" si="30"/>
        <v>0</v>
      </c>
      <c r="T52" s="306">
        <f t="shared" si="30"/>
        <v>0</v>
      </c>
      <c r="U52" s="306">
        <f t="shared" si="30"/>
        <v>0</v>
      </c>
      <c r="V52" s="306">
        <f t="shared" si="30"/>
        <v>0</v>
      </c>
      <c r="W52" s="306">
        <f t="shared" si="30"/>
        <v>0</v>
      </c>
      <c r="X52" s="306">
        <f t="shared" si="30"/>
        <v>0</v>
      </c>
      <c r="Y52" s="306">
        <f t="shared" si="30"/>
        <v>0</v>
      </c>
    </row>
    <row r="53" spans="1:25" s="264" customFormat="1" ht="14.15">
      <c r="A53" s="750"/>
      <c r="B53" s="266"/>
      <c r="C53" s="307" t="s">
        <v>734</v>
      </c>
      <c r="E53" s="260" t="s">
        <v>1163</v>
      </c>
      <c r="F53" s="308"/>
      <c r="G53" s="307"/>
      <c r="H53" s="88"/>
      <c r="I53" s="311">
        <f t="shared" ref="I53:O53" si="31">IF(ISERROR(I52/I5),0,I52/I5)</f>
        <v>0</v>
      </c>
      <c r="J53" s="311">
        <f t="shared" si="31"/>
        <v>0</v>
      </c>
      <c r="K53" s="311">
        <f t="shared" si="31"/>
        <v>0</v>
      </c>
      <c r="L53" s="311"/>
      <c r="M53" s="311"/>
      <c r="N53" s="311"/>
      <c r="O53" s="311">
        <f t="shared" si="31"/>
        <v>0</v>
      </c>
      <c r="P53" s="469">
        <f>IF(ISNUMBER(AVERAGE(K53,J53)),AVERAGE(K53,J53),0)</f>
        <v>0</v>
      </c>
      <c r="Q53" s="469">
        <f>IF(ISNUMBER(AVERAGE(P53,K53)),AVERAGE(P53,K53),0)</f>
        <v>0</v>
      </c>
      <c r="R53" s="469">
        <f>IF(ISNUMBER(AVERAGE(Q53,P53)),AVERAGE(Q53,P53),0)</f>
        <v>0</v>
      </c>
      <c r="S53" s="469">
        <f t="shared" ref="S53:Y53" si="32">IF(ISNUMBER(AVERAGE(R53,Q53)),AVERAGE(R53,Q53),0)</f>
        <v>0</v>
      </c>
      <c r="T53" s="470">
        <f t="shared" si="32"/>
        <v>0</v>
      </c>
      <c r="U53" s="470">
        <f t="shared" si="32"/>
        <v>0</v>
      </c>
      <c r="V53" s="470">
        <f t="shared" si="32"/>
        <v>0</v>
      </c>
      <c r="W53" s="470">
        <f t="shared" si="32"/>
        <v>0</v>
      </c>
      <c r="X53" s="470">
        <f t="shared" si="32"/>
        <v>0</v>
      </c>
      <c r="Y53" s="470">
        <f t="shared" si="32"/>
        <v>0</v>
      </c>
    </row>
    <row r="54" spans="1:25" s="264" customFormat="1" ht="14.15">
      <c r="A54" s="750"/>
      <c r="B54" s="266"/>
      <c r="C54" s="307"/>
      <c r="E54" s="260"/>
      <c r="G54" s="307"/>
      <c r="I54" s="314"/>
      <c r="J54" s="314"/>
      <c r="K54" s="313"/>
      <c r="L54" s="312"/>
      <c r="M54" s="312"/>
      <c r="N54" s="312"/>
      <c r="O54" s="312"/>
      <c r="P54" s="306"/>
      <c r="Q54" s="306"/>
      <c r="R54" s="306"/>
      <c r="S54" s="471"/>
      <c r="T54" s="471"/>
      <c r="U54" s="471"/>
      <c r="V54" s="471"/>
      <c r="W54" s="471"/>
      <c r="X54" s="471"/>
      <c r="Y54" s="471"/>
    </row>
    <row r="55" spans="1:25" s="264" customFormat="1" ht="13.75">
      <c r="A55" s="750"/>
      <c r="B55" s="261" t="s">
        <v>735</v>
      </c>
      <c r="C55" s="260"/>
      <c r="E55" s="260"/>
      <c r="G55" s="260"/>
      <c r="I55" s="267">
        <f>资产负债表!Y58</f>
        <v>0</v>
      </c>
      <c r="J55" s="267">
        <f>资产负债表!AC58</f>
        <v>0</v>
      </c>
      <c r="K55" s="306">
        <f>资产负债表!AG58</f>
        <v>0</v>
      </c>
      <c r="L55" s="306">
        <f>资产负债表!AH58</f>
        <v>0</v>
      </c>
      <c r="M55" s="306">
        <f>资产负债表!AI58</f>
        <v>0</v>
      </c>
      <c r="N55" s="306">
        <f>资产负债表!AJ58</f>
        <v>0</v>
      </c>
      <c r="O55" s="306">
        <f>资产负债表!AK58</f>
        <v>0</v>
      </c>
      <c r="P55" s="306">
        <f t="shared" ref="P55:Y55" si="33">IF(ISERROR(P56*P6),0,P56*P6)</f>
        <v>0</v>
      </c>
      <c r="Q55" s="306">
        <f t="shared" si="33"/>
        <v>0</v>
      </c>
      <c r="R55" s="306">
        <f t="shared" si="33"/>
        <v>0</v>
      </c>
      <c r="S55" s="306">
        <f t="shared" si="33"/>
        <v>0</v>
      </c>
      <c r="T55" s="306">
        <f t="shared" si="33"/>
        <v>0</v>
      </c>
      <c r="U55" s="306">
        <f t="shared" si="33"/>
        <v>0</v>
      </c>
      <c r="V55" s="306">
        <f t="shared" si="33"/>
        <v>0</v>
      </c>
      <c r="W55" s="306">
        <f t="shared" si="33"/>
        <v>0</v>
      </c>
      <c r="X55" s="306">
        <f t="shared" si="33"/>
        <v>0</v>
      </c>
      <c r="Y55" s="306">
        <f t="shared" si="33"/>
        <v>0</v>
      </c>
    </row>
    <row r="56" spans="1:25" s="264" customFormat="1" ht="14.15">
      <c r="A56" s="750"/>
      <c r="B56" s="266"/>
      <c r="C56" s="307" t="s">
        <v>916</v>
      </c>
      <c r="E56" s="260" t="s">
        <v>1256</v>
      </c>
      <c r="F56" s="308"/>
      <c r="G56" s="307"/>
      <c r="H56" s="88"/>
      <c r="I56" s="311">
        <f t="shared" ref="I56:O56" si="34">IF(ISERROR(I55/I6),0,I55/I6)</f>
        <v>0</v>
      </c>
      <c r="J56" s="311">
        <f t="shared" si="34"/>
        <v>0</v>
      </c>
      <c r="K56" s="311">
        <f t="shared" si="34"/>
        <v>0</v>
      </c>
      <c r="L56" s="311"/>
      <c r="M56" s="311"/>
      <c r="N56" s="311"/>
      <c r="O56" s="311">
        <f t="shared" si="34"/>
        <v>0</v>
      </c>
      <c r="P56" s="469">
        <f>IF(ISNUMBER(AVERAGE(K56,J56)),AVERAGE(K56,J56),0)</f>
        <v>0</v>
      </c>
      <c r="Q56" s="469">
        <f>IF(ISNUMBER(AVERAGE(P56,K56)),AVERAGE(P56,K56),0)</f>
        <v>0</v>
      </c>
      <c r="R56" s="469">
        <f>IF(ISNUMBER(AVERAGE(Q56,P56)),AVERAGE(Q56,P56),0)</f>
        <v>0</v>
      </c>
      <c r="S56" s="469">
        <f t="shared" ref="S56:Y56" si="35">IF(ISNUMBER(AVERAGE(R56,Q56)),AVERAGE(R56,Q56),0)</f>
        <v>0</v>
      </c>
      <c r="T56" s="470">
        <f t="shared" si="35"/>
        <v>0</v>
      </c>
      <c r="U56" s="470">
        <f t="shared" si="35"/>
        <v>0</v>
      </c>
      <c r="V56" s="470">
        <f t="shared" si="35"/>
        <v>0</v>
      </c>
      <c r="W56" s="470">
        <f t="shared" si="35"/>
        <v>0</v>
      </c>
      <c r="X56" s="470">
        <f t="shared" si="35"/>
        <v>0</v>
      </c>
      <c r="Y56" s="470">
        <f t="shared" si="35"/>
        <v>0</v>
      </c>
    </row>
    <row r="57" spans="1:25" ht="14.15">
      <c r="B57" s="266"/>
      <c r="C57" s="310"/>
      <c r="G57" s="310"/>
      <c r="I57" s="306"/>
      <c r="J57" s="306"/>
      <c r="K57" s="306"/>
      <c r="L57" s="267"/>
      <c r="M57" s="267"/>
      <c r="N57" s="267"/>
      <c r="O57" s="267"/>
      <c r="P57" s="267"/>
      <c r="Q57" s="267"/>
      <c r="R57" s="267"/>
      <c r="S57" s="267"/>
      <c r="T57" s="267"/>
      <c r="U57" s="267"/>
      <c r="V57" s="267"/>
      <c r="W57" s="267"/>
      <c r="X57" s="267"/>
      <c r="Y57" s="267"/>
    </row>
    <row r="58" spans="1:25" s="264" customFormat="1" ht="14.15">
      <c r="A58" s="750"/>
      <c r="B58" s="266"/>
      <c r="C58" s="307"/>
      <c r="G58" s="307"/>
      <c r="I58" s="313"/>
      <c r="J58" s="313"/>
      <c r="K58" s="313"/>
    </row>
    <row r="59" spans="1:25" s="264" customFormat="1" ht="13.75">
      <c r="A59" s="750"/>
      <c r="B59" s="261" t="s">
        <v>718</v>
      </c>
      <c r="C59" s="307"/>
      <c r="G59" s="307"/>
      <c r="I59" s="487">
        <f>IF(ISERROR(I10+I14+I18+I21+I25+I29-I35-I39-I43-I46-I49-I52-I55),0,I10+I14+I18+I21+I25+I29-I35-I39-I43-I46-I49-I52-I55)</f>
        <v>0</v>
      </c>
      <c r="J59" s="487">
        <f t="shared" ref="J59:Y59" si="36">IF(ISERROR(J10+J14+J18+J21+J25+J29-J35-J39-J43-J46-J49-J52-J55),0,J10+J14+J18+J21+J25+J29-J35-J39-J43-J46-J49-J52-J55)</f>
        <v>0</v>
      </c>
      <c r="K59" s="487">
        <f t="shared" si="36"/>
        <v>0</v>
      </c>
      <c r="L59" s="487">
        <f t="shared" si="36"/>
        <v>0</v>
      </c>
      <c r="M59" s="487">
        <f t="shared" si="36"/>
        <v>0</v>
      </c>
      <c r="N59" s="487">
        <f t="shared" si="36"/>
        <v>0</v>
      </c>
      <c r="O59" s="487">
        <f t="shared" si="36"/>
        <v>0</v>
      </c>
      <c r="P59" s="487">
        <f t="shared" si="36"/>
        <v>0</v>
      </c>
      <c r="Q59" s="487">
        <f t="shared" si="36"/>
        <v>0</v>
      </c>
      <c r="R59" s="487">
        <f t="shared" si="36"/>
        <v>0</v>
      </c>
      <c r="S59" s="487">
        <f t="shared" si="36"/>
        <v>0</v>
      </c>
      <c r="T59" s="487">
        <f t="shared" si="36"/>
        <v>0</v>
      </c>
      <c r="U59" s="487">
        <f t="shared" si="36"/>
        <v>0</v>
      </c>
      <c r="V59" s="487">
        <f t="shared" si="36"/>
        <v>0</v>
      </c>
      <c r="W59" s="487">
        <f t="shared" si="36"/>
        <v>0</v>
      </c>
      <c r="X59" s="487">
        <f t="shared" si="36"/>
        <v>0</v>
      </c>
      <c r="Y59" s="487">
        <f t="shared" si="36"/>
        <v>0</v>
      </c>
    </row>
    <row r="60" spans="1:25" s="264" customFormat="1" ht="13.75">
      <c r="A60" s="750"/>
      <c r="B60" s="322" t="s">
        <v>736</v>
      </c>
      <c r="C60" s="310"/>
      <c r="G60" s="310"/>
      <c r="I60" s="487" t="s">
        <v>934</v>
      </c>
      <c r="J60" s="487">
        <f>IF(ISERROR(J59-I59),0,J59-I59)</f>
        <v>0</v>
      </c>
      <c r="K60" s="487">
        <f>IF(ISERROR(K59-J59),0,K59-J59)</f>
        <v>0</v>
      </c>
      <c r="L60" s="487"/>
      <c r="M60" s="487"/>
      <c r="N60" s="487"/>
      <c r="O60" s="487"/>
      <c r="P60" s="487">
        <f>IF(ISERROR(P59-K59),0,P59-K59)</f>
        <v>0</v>
      </c>
      <c r="Q60" s="487">
        <f>IF(ISERROR(Q59-P59),0,Q59-P59)</f>
        <v>0</v>
      </c>
      <c r="R60" s="487">
        <f>IF(ISERROR(R59-Q59),0,R59-Q59)</f>
        <v>0</v>
      </c>
      <c r="S60" s="487">
        <f t="shared" ref="S60:Y60" si="37">IF(ISERROR(S59-R59),0,S59-R59)</f>
        <v>0</v>
      </c>
      <c r="T60" s="487">
        <f t="shared" si="37"/>
        <v>0</v>
      </c>
      <c r="U60" s="487">
        <f t="shared" si="37"/>
        <v>0</v>
      </c>
      <c r="V60" s="487">
        <f t="shared" si="37"/>
        <v>0</v>
      </c>
      <c r="W60" s="487">
        <f t="shared" si="37"/>
        <v>0</v>
      </c>
      <c r="X60" s="487">
        <f t="shared" si="37"/>
        <v>0</v>
      </c>
      <c r="Y60" s="487">
        <f t="shared" si="37"/>
        <v>0</v>
      </c>
    </row>
    <row r="61" spans="1:25" s="264" customFormat="1" ht="13.75">
      <c r="A61" s="750"/>
      <c r="B61" s="261"/>
      <c r="C61" s="310"/>
      <c r="G61" s="310"/>
      <c r="I61" s="267"/>
      <c r="J61" s="267"/>
      <c r="K61" s="267"/>
      <c r="L61" s="267"/>
      <c r="M61" s="267"/>
      <c r="N61" s="267"/>
      <c r="O61" s="267"/>
      <c r="P61" s="267"/>
      <c r="Q61" s="267"/>
      <c r="R61" s="267"/>
      <c r="S61" s="267"/>
      <c r="T61" s="267"/>
      <c r="U61" s="267"/>
      <c r="V61" s="267"/>
      <c r="W61" s="267"/>
      <c r="X61" s="267"/>
      <c r="Y61" s="267"/>
    </row>
    <row r="62" spans="1:25" s="264" customFormat="1" ht="13.75">
      <c r="A62" s="750"/>
      <c r="B62" s="261"/>
      <c r="C62" s="310"/>
      <c r="G62" s="310"/>
      <c r="I62" s="267"/>
      <c r="J62" s="267"/>
      <c r="K62" s="267"/>
      <c r="L62" s="267"/>
      <c r="M62" s="267"/>
      <c r="N62" s="267"/>
      <c r="O62" s="267"/>
      <c r="P62" s="267"/>
      <c r="Q62" s="267"/>
      <c r="R62" s="267"/>
      <c r="S62" s="267"/>
      <c r="T62" s="267"/>
      <c r="U62" s="267"/>
      <c r="V62" s="267"/>
      <c r="W62" s="267"/>
      <c r="X62" s="267"/>
      <c r="Y62" s="267"/>
    </row>
    <row r="63" spans="1:25" s="295" customFormat="1" ht="14.15">
      <c r="A63" s="747"/>
      <c r="B63" s="153" t="s">
        <v>737</v>
      </c>
      <c r="C63" s="154"/>
      <c r="D63" s="155"/>
      <c r="E63" s="739"/>
      <c r="F63" s="155"/>
      <c r="G63" s="154"/>
      <c r="H63" s="155"/>
      <c r="I63" s="155"/>
      <c r="J63" s="155"/>
      <c r="K63" s="155"/>
      <c r="L63" s="155"/>
      <c r="M63" s="155"/>
      <c r="N63" s="155"/>
      <c r="O63" s="155"/>
      <c r="P63" s="155"/>
      <c r="Q63" s="155"/>
      <c r="R63" s="155"/>
      <c r="S63" s="155"/>
      <c r="T63" s="155"/>
      <c r="U63" s="155"/>
      <c r="V63" s="155"/>
      <c r="W63" s="155"/>
      <c r="X63" s="155"/>
      <c r="Y63" s="155"/>
    </row>
    <row r="64" spans="1:25" ht="13.75">
      <c r="B64" s="296" t="str">
        <f>"单位："&amp;目录!D5</f>
        <v>单位：港元</v>
      </c>
    </row>
    <row r="65" spans="1:31" s="291" customFormat="1" ht="14.6" thickBot="1">
      <c r="A65" s="748"/>
      <c r="B65" s="298" t="s">
        <v>719</v>
      </c>
      <c r="C65" s="299"/>
      <c r="D65" s="299"/>
      <c r="E65" s="299"/>
      <c r="F65" s="299"/>
      <c r="G65" s="299"/>
      <c r="H65" s="299"/>
      <c r="I65" s="300">
        <f t="shared" ref="I65:Y65" si="38">I4</f>
        <v>2021</v>
      </c>
      <c r="J65" s="300">
        <f t="shared" si="38"/>
        <v>2022</v>
      </c>
      <c r="K65" s="300">
        <f t="shared" si="38"/>
        <v>2023</v>
      </c>
      <c r="L65" s="300" t="str">
        <f t="shared" si="38"/>
        <v>1Q23</v>
      </c>
      <c r="M65" s="300" t="str">
        <f t="shared" si="38"/>
        <v>1H21</v>
      </c>
      <c r="N65" s="300" t="str">
        <f t="shared" si="38"/>
        <v>3Q21</v>
      </c>
      <c r="O65" s="300" t="str">
        <f t="shared" si="38"/>
        <v>-</v>
      </c>
      <c r="P65" s="301" t="str">
        <f t="shared" si="38"/>
        <v>-E</v>
      </c>
      <c r="Q65" s="302" t="e">
        <f t="shared" si="38"/>
        <v>#VALUE!</v>
      </c>
      <c r="R65" s="302" t="e">
        <f t="shared" si="38"/>
        <v>#VALUE!</v>
      </c>
      <c r="S65" s="302" t="e">
        <f t="shared" si="38"/>
        <v>#VALUE!</v>
      </c>
      <c r="T65" s="302" t="e">
        <f t="shared" si="38"/>
        <v>#VALUE!</v>
      </c>
      <c r="U65" s="302" t="e">
        <f t="shared" si="38"/>
        <v>#VALUE!</v>
      </c>
      <c r="V65" s="302" t="e">
        <f t="shared" si="38"/>
        <v>#VALUE!</v>
      </c>
      <c r="W65" s="302" t="e">
        <f t="shared" si="38"/>
        <v>#VALUE!</v>
      </c>
      <c r="X65" s="302" t="e">
        <f t="shared" si="38"/>
        <v>#VALUE!</v>
      </c>
      <c r="Y65" s="302" t="e">
        <f t="shared" si="38"/>
        <v>#VALUE!</v>
      </c>
    </row>
    <row r="66" spans="1:31" s="303" customFormat="1" ht="14.15" thickTop="1">
      <c r="A66" s="749"/>
      <c r="B66" s="261"/>
    </row>
    <row r="67" spans="1:31" s="303" customFormat="1" ht="13.75">
      <c r="A67" s="749"/>
      <c r="B67" s="323" t="s">
        <v>738</v>
      </c>
    </row>
    <row r="68" spans="1:31" ht="13.75">
      <c r="B68" s="564" t="s">
        <v>1058</v>
      </c>
      <c r="I68" s="267">
        <f>资产负债表!Y9</f>
        <v>0</v>
      </c>
      <c r="J68" s="267">
        <f>资产负债表!AC9</f>
        <v>0</v>
      </c>
      <c r="K68" s="267">
        <f>资产负债表!AG9</f>
        <v>0</v>
      </c>
      <c r="L68" s="267">
        <f>资产负债表!AH9</f>
        <v>0</v>
      </c>
      <c r="M68" s="267">
        <f>资产负债表!AI9</f>
        <v>0</v>
      </c>
      <c r="N68" s="267">
        <f>资产负债表!AJ9</f>
        <v>0</v>
      </c>
      <c r="O68" s="267">
        <f>资产负债表!AK9</f>
        <v>0</v>
      </c>
      <c r="P68" s="267">
        <f>IF(ISERROR(K68+P70+P69),0,K68+P70+P69)</f>
        <v>0</v>
      </c>
      <c r="Q68" s="267">
        <f t="shared" ref="Q68:Y68" si="39">IF(ISERROR(P68+Q70+Q69),0,P68+Q70+Q69)</f>
        <v>0</v>
      </c>
      <c r="R68" s="267">
        <f t="shared" si="39"/>
        <v>0</v>
      </c>
      <c r="S68" s="267">
        <f t="shared" si="39"/>
        <v>0</v>
      </c>
      <c r="T68" s="267">
        <f t="shared" si="39"/>
        <v>0</v>
      </c>
      <c r="U68" s="267">
        <f t="shared" si="39"/>
        <v>0</v>
      </c>
      <c r="V68" s="267">
        <f t="shared" si="39"/>
        <v>0</v>
      </c>
      <c r="W68" s="267">
        <f t="shared" si="39"/>
        <v>0</v>
      </c>
      <c r="X68" s="267">
        <f t="shared" si="39"/>
        <v>0</v>
      </c>
      <c r="Y68" s="267">
        <f t="shared" si="39"/>
        <v>0</v>
      </c>
    </row>
    <row r="69" spans="1:31" ht="13.75">
      <c r="A69" s="746" t="s">
        <v>1235</v>
      </c>
      <c r="C69" s="325" t="s">
        <v>982</v>
      </c>
      <c r="D69" s="519"/>
      <c r="F69" s="308"/>
      <c r="G69" s="325"/>
      <c r="I69" s="267"/>
      <c r="J69" s="267">
        <f>J68-I68</f>
        <v>0</v>
      </c>
      <c r="K69" s="267">
        <f>K68-J68</f>
        <v>0</v>
      </c>
      <c r="L69" s="267">
        <f>IF(L68=0,0,L68-K68)</f>
        <v>0</v>
      </c>
      <c r="M69" s="267">
        <f>IF(M68=0,0,M68-L68)</f>
        <v>0</v>
      </c>
      <c r="N69" s="267">
        <f>IF(N68=0,0,N68-M68)</f>
        <v>0</v>
      </c>
      <c r="O69" s="267">
        <f>IF(O68=0,0,O68-N68)</f>
        <v>0</v>
      </c>
      <c r="P69" s="123">
        <v>0</v>
      </c>
      <c r="Q69" s="123">
        <v>0</v>
      </c>
      <c r="R69" s="123">
        <v>0</v>
      </c>
      <c r="S69" s="123"/>
      <c r="T69" s="123"/>
      <c r="U69" s="123"/>
      <c r="V69" s="123"/>
      <c r="W69" s="123"/>
      <c r="X69" s="123"/>
      <c r="Y69" s="123"/>
    </row>
    <row r="70" spans="1:31" ht="13.75">
      <c r="A70" s="746" t="s">
        <v>1235</v>
      </c>
      <c r="B70" s="261"/>
      <c r="C70" s="325" t="s">
        <v>981</v>
      </c>
      <c r="D70" s="519"/>
      <c r="F70" s="308"/>
      <c r="G70" s="325"/>
      <c r="I70" s="267"/>
      <c r="J70" s="267"/>
      <c r="K70" s="267"/>
      <c r="L70" s="478"/>
      <c r="M70" s="478"/>
      <c r="N70" s="478"/>
      <c r="O70" s="478"/>
      <c r="P70" s="123">
        <v>0</v>
      </c>
      <c r="Q70" s="123">
        <v>0</v>
      </c>
      <c r="R70" s="123">
        <v>0</v>
      </c>
      <c r="S70" s="123"/>
      <c r="T70" s="123"/>
      <c r="U70" s="123"/>
      <c r="V70" s="123"/>
      <c r="W70" s="123"/>
      <c r="X70" s="123"/>
      <c r="Y70" s="123"/>
    </row>
    <row r="71" spans="1:31" ht="13.75">
      <c r="B71" s="261"/>
      <c r="F71" s="327"/>
      <c r="I71" s="267"/>
      <c r="J71" s="267"/>
    </row>
    <row r="72" spans="1:31" ht="13.75">
      <c r="B72" s="261" t="s">
        <v>980</v>
      </c>
      <c r="F72" s="308"/>
      <c r="G72" s="325"/>
      <c r="I72" s="267">
        <f>资产负债表!Y10</f>
        <v>0</v>
      </c>
      <c r="J72" s="267">
        <f>资产负债表!AC10</f>
        <v>0</v>
      </c>
      <c r="K72" s="267">
        <f>资产负债表!AG10</f>
        <v>0</v>
      </c>
      <c r="L72" s="267">
        <f>资产负债表!AH10</f>
        <v>0</v>
      </c>
      <c r="M72" s="267">
        <f>资产负债表!AI10</f>
        <v>0</v>
      </c>
      <c r="N72" s="267">
        <f>资产负债表!AJ10</f>
        <v>0</v>
      </c>
      <c r="O72" s="267">
        <f>资产负债表!AK10</f>
        <v>0</v>
      </c>
      <c r="P72" s="267">
        <f>IF(ISERROR(K72+P74+P73),0,K72+P74+P73)</f>
        <v>0</v>
      </c>
      <c r="Q72" s="267">
        <f t="shared" ref="Q72:Y72" si="40">IF(ISERROR(P72+Q74+Q73),0,P72+Q74+Q73)</f>
        <v>0</v>
      </c>
      <c r="R72" s="267">
        <f t="shared" si="40"/>
        <v>0</v>
      </c>
      <c r="S72" s="267">
        <f t="shared" si="40"/>
        <v>0</v>
      </c>
      <c r="T72" s="267">
        <f t="shared" si="40"/>
        <v>0</v>
      </c>
      <c r="U72" s="267">
        <f t="shared" si="40"/>
        <v>0</v>
      </c>
      <c r="V72" s="267">
        <f t="shared" si="40"/>
        <v>0</v>
      </c>
      <c r="W72" s="267">
        <f t="shared" si="40"/>
        <v>0</v>
      </c>
      <c r="X72" s="267">
        <f t="shared" si="40"/>
        <v>0</v>
      </c>
      <c r="Y72" s="267">
        <f t="shared" si="40"/>
        <v>0</v>
      </c>
    </row>
    <row r="73" spans="1:31" ht="13.75">
      <c r="A73" s="746" t="s">
        <v>1235</v>
      </c>
      <c r="C73" s="325" t="s">
        <v>982</v>
      </c>
      <c r="D73" s="519"/>
      <c r="F73" s="308"/>
      <c r="G73" s="325"/>
      <c r="I73" s="267"/>
      <c r="J73" s="267">
        <f>J72-I72</f>
        <v>0</v>
      </c>
      <c r="K73" s="267">
        <f>K72-J72</f>
        <v>0</v>
      </c>
      <c r="L73" s="267">
        <f>IF(L72=0,0,L72-K72)</f>
        <v>0</v>
      </c>
      <c r="M73" s="267">
        <f>IF(M72=0,0,M72-L72)</f>
        <v>0</v>
      </c>
      <c r="N73" s="267">
        <f>IF(N72=0,0,N72-M72)</f>
        <v>0</v>
      </c>
      <c r="O73" s="267">
        <f>IF(O72=0,0,O72-N72)</f>
        <v>0</v>
      </c>
      <c r="P73" s="123">
        <v>0</v>
      </c>
      <c r="Q73" s="123">
        <v>0</v>
      </c>
      <c r="R73" s="123">
        <v>0</v>
      </c>
      <c r="S73" s="123"/>
      <c r="T73" s="123"/>
      <c r="U73" s="123"/>
      <c r="V73" s="123"/>
      <c r="W73" s="123"/>
      <c r="X73" s="123"/>
      <c r="Y73" s="123"/>
    </row>
    <row r="74" spans="1:31" ht="13.75">
      <c r="A74" s="746" t="s">
        <v>1235</v>
      </c>
      <c r="B74" s="261"/>
      <c r="C74" s="325" t="s">
        <v>981</v>
      </c>
      <c r="D74" s="519"/>
      <c r="F74" s="308"/>
      <c r="G74" s="325"/>
      <c r="I74" s="267"/>
      <c r="J74" s="267"/>
      <c r="K74" s="267"/>
      <c r="L74" s="478"/>
      <c r="M74" s="478"/>
      <c r="N74" s="478"/>
      <c r="O74" s="478"/>
      <c r="P74" s="123">
        <v>0</v>
      </c>
      <c r="Q74" s="123">
        <v>0</v>
      </c>
      <c r="R74" s="123">
        <v>0</v>
      </c>
      <c r="S74" s="123"/>
      <c r="T74" s="123"/>
      <c r="U74" s="123"/>
      <c r="V74" s="123"/>
      <c r="W74" s="123"/>
      <c r="X74" s="123"/>
      <c r="Y74" s="123"/>
    </row>
    <row r="75" spans="1:31" ht="13.75">
      <c r="B75" s="261"/>
      <c r="F75" s="327"/>
      <c r="I75" s="267"/>
      <c r="J75" s="267"/>
    </row>
    <row r="76" spans="1:31" ht="13.75">
      <c r="B76" s="261" t="s">
        <v>687</v>
      </c>
      <c r="C76" s="325"/>
      <c r="F76" s="308"/>
      <c r="G76" s="325"/>
      <c r="I76" s="267">
        <f>资产负债表!Y20</f>
        <v>0</v>
      </c>
      <c r="J76" s="267">
        <f>资产负债表!AC20</f>
        <v>0</v>
      </c>
      <c r="K76" s="267">
        <f>资产负债表!AG20</f>
        <v>0</v>
      </c>
      <c r="L76" s="267">
        <f>资产负债表!AH20</f>
        <v>0</v>
      </c>
      <c r="M76" s="267">
        <f>资产负债表!AI20</f>
        <v>0</v>
      </c>
      <c r="N76" s="267">
        <f>资产负债表!AJ20</f>
        <v>0</v>
      </c>
      <c r="O76" s="267">
        <f>资产负债表!AK20</f>
        <v>0</v>
      </c>
      <c r="P76" s="267">
        <f>IF(ISERROR(K76+P77),0,K76+P77)</f>
        <v>0</v>
      </c>
      <c r="Q76" s="267">
        <f t="shared" ref="Q76:Y76" si="41">IF(ISERROR(P76+Q77),0,P76+Q77)</f>
        <v>0</v>
      </c>
      <c r="R76" s="267">
        <f t="shared" si="41"/>
        <v>0</v>
      </c>
      <c r="S76" s="267">
        <f t="shared" si="41"/>
        <v>0</v>
      </c>
      <c r="T76" s="267">
        <f t="shared" si="41"/>
        <v>0</v>
      </c>
      <c r="U76" s="267">
        <f t="shared" si="41"/>
        <v>0</v>
      </c>
      <c r="V76" s="267">
        <f t="shared" si="41"/>
        <v>0</v>
      </c>
      <c r="W76" s="267">
        <f t="shared" si="41"/>
        <v>0</v>
      </c>
      <c r="X76" s="267">
        <f t="shared" si="41"/>
        <v>0</v>
      </c>
      <c r="Y76" s="267">
        <f t="shared" si="41"/>
        <v>0</v>
      </c>
      <c r="AE76" s="342"/>
    </row>
    <row r="77" spans="1:31" ht="13.75">
      <c r="A77" s="746" t="s">
        <v>1235</v>
      </c>
      <c r="C77" s="325" t="s">
        <v>748</v>
      </c>
      <c r="D77" s="519"/>
      <c r="F77" s="308"/>
      <c r="G77" s="325"/>
      <c r="I77" s="267"/>
      <c r="J77" s="267">
        <f>J76-I76</f>
        <v>0</v>
      </c>
      <c r="K77" s="267">
        <f>K76-J76</f>
        <v>0</v>
      </c>
      <c r="L77" s="267">
        <f>IF(L76=0,0,L76-K76)</f>
        <v>0</v>
      </c>
      <c r="M77" s="267">
        <f>IF(M76=0,0,M76-L76)</f>
        <v>0</v>
      </c>
      <c r="N77" s="267">
        <f>IF(N76=0,0,N76-M76)</f>
        <v>0</v>
      </c>
      <c r="O77" s="267">
        <f>IF(O76=0,0,O76-N76)</f>
        <v>0</v>
      </c>
      <c r="P77" s="123">
        <v>0</v>
      </c>
      <c r="Q77" s="123">
        <v>0</v>
      </c>
      <c r="R77" s="123">
        <v>0</v>
      </c>
      <c r="S77" s="123"/>
      <c r="T77" s="123"/>
      <c r="U77" s="123"/>
      <c r="V77" s="123"/>
      <c r="W77" s="123"/>
      <c r="X77" s="123"/>
      <c r="Y77" s="123"/>
      <c r="AE77" s="342"/>
    </row>
    <row r="78" spans="1:31" s="264" customFormat="1" ht="13.75">
      <c r="A78" s="750" t="s">
        <v>1235</v>
      </c>
      <c r="B78" s="310" t="s">
        <v>1000</v>
      </c>
      <c r="C78" s="325"/>
      <c r="D78" s="519"/>
      <c r="G78" s="325"/>
      <c r="I78" s="337"/>
      <c r="J78" s="337"/>
      <c r="K78" s="337"/>
      <c r="L78" s="267"/>
      <c r="M78" s="267"/>
      <c r="N78" s="267"/>
      <c r="O78" s="267"/>
      <c r="P78" s="123">
        <v>0</v>
      </c>
      <c r="Q78" s="123">
        <v>0</v>
      </c>
      <c r="R78" s="123">
        <v>0</v>
      </c>
      <c r="S78" s="123"/>
      <c r="T78" s="123"/>
      <c r="U78" s="123"/>
      <c r="V78" s="123"/>
      <c r="W78" s="123"/>
      <c r="X78" s="123"/>
      <c r="Y78" s="123"/>
      <c r="AE78" s="342"/>
    </row>
    <row r="79" spans="1:31" s="264" customFormat="1" ht="14.15">
      <c r="A79" s="750"/>
      <c r="B79" s="266"/>
      <c r="C79" s="325"/>
      <c r="G79" s="325"/>
      <c r="I79" s="267"/>
      <c r="J79" s="267"/>
      <c r="K79" s="324"/>
      <c r="L79" s="267"/>
      <c r="M79" s="267"/>
      <c r="N79" s="267"/>
      <c r="O79" s="267"/>
      <c r="P79" s="324"/>
      <c r="Q79" s="324"/>
      <c r="R79" s="324"/>
      <c r="S79" s="324"/>
      <c r="T79" s="324"/>
      <c r="U79" s="324"/>
      <c r="V79" s="324"/>
      <c r="W79" s="324"/>
      <c r="X79" s="324"/>
      <c r="Y79" s="324"/>
      <c r="AE79" s="342"/>
    </row>
    <row r="80" spans="1:31" ht="13.75">
      <c r="B80" s="564" t="s">
        <v>1059</v>
      </c>
      <c r="I80" s="267">
        <f>资产负债表!Y50</f>
        <v>0</v>
      </c>
      <c r="J80" s="267">
        <f>资产负债表!AC50</f>
        <v>0</v>
      </c>
      <c r="K80" s="267">
        <f>资产负债表!AG50</f>
        <v>0</v>
      </c>
      <c r="L80" s="267">
        <f>资产负债表!AH50</f>
        <v>0</v>
      </c>
      <c r="M80" s="267">
        <f>资产负债表!AI50</f>
        <v>0</v>
      </c>
      <c r="N80" s="267">
        <f>资产负债表!AJ50</f>
        <v>0</v>
      </c>
      <c r="O80" s="267">
        <f>资产负债表!AK50</f>
        <v>0</v>
      </c>
      <c r="P80" s="267">
        <f>IF(ISERROR(K80+P81+P82),0,K80+P81+P82)</f>
        <v>0</v>
      </c>
      <c r="Q80" s="267">
        <f t="shared" ref="Q80:Y80" si="42">IF(ISERROR(P80+Q81+Q82),0,P80+Q81+Q82)</f>
        <v>0</v>
      </c>
      <c r="R80" s="267">
        <f t="shared" si="42"/>
        <v>0</v>
      </c>
      <c r="S80" s="267">
        <f t="shared" si="42"/>
        <v>0</v>
      </c>
      <c r="T80" s="267">
        <f t="shared" si="42"/>
        <v>0</v>
      </c>
      <c r="U80" s="267">
        <f t="shared" si="42"/>
        <v>0</v>
      </c>
      <c r="V80" s="267">
        <f t="shared" si="42"/>
        <v>0</v>
      </c>
      <c r="W80" s="267">
        <f t="shared" si="42"/>
        <v>0</v>
      </c>
      <c r="X80" s="267">
        <f t="shared" si="42"/>
        <v>0</v>
      </c>
      <c r="Y80" s="267">
        <f t="shared" si="42"/>
        <v>0</v>
      </c>
      <c r="AE80" s="342"/>
    </row>
    <row r="81" spans="1:31" s="264" customFormat="1" ht="14.15">
      <c r="A81" s="750" t="s">
        <v>1235</v>
      </c>
      <c r="B81" s="266"/>
      <c r="C81" s="325" t="s">
        <v>982</v>
      </c>
      <c r="D81" s="519"/>
      <c r="G81" s="310"/>
      <c r="H81" s="88"/>
      <c r="I81" s="321"/>
      <c r="J81" s="267">
        <f>J80-I80</f>
        <v>0</v>
      </c>
      <c r="K81" s="267">
        <f>K80-J80</f>
        <v>0</v>
      </c>
      <c r="L81" s="267">
        <f>IF(L80=0,0,L80-K80)</f>
        <v>0</v>
      </c>
      <c r="M81" s="267">
        <f>IF(M80=0,0,M80-L80)</f>
        <v>0</v>
      </c>
      <c r="N81" s="267">
        <f>IF(N80=0,0,N80-M80)</f>
        <v>0</v>
      </c>
      <c r="O81" s="267">
        <f>IF(O80=0,0,O80-N80)</f>
        <v>0</v>
      </c>
      <c r="P81" s="123">
        <v>0</v>
      </c>
      <c r="Q81" s="123">
        <v>0</v>
      </c>
      <c r="R81" s="123">
        <v>0</v>
      </c>
      <c r="S81" s="123"/>
      <c r="T81" s="123"/>
      <c r="U81" s="123"/>
      <c r="V81" s="123"/>
      <c r="W81" s="123"/>
      <c r="X81" s="123"/>
      <c r="Y81" s="123"/>
      <c r="AE81" s="342"/>
    </row>
    <row r="82" spans="1:31" s="264" customFormat="1" ht="14.15">
      <c r="A82" s="750" t="s">
        <v>1235</v>
      </c>
      <c r="B82" s="266"/>
      <c r="C82" s="325" t="s">
        <v>981</v>
      </c>
      <c r="D82" s="519"/>
      <c r="G82" s="310"/>
      <c r="I82" s="321"/>
      <c r="J82" s="317"/>
      <c r="K82" s="317"/>
      <c r="L82" s="478"/>
      <c r="M82" s="478"/>
      <c r="N82" s="478"/>
      <c r="O82" s="478"/>
      <c r="P82" s="123">
        <v>0</v>
      </c>
      <c r="Q82" s="123">
        <v>0</v>
      </c>
      <c r="R82" s="123">
        <v>0</v>
      </c>
      <c r="S82" s="123"/>
      <c r="T82" s="123"/>
      <c r="U82" s="123"/>
      <c r="V82" s="123"/>
      <c r="W82" s="123"/>
      <c r="X82" s="123"/>
      <c r="Y82" s="123"/>
    </row>
    <row r="83" spans="1:31" s="264" customFormat="1" ht="14.15">
      <c r="A83" s="750"/>
      <c r="B83" s="266"/>
      <c r="C83" s="325"/>
      <c r="G83" s="310"/>
      <c r="I83" s="321"/>
      <c r="J83" s="317"/>
      <c r="K83" s="317"/>
      <c r="L83" s="478"/>
      <c r="M83" s="478"/>
      <c r="N83" s="478"/>
      <c r="O83" s="478"/>
      <c r="P83" s="324"/>
      <c r="Q83" s="324"/>
      <c r="R83" s="324"/>
      <c r="S83" s="324"/>
      <c r="T83" s="324"/>
      <c r="U83" s="324"/>
      <c r="V83" s="324"/>
      <c r="W83" s="324"/>
      <c r="X83" s="324"/>
      <c r="Y83" s="324"/>
    </row>
    <row r="84" spans="1:31" ht="13.75">
      <c r="B84" s="261" t="s">
        <v>985</v>
      </c>
      <c r="F84" s="308"/>
      <c r="G84" s="325"/>
      <c r="I84" s="267">
        <f>资产负债表!Y51</f>
        <v>0</v>
      </c>
      <c r="J84" s="267">
        <f>资产负债表!AC51</f>
        <v>0</v>
      </c>
      <c r="K84" s="267">
        <f>资产负债表!AG51</f>
        <v>0</v>
      </c>
      <c r="L84" s="267">
        <f>资产负债表!AH51</f>
        <v>0</v>
      </c>
      <c r="M84" s="267">
        <f>资产负债表!AI51</f>
        <v>0</v>
      </c>
      <c r="N84" s="267">
        <f>资产负债表!AJ51</f>
        <v>0</v>
      </c>
      <c r="O84" s="267">
        <f>资产负债表!AK51</f>
        <v>0</v>
      </c>
      <c r="P84" s="267">
        <f>IF(ISERROR(K84+P85+P86),0,K84+P85+P86)</f>
        <v>0</v>
      </c>
      <c r="Q84" s="267">
        <f t="shared" ref="Q84:Y84" si="43">IF(ISERROR(P84+Q85+Q86),0,P84+Q85+Q86)</f>
        <v>0</v>
      </c>
      <c r="R84" s="267">
        <f t="shared" si="43"/>
        <v>0</v>
      </c>
      <c r="S84" s="267">
        <f t="shared" si="43"/>
        <v>0</v>
      </c>
      <c r="T84" s="267">
        <f t="shared" si="43"/>
        <v>0</v>
      </c>
      <c r="U84" s="267">
        <f t="shared" si="43"/>
        <v>0</v>
      </c>
      <c r="V84" s="267">
        <f t="shared" si="43"/>
        <v>0</v>
      </c>
      <c r="W84" s="267">
        <f t="shared" si="43"/>
        <v>0</v>
      </c>
      <c r="X84" s="267">
        <f t="shared" si="43"/>
        <v>0</v>
      </c>
      <c r="Y84" s="267">
        <f t="shared" si="43"/>
        <v>0</v>
      </c>
    </row>
    <row r="85" spans="1:31" ht="13.75">
      <c r="A85" s="746" t="s">
        <v>1235</v>
      </c>
      <c r="B85" s="261"/>
      <c r="C85" s="325" t="s">
        <v>982</v>
      </c>
      <c r="D85" s="519"/>
      <c r="F85" s="308"/>
      <c r="G85" s="325"/>
      <c r="I85" s="267"/>
      <c r="J85" s="267">
        <f>J84-I84</f>
        <v>0</v>
      </c>
      <c r="K85" s="267">
        <f>K84-J84</f>
        <v>0</v>
      </c>
      <c r="L85" s="267">
        <f>IF(L84=0,0,L84-K84)</f>
        <v>0</v>
      </c>
      <c r="M85" s="267">
        <f>IF(M84=0,0,M84-L84)</f>
        <v>0</v>
      </c>
      <c r="N85" s="267">
        <f>IF(N84=0,0,N84-M84)</f>
        <v>0</v>
      </c>
      <c r="O85" s="267">
        <f>IF(O84=0,0,O84-N84)</f>
        <v>0</v>
      </c>
      <c r="P85" s="123">
        <v>0</v>
      </c>
      <c r="Q85" s="123">
        <v>0</v>
      </c>
      <c r="R85" s="123">
        <v>0</v>
      </c>
      <c r="S85" s="123"/>
      <c r="T85" s="123"/>
      <c r="U85" s="123"/>
      <c r="V85" s="123"/>
      <c r="W85" s="123"/>
      <c r="X85" s="123"/>
      <c r="Y85" s="123"/>
    </row>
    <row r="86" spans="1:31" ht="13.75">
      <c r="A86" s="746" t="s">
        <v>1235</v>
      </c>
      <c r="C86" s="325" t="s">
        <v>981</v>
      </c>
      <c r="D86" s="519"/>
      <c r="F86" s="308"/>
      <c r="G86" s="325"/>
      <c r="I86" s="267"/>
      <c r="J86" s="267"/>
      <c r="K86" s="267"/>
      <c r="L86" s="267"/>
      <c r="M86" s="267"/>
      <c r="N86" s="267"/>
      <c r="O86" s="267"/>
      <c r="P86" s="123">
        <v>0</v>
      </c>
      <c r="Q86" s="123">
        <v>0</v>
      </c>
      <c r="R86" s="123">
        <v>0</v>
      </c>
      <c r="S86" s="123"/>
      <c r="T86" s="123"/>
      <c r="U86" s="123"/>
      <c r="V86" s="123"/>
      <c r="W86" s="123"/>
      <c r="X86" s="123"/>
      <c r="Y86" s="123"/>
    </row>
    <row r="87" spans="1:31" ht="13.75">
      <c r="C87" s="325"/>
      <c r="F87" s="308"/>
      <c r="G87" s="325"/>
      <c r="I87" s="267"/>
      <c r="J87" s="267"/>
      <c r="K87" s="267"/>
      <c r="L87" s="267"/>
      <c r="M87" s="267"/>
      <c r="N87" s="267"/>
      <c r="O87" s="267"/>
      <c r="P87" s="326"/>
      <c r="Q87" s="326"/>
      <c r="R87" s="326"/>
      <c r="S87" s="326"/>
      <c r="T87" s="326"/>
      <c r="U87" s="326"/>
      <c r="V87" s="326"/>
      <c r="W87" s="326"/>
      <c r="X87" s="326"/>
      <c r="Y87" s="326"/>
    </row>
    <row r="88" spans="1:31" ht="13.75">
      <c r="B88" s="564" t="s">
        <v>1060</v>
      </c>
      <c r="C88" s="325"/>
      <c r="F88" s="308"/>
      <c r="G88" s="325"/>
      <c r="I88" s="267">
        <f>资产负债表!Y61</f>
        <v>0</v>
      </c>
      <c r="J88" s="267">
        <f>资产负债表!AC61</f>
        <v>0</v>
      </c>
      <c r="K88" s="267">
        <f>资产负债表!AG61</f>
        <v>0</v>
      </c>
      <c r="L88" s="267">
        <f>资产负债表!AH61</f>
        <v>0</v>
      </c>
      <c r="M88" s="267">
        <f>资产负债表!AI61</f>
        <v>0</v>
      </c>
      <c r="N88" s="267">
        <f>资产负债表!AJ61</f>
        <v>0</v>
      </c>
      <c r="O88" s="267">
        <f>资产负债表!AK61</f>
        <v>0</v>
      </c>
      <c r="P88" s="267">
        <f>IF(ISERROR(K88+P89),0,K88+P89)</f>
        <v>0</v>
      </c>
      <c r="Q88" s="267">
        <f>IF(ISERROR(P88+Q89),0,P88+Q89)</f>
        <v>0</v>
      </c>
      <c r="R88" s="267">
        <f t="shared" ref="R88:Y88" si="44">IF(ISERROR(Q88+R89),0,Q88+R89)</f>
        <v>0</v>
      </c>
      <c r="S88" s="267">
        <f t="shared" si="44"/>
        <v>0</v>
      </c>
      <c r="T88" s="267">
        <f t="shared" si="44"/>
        <v>0</v>
      </c>
      <c r="U88" s="267">
        <f t="shared" si="44"/>
        <v>0</v>
      </c>
      <c r="V88" s="267">
        <f t="shared" si="44"/>
        <v>0</v>
      </c>
      <c r="W88" s="267">
        <f t="shared" si="44"/>
        <v>0</v>
      </c>
      <c r="X88" s="267">
        <f t="shared" si="44"/>
        <v>0</v>
      </c>
      <c r="Y88" s="267">
        <f t="shared" si="44"/>
        <v>0</v>
      </c>
    </row>
    <row r="89" spans="1:31" ht="13.75">
      <c r="A89" s="746" t="s">
        <v>1235</v>
      </c>
      <c r="C89" s="325" t="s">
        <v>999</v>
      </c>
      <c r="D89" s="519"/>
      <c r="F89" s="308"/>
      <c r="G89" s="325"/>
      <c r="I89" s="267"/>
      <c r="J89" s="267">
        <f>J88-I88</f>
        <v>0</v>
      </c>
      <c r="K89" s="267">
        <f>K88-J88</f>
        <v>0</v>
      </c>
      <c r="L89" s="267">
        <f>IF(L88=0,0,L88-K88)</f>
        <v>0</v>
      </c>
      <c r="M89" s="267">
        <f>IF(M88=0,0,M88-L88)</f>
        <v>0</v>
      </c>
      <c r="N89" s="267">
        <f>IF(N88=0,0,N88-M88)</f>
        <v>0</v>
      </c>
      <c r="O89" s="267">
        <f>IF(O88=0,0,O88-N88)</f>
        <v>0</v>
      </c>
      <c r="P89" s="123">
        <v>0</v>
      </c>
      <c r="Q89" s="123">
        <v>0</v>
      </c>
      <c r="R89" s="123">
        <v>0</v>
      </c>
      <c r="S89" s="123"/>
      <c r="T89" s="123"/>
      <c r="U89" s="123"/>
      <c r="V89" s="123"/>
      <c r="W89" s="123"/>
      <c r="X89" s="123"/>
      <c r="Y89" s="123"/>
    </row>
    <row r="90" spans="1:31" s="264" customFormat="1" ht="13.75">
      <c r="A90" s="750" t="s">
        <v>1235</v>
      </c>
      <c r="B90" s="576" t="s">
        <v>1061</v>
      </c>
      <c r="C90" s="363"/>
      <c r="D90" s="738"/>
      <c r="E90" s="577"/>
      <c r="F90" s="577"/>
      <c r="G90" s="363"/>
      <c r="H90" s="577"/>
      <c r="I90" s="366"/>
      <c r="J90" s="366"/>
      <c r="K90" s="366"/>
      <c r="L90" s="365"/>
      <c r="M90" s="365"/>
      <c r="N90" s="365"/>
      <c r="O90" s="365"/>
      <c r="P90" s="123">
        <v>0</v>
      </c>
      <c r="Q90" s="123">
        <v>0</v>
      </c>
      <c r="R90" s="123">
        <v>0</v>
      </c>
      <c r="S90" s="578"/>
      <c r="T90" s="578"/>
      <c r="U90" s="578"/>
      <c r="V90" s="578"/>
      <c r="W90" s="578"/>
      <c r="X90" s="578"/>
      <c r="Y90" s="578"/>
    </row>
    <row r="91" spans="1:31" s="264" customFormat="1" ht="13.75">
      <c r="A91" s="750"/>
      <c r="B91" s="565"/>
      <c r="C91" s="325"/>
      <c r="G91" s="325"/>
      <c r="I91" s="337"/>
      <c r="J91" s="337"/>
      <c r="K91" s="337"/>
      <c r="L91" s="267"/>
      <c r="M91" s="267"/>
      <c r="N91" s="267"/>
      <c r="O91" s="267"/>
      <c r="P91" s="326"/>
      <c r="Q91" s="326"/>
      <c r="R91" s="326"/>
      <c r="S91" s="326"/>
      <c r="T91" s="326"/>
      <c r="U91" s="326"/>
      <c r="V91" s="326"/>
      <c r="W91" s="326"/>
      <c r="X91" s="326"/>
      <c r="Y91" s="326"/>
    </row>
    <row r="92" spans="1:31" ht="13.75">
      <c r="B92" s="319" t="s">
        <v>739</v>
      </c>
      <c r="D92" s="303"/>
      <c r="E92" s="303"/>
      <c r="F92" s="303"/>
      <c r="G92" s="303"/>
      <c r="H92" s="303"/>
      <c r="I92" s="353">
        <f>IF(ISERROR(I68+I72-I80-I84),0,I68+I72-I80-I84)</f>
        <v>0</v>
      </c>
      <c r="J92" s="353">
        <f t="shared" ref="J92:O92" si="45">IF(ISERROR(J68+J72-J80-J84),0,J68+J72-J80-J84)</f>
        <v>0</v>
      </c>
      <c r="K92" s="353">
        <f t="shared" si="45"/>
        <v>0</v>
      </c>
      <c r="L92" s="353">
        <f t="shared" si="45"/>
        <v>0</v>
      </c>
      <c r="M92" s="353">
        <f t="shared" si="45"/>
        <v>0</v>
      </c>
      <c r="N92" s="353">
        <f t="shared" si="45"/>
        <v>0</v>
      </c>
      <c r="O92" s="353">
        <f t="shared" si="45"/>
        <v>0</v>
      </c>
      <c r="P92" s="353">
        <f>IF(ISERROR(P68+P72+P78-P80-P84-P90),0,P68+P72+P78-P80-P84-P90)</f>
        <v>0</v>
      </c>
      <c r="Q92" s="353">
        <f t="shared" ref="Q92:Y92" si="46">IF(ISERROR(Q68+Q72+Q78-Q80-Q84-Q90),0,Q68+Q72+Q78-Q80-Q84-Q90)</f>
        <v>0</v>
      </c>
      <c r="R92" s="353">
        <f t="shared" si="46"/>
        <v>0</v>
      </c>
      <c r="S92" s="353">
        <f t="shared" si="46"/>
        <v>0</v>
      </c>
      <c r="T92" s="353">
        <f t="shared" si="46"/>
        <v>0</v>
      </c>
      <c r="U92" s="353">
        <f t="shared" si="46"/>
        <v>0</v>
      </c>
      <c r="V92" s="353">
        <f t="shared" si="46"/>
        <v>0</v>
      </c>
      <c r="W92" s="353">
        <f t="shared" si="46"/>
        <v>0</v>
      </c>
      <c r="X92" s="353">
        <f t="shared" si="46"/>
        <v>0</v>
      </c>
      <c r="Y92" s="353">
        <f t="shared" si="46"/>
        <v>0</v>
      </c>
    </row>
    <row r="93" spans="1:31" s="264" customFormat="1" ht="14.15">
      <c r="A93" s="750"/>
      <c r="B93" s="266"/>
      <c r="C93" s="310" t="s">
        <v>740</v>
      </c>
      <c r="G93" s="310"/>
      <c r="I93" s="328"/>
      <c r="J93" s="328"/>
      <c r="K93" s="328"/>
      <c r="L93" s="306"/>
      <c r="M93" s="306"/>
      <c r="N93" s="306"/>
      <c r="O93" s="306"/>
      <c r="P93" s="306">
        <f>IF(ISERROR(P70+P74+P82+P86),0,P70+P74+P82+P86)</f>
        <v>0</v>
      </c>
      <c r="Q93" s="306">
        <f t="shared" ref="Q93:Y93" si="47">IF(ISERROR(Q70+Q74+Q82+Q86),0,Q70+Q74+Q82+Q86)</f>
        <v>0</v>
      </c>
      <c r="R93" s="306">
        <f t="shared" si="47"/>
        <v>0</v>
      </c>
      <c r="S93" s="306">
        <f t="shared" si="47"/>
        <v>0</v>
      </c>
      <c r="T93" s="306">
        <f t="shared" si="47"/>
        <v>0</v>
      </c>
      <c r="U93" s="306">
        <f t="shared" si="47"/>
        <v>0</v>
      </c>
      <c r="V93" s="306">
        <f t="shared" si="47"/>
        <v>0</v>
      </c>
      <c r="W93" s="306">
        <f t="shared" si="47"/>
        <v>0</v>
      </c>
      <c r="X93" s="306">
        <f t="shared" si="47"/>
        <v>0</v>
      </c>
      <c r="Y93" s="306">
        <f t="shared" si="47"/>
        <v>0</v>
      </c>
    </row>
    <row r="94" spans="1:31" s="264" customFormat="1" ht="14.15">
      <c r="A94" s="750"/>
      <c r="B94" s="266"/>
      <c r="C94" s="307"/>
      <c r="G94" s="307"/>
      <c r="I94" s="315"/>
      <c r="J94" s="314"/>
      <c r="K94" s="314"/>
      <c r="L94" s="315"/>
      <c r="M94" s="315"/>
      <c r="N94" s="315"/>
      <c r="O94" s="315"/>
      <c r="P94" s="315"/>
      <c r="Q94" s="314"/>
      <c r="R94" s="314"/>
      <c r="S94" s="314"/>
      <c r="T94" s="314"/>
      <c r="U94" s="314"/>
      <c r="V94" s="314"/>
      <c r="W94" s="314"/>
      <c r="X94" s="314"/>
      <c r="Y94" s="314"/>
    </row>
    <row r="95" spans="1:31" ht="13.75">
      <c r="B95" s="261" t="s">
        <v>741</v>
      </c>
      <c r="I95" s="267"/>
      <c r="J95" s="267"/>
      <c r="K95" s="267"/>
      <c r="L95" s="267"/>
      <c r="M95" s="267"/>
      <c r="N95" s="267"/>
      <c r="O95" s="267"/>
      <c r="P95" s="267"/>
      <c r="Q95" s="267"/>
      <c r="R95" s="267"/>
      <c r="S95" s="267"/>
      <c r="T95" s="267"/>
      <c r="U95" s="267"/>
      <c r="V95" s="267"/>
      <c r="W95" s="267"/>
      <c r="X95" s="267"/>
      <c r="Y95" s="267"/>
    </row>
    <row r="96" spans="1:31" s="264" customFormat="1" ht="13.75">
      <c r="A96" s="750"/>
      <c r="B96" s="261" t="s">
        <v>872</v>
      </c>
      <c r="C96" s="307"/>
      <c r="F96" s="260"/>
      <c r="G96" s="310"/>
      <c r="I96" s="267">
        <f>资产负债表!Y24</f>
        <v>0</v>
      </c>
      <c r="J96" s="267">
        <f>资产负债表!AC24</f>
        <v>0</v>
      </c>
      <c r="K96" s="267">
        <f>资产负债表!AG24</f>
        <v>0</v>
      </c>
      <c r="L96" s="267">
        <f>资产负债表!AH24</f>
        <v>0</v>
      </c>
      <c r="M96" s="267">
        <f>资产负债表!AI24</f>
        <v>0</v>
      </c>
      <c r="N96" s="267">
        <f>资产负债表!AJ24</f>
        <v>0</v>
      </c>
      <c r="O96" s="267">
        <f>资产负债表!AK24</f>
        <v>0</v>
      </c>
      <c r="P96" s="267">
        <f>IF(ISERROR(K96+P97),0,K96+P97)</f>
        <v>0</v>
      </c>
      <c r="Q96" s="267">
        <f t="shared" ref="Q96:Y96" si="48">IF(ISERROR(P96+Q97),0,P96+Q97)</f>
        <v>0</v>
      </c>
      <c r="R96" s="267">
        <f t="shared" si="48"/>
        <v>0</v>
      </c>
      <c r="S96" s="267">
        <f t="shared" si="48"/>
        <v>0</v>
      </c>
      <c r="T96" s="267">
        <f t="shared" si="48"/>
        <v>0</v>
      </c>
      <c r="U96" s="267">
        <f t="shared" si="48"/>
        <v>0</v>
      </c>
      <c r="V96" s="267">
        <f t="shared" si="48"/>
        <v>0</v>
      </c>
      <c r="W96" s="267">
        <f t="shared" si="48"/>
        <v>0</v>
      </c>
      <c r="X96" s="267">
        <f t="shared" si="48"/>
        <v>0</v>
      </c>
      <c r="Y96" s="267">
        <f t="shared" si="48"/>
        <v>0</v>
      </c>
    </row>
    <row r="97" spans="1:25" s="264" customFormat="1" ht="14.15">
      <c r="A97" s="751" t="s">
        <v>699</v>
      </c>
      <c r="B97" s="266"/>
      <c r="C97" s="310" t="s">
        <v>743</v>
      </c>
      <c r="D97" s="519"/>
      <c r="F97" s="260"/>
      <c r="G97" s="310"/>
      <c r="I97" s="267"/>
      <c r="J97" s="267">
        <f>J96-I96</f>
        <v>0</v>
      </c>
      <c r="K97" s="267">
        <f>K96-J96</f>
        <v>0</v>
      </c>
      <c r="L97" s="267">
        <f>IF(L96=0,0,L96-K96)</f>
        <v>0</v>
      </c>
      <c r="M97" s="267">
        <f>IF(M96=0,0,M96-L96)</f>
        <v>0</v>
      </c>
      <c r="N97" s="267">
        <f>IF(N96=0,0,N96-M96)</f>
        <v>0</v>
      </c>
      <c r="O97" s="267">
        <f>IF(O96=0,0,O96-N96)</f>
        <v>0</v>
      </c>
      <c r="P97" s="123">
        <v>0</v>
      </c>
      <c r="Q97" s="123">
        <v>0</v>
      </c>
      <c r="R97" s="123">
        <v>0</v>
      </c>
      <c r="S97" s="123"/>
      <c r="T97" s="123"/>
      <c r="U97" s="123"/>
      <c r="V97" s="123"/>
      <c r="W97" s="123"/>
      <c r="X97" s="123"/>
      <c r="Y97" s="123"/>
    </row>
    <row r="98" spans="1:25" s="264" customFormat="1" ht="14.15">
      <c r="A98" s="750"/>
      <c r="B98" s="266"/>
      <c r="C98" s="310"/>
      <c r="F98" s="260"/>
      <c r="G98" s="310"/>
      <c r="I98" s="267"/>
      <c r="J98" s="267"/>
      <c r="K98" s="267"/>
      <c r="L98" s="478"/>
      <c r="M98" s="478"/>
      <c r="N98" s="478"/>
      <c r="O98" s="478"/>
      <c r="P98" s="326"/>
      <c r="Q98" s="326"/>
      <c r="R98" s="326"/>
      <c r="S98" s="326"/>
      <c r="T98" s="326"/>
      <c r="U98" s="326"/>
      <c r="V98" s="326"/>
      <c r="W98" s="326"/>
      <c r="X98" s="326"/>
      <c r="Y98" s="326"/>
    </row>
    <row r="99" spans="1:25" s="264" customFormat="1" ht="13.75">
      <c r="A99" s="750"/>
      <c r="B99" s="261" t="s">
        <v>744</v>
      </c>
      <c r="C99" s="310"/>
      <c r="G99" s="310"/>
      <c r="I99" s="267">
        <f>资产负债表!Y26</f>
        <v>0</v>
      </c>
      <c r="J99" s="267">
        <f>资产负债表!AC26</f>
        <v>0</v>
      </c>
      <c r="K99" s="267">
        <f>资产负债表!AG26</f>
        <v>0</v>
      </c>
      <c r="L99" s="267">
        <f>资产负债表!AH26</f>
        <v>0</v>
      </c>
      <c r="M99" s="267">
        <f>资产负债表!AI26</f>
        <v>0</v>
      </c>
      <c r="N99" s="267">
        <f>资产负债表!AJ26</f>
        <v>0</v>
      </c>
      <c r="O99" s="267">
        <f>资产负债表!AK26</f>
        <v>0</v>
      </c>
      <c r="P99" s="267">
        <f>IF(ISERROR(K99+P100),0,K99+P100)</f>
        <v>0</v>
      </c>
      <c r="Q99" s="267">
        <f t="shared" ref="Q99:Y99" si="49">IF(ISERROR(P99+Q100),0,P99+Q100)</f>
        <v>0</v>
      </c>
      <c r="R99" s="267">
        <f t="shared" si="49"/>
        <v>0</v>
      </c>
      <c r="S99" s="267">
        <f t="shared" si="49"/>
        <v>0</v>
      </c>
      <c r="T99" s="267">
        <f t="shared" si="49"/>
        <v>0</v>
      </c>
      <c r="U99" s="267">
        <f t="shared" si="49"/>
        <v>0</v>
      </c>
      <c r="V99" s="267">
        <f t="shared" si="49"/>
        <v>0</v>
      </c>
      <c r="W99" s="267">
        <f t="shared" si="49"/>
        <v>0</v>
      </c>
      <c r="X99" s="267">
        <f t="shared" si="49"/>
        <v>0</v>
      </c>
      <c r="Y99" s="267">
        <f t="shared" si="49"/>
        <v>0</v>
      </c>
    </row>
    <row r="100" spans="1:25" ht="13.75">
      <c r="A100" s="751" t="s">
        <v>699</v>
      </c>
      <c r="B100" s="261"/>
      <c r="C100" s="310" t="s">
        <v>743</v>
      </c>
      <c r="D100" s="519"/>
      <c r="G100" s="310"/>
      <c r="I100" s="267"/>
      <c r="J100" s="267">
        <f>J99-I99</f>
        <v>0</v>
      </c>
      <c r="K100" s="267">
        <f>K99-J99</f>
        <v>0</v>
      </c>
      <c r="L100" s="267">
        <f>IF(L99=0,0,L99-K99)</f>
        <v>0</v>
      </c>
      <c r="M100" s="267">
        <f>IF(M99=0,0,M99-L99)</f>
        <v>0</v>
      </c>
      <c r="N100" s="267">
        <f>IF(N99=0,0,N99-M99)</f>
        <v>0</v>
      </c>
      <c r="O100" s="267">
        <f>IF(O99=0,0,O99-N99)</f>
        <v>0</v>
      </c>
      <c r="P100" s="123">
        <v>0</v>
      </c>
      <c r="Q100" s="123">
        <v>0</v>
      </c>
      <c r="R100" s="123">
        <v>0</v>
      </c>
      <c r="S100" s="123"/>
      <c r="T100" s="123"/>
      <c r="U100" s="123"/>
      <c r="V100" s="123"/>
      <c r="W100" s="123">
        <v>0</v>
      </c>
      <c r="X100" s="123"/>
      <c r="Y100" s="123"/>
    </row>
    <row r="101" spans="1:25" ht="13.75">
      <c r="B101" s="261"/>
      <c r="C101" s="310"/>
      <c r="G101" s="310"/>
      <c r="I101" s="267"/>
      <c r="J101" s="267"/>
      <c r="K101" s="267"/>
      <c r="L101" s="478"/>
      <c r="M101" s="478"/>
      <c r="N101" s="478"/>
      <c r="O101" s="478"/>
      <c r="P101" s="326"/>
      <c r="Q101" s="326"/>
      <c r="R101" s="326"/>
      <c r="S101" s="326"/>
      <c r="T101" s="326"/>
      <c r="U101" s="326"/>
      <c r="V101" s="326"/>
      <c r="W101" s="326"/>
      <c r="X101" s="326"/>
      <c r="Y101" s="326"/>
    </row>
    <row r="102" spans="1:25" s="264" customFormat="1" ht="13.75">
      <c r="A102" s="750"/>
      <c r="B102" s="261" t="s">
        <v>742</v>
      </c>
      <c r="C102" s="310"/>
      <c r="G102" s="310"/>
      <c r="I102" s="267">
        <f>资产负债表!Y27</f>
        <v>0</v>
      </c>
      <c r="J102" s="267">
        <f>资产负债表!AC27</f>
        <v>0</v>
      </c>
      <c r="K102" s="267">
        <f>资产负债表!AG27</f>
        <v>0</v>
      </c>
      <c r="L102" s="267">
        <f>资产负债表!AH27</f>
        <v>0</v>
      </c>
      <c r="M102" s="267">
        <f>资产负债表!AI27</f>
        <v>0</v>
      </c>
      <c r="N102" s="267">
        <f>资产负债表!AJ27</f>
        <v>0</v>
      </c>
      <c r="O102" s="267">
        <f>资产负债表!AK27</f>
        <v>0</v>
      </c>
      <c r="P102" s="267">
        <f>IF(ISERROR(K102+P103),0,K102+P103)</f>
        <v>0</v>
      </c>
      <c r="Q102" s="267">
        <f t="shared" ref="Q102:Y102" si="50">IF(ISERROR(P102+Q103),0,P102+Q103)</f>
        <v>0</v>
      </c>
      <c r="R102" s="267">
        <f t="shared" si="50"/>
        <v>0</v>
      </c>
      <c r="S102" s="267">
        <f t="shared" si="50"/>
        <v>0</v>
      </c>
      <c r="T102" s="267">
        <f t="shared" si="50"/>
        <v>0</v>
      </c>
      <c r="U102" s="267">
        <f t="shared" si="50"/>
        <v>0</v>
      </c>
      <c r="V102" s="267">
        <f t="shared" si="50"/>
        <v>0</v>
      </c>
      <c r="W102" s="267">
        <f t="shared" si="50"/>
        <v>0</v>
      </c>
      <c r="X102" s="267">
        <f t="shared" si="50"/>
        <v>0</v>
      </c>
      <c r="Y102" s="267">
        <f t="shared" si="50"/>
        <v>0</v>
      </c>
    </row>
    <row r="103" spans="1:25" s="264" customFormat="1" ht="14.15">
      <c r="A103" s="751" t="s">
        <v>699</v>
      </c>
      <c r="B103" s="266"/>
      <c r="C103" s="310" t="s">
        <v>743</v>
      </c>
      <c r="D103" s="519"/>
      <c r="G103" s="310"/>
      <c r="I103" s="267"/>
      <c r="J103" s="267">
        <f>J102-I102</f>
        <v>0</v>
      </c>
      <c r="K103" s="267">
        <f>K102-J102</f>
        <v>0</v>
      </c>
      <c r="L103" s="267">
        <f>IF(L102=0,0,L102-K102)</f>
        <v>0</v>
      </c>
      <c r="M103" s="267">
        <f>IF(M102=0,0,M102-L102)</f>
        <v>0</v>
      </c>
      <c r="N103" s="267">
        <f>IF(N102=0,0,N102-M102)</f>
        <v>0</v>
      </c>
      <c r="O103" s="267">
        <f>IF(O102=0,0,O102-N102)</f>
        <v>0</v>
      </c>
      <c r="P103" s="123">
        <v>0</v>
      </c>
      <c r="Q103" s="123">
        <v>0</v>
      </c>
      <c r="R103" s="123">
        <v>0</v>
      </c>
      <c r="S103" s="123"/>
      <c r="T103" s="123"/>
      <c r="U103" s="123"/>
      <c r="V103" s="123"/>
      <c r="W103" s="123">
        <v>0</v>
      </c>
      <c r="X103" s="123"/>
      <c r="Y103" s="123"/>
    </row>
    <row r="104" spans="1:25" s="264" customFormat="1" ht="14.15">
      <c r="A104" s="750"/>
      <c r="B104" s="266"/>
      <c r="C104" s="310"/>
      <c r="G104" s="310"/>
      <c r="I104" s="267"/>
      <c r="J104" s="267"/>
      <c r="K104" s="317"/>
      <c r="L104" s="321"/>
      <c r="M104" s="321"/>
      <c r="N104" s="321"/>
      <c r="O104" s="321"/>
      <c r="P104" s="321"/>
      <c r="Q104" s="317"/>
      <c r="R104" s="317"/>
      <c r="S104" s="317"/>
      <c r="T104" s="317"/>
      <c r="U104" s="317"/>
      <c r="V104" s="317"/>
      <c r="W104" s="317"/>
      <c r="X104" s="317"/>
      <c r="Y104" s="317"/>
    </row>
    <row r="105" spans="1:25" s="264" customFormat="1" ht="13.75">
      <c r="A105" s="750"/>
      <c r="B105" s="261" t="s">
        <v>994</v>
      </c>
      <c r="C105" s="310"/>
      <c r="F105" s="260"/>
      <c r="G105" s="310"/>
      <c r="I105" s="267">
        <f>资产负债表!Y28</f>
        <v>0</v>
      </c>
      <c r="J105" s="267">
        <f>资产负债表!AC28</f>
        <v>0</v>
      </c>
      <c r="K105" s="267">
        <f>资产负债表!AG28</f>
        <v>0</v>
      </c>
      <c r="L105" s="267">
        <f>资产负债表!AH28</f>
        <v>0</v>
      </c>
      <c r="M105" s="267">
        <f>资产负债表!AI28</f>
        <v>0</v>
      </c>
      <c r="N105" s="267">
        <f>资产负债表!AJ28</f>
        <v>0</v>
      </c>
      <c r="O105" s="267">
        <f>资产负债表!AK28</f>
        <v>0</v>
      </c>
      <c r="P105" s="267">
        <f>IF(ISERROR(K105+P106),0,K105+P106)</f>
        <v>0</v>
      </c>
      <c r="Q105" s="267">
        <f t="shared" ref="Q105:Y105" si="51">IF(ISERROR(P105+Q106),0,P105+Q106)</f>
        <v>0</v>
      </c>
      <c r="R105" s="267">
        <f t="shared" si="51"/>
        <v>0</v>
      </c>
      <c r="S105" s="267">
        <f t="shared" si="51"/>
        <v>0</v>
      </c>
      <c r="T105" s="267">
        <f t="shared" si="51"/>
        <v>0</v>
      </c>
      <c r="U105" s="267">
        <f t="shared" si="51"/>
        <v>0</v>
      </c>
      <c r="V105" s="267">
        <f t="shared" si="51"/>
        <v>0</v>
      </c>
      <c r="W105" s="267">
        <f t="shared" si="51"/>
        <v>0</v>
      </c>
      <c r="X105" s="267">
        <f t="shared" si="51"/>
        <v>0</v>
      </c>
      <c r="Y105" s="267">
        <f t="shared" si="51"/>
        <v>0</v>
      </c>
    </row>
    <row r="106" spans="1:25" s="264" customFormat="1" ht="14.15">
      <c r="A106" s="751" t="s">
        <v>699</v>
      </c>
      <c r="B106" s="266"/>
      <c r="C106" s="310" t="s">
        <v>743</v>
      </c>
      <c r="D106" s="519"/>
      <c r="F106" s="260"/>
      <c r="G106" s="310"/>
      <c r="I106" s="267"/>
      <c r="J106" s="267">
        <f>J105-I105</f>
        <v>0</v>
      </c>
      <c r="K106" s="267">
        <f>K105-J105</f>
        <v>0</v>
      </c>
      <c r="L106" s="267">
        <f>IF(L105=0,0,L105-K105)</f>
        <v>0</v>
      </c>
      <c r="M106" s="267">
        <f>IF(M105=0,0,M105-L105)</f>
        <v>0</v>
      </c>
      <c r="N106" s="267">
        <f>IF(N105=0,0,N105-M105)</f>
        <v>0</v>
      </c>
      <c r="O106" s="267">
        <f>IF(O105=0,0,O105-N105)</f>
        <v>0</v>
      </c>
      <c r="P106" s="123">
        <v>0</v>
      </c>
      <c r="Q106" s="123">
        <v>0</v>
      </c>
      <c r="R106" s="123">
        <v>0</v>
      </c>
      <c r="S106" s="123"/>
      <c r="T106" s="123"/>
      <c r="U106" s="123"/>
      <c r="V106" s="123"/>
      <c r="W106" s="123"/>
      <c r="X106" s="123"/>
      <c r="Y106" s="123"/>
    </row>
    <row r="107" spans="1:25" ht="14.15">
      <c r="B107" s="261"/>
      <c r="C107" s="310"/>
      <c r="G107" s="310"/>
      <c r="I107" s="267"/>
      <c r="J107" s="267"/>
      <c r="K107" s="267"/>
      <c r="L107" s="331"/>
      <c r="M107" s="331"/>
      <c r="N107" s="331"/>
      <c r="O107" s="331"/>
      <c r="P107" s="331"/>
      <c r="Q107" s="267"/>
      <c r="R107" s="267"/>
      <c r="S107" s="267"/>
      <c r="T107" s="267"/>
      <c r="U107" s="267"/>
      <c r="V107" s="267"/>
      <c r="W107" s="267"/>
      <c r="X107" s="267"/>
      <c r="Y107" s="267"/>
    </row>
    <row r="108" spans="1:25" ht="13.75">
      <c r="B108" s="564" t="s">
        <v>1062</v>
      </c>
      <c r="C108" s="310"/>
      <c r="G108" s="310"/>
      <c r="I108" s="267">
        <f>资产负债表!Y39</f>
        <v>0</v>
      </c>
      <c r="J108" s="267">
        <f>资产负债表!AC39</f>
        <v>0</v>
      </c>
      <c r="K108" s="267">
        <f>资产负债表!AG39</f>
        <v>0</v>
      </c>
      <c r="L108" s="267">
        <f>资产负债表!AH39</f>
        <v>0</v>
      </c>
      <c r="M108" s="267">
        <f>资产负债表!AI39</f>
        <v>0</v>
      </c>
      <c r="N108" s="267">
        <f>资产负债表!AJ39</f>
        <v>0</v>
      </c>
      <c r="O108" s="267">
        <f>资产负债表!AK39</f>
        <v>0</v>
      </c>
      <c r="P108" s="267">
        <f>IF(ISERROR(K108+P109-P110),0,K108+P109-P110)</f>
        <v>0</v>
      </c>
      <c r="Q108" s="267">
        <f>IF(ISERROR(P108+Q109-Q110),0,P108+Q109-Q110)</f>
        <v>0</v>
      </c>
      <c r="R108" s="267">
        <f t="shared" ref="R108:Y108" si="52">IF(ISERROR(Q108+R109-R110),0,Q108+R109-R110)</f>
        <v>0</v>
      </c>
      <c r="S108" s="267">
        <f t="shared" si="52"/>
        <v>0</v>
      </c>
      <c r="T108" s="267">
        <f t="shared" si="52"/>
        <v>0</v>
      </c>
      <c r="U108" s="267">
        <f t="shared" si="52"/>
        <v>0</v>
      </c>
      <c r="V108" s="267">
        <f t="shared" si="52"/>
        <v>0</v>
      </c>
      <c r="W108" s="267">
        <f t="shared" si="52"/>
        <v>0</v>
      </c>
      <c r="X108" s="267">
        <f t="shared" si="52"/>
        <v>0</v>
      </c>
      <c r="Y108" s="267">
        <f t="shared" si="52"/>
        <v>0</v>
      </c>
    </row>
    <row r="109" spans="1:25" ht="13.75">
      <c r="A109" s="751" t="s">
        <v>699</v>
      </c>
      <c r="B109" s="261"/>
      <c r="C109" s="565" t="s">
        <v>1063</v>
      </c>
      <c r="D109" s="519"/>
      <c r="G109" s="310"/>
      <c r="I109" s="267"/>
      <c r="J109" s="267">
        <f>J108-I108</f>
        <v>0</v>
      </c>
      <c r="K109" s="267">
        <f>K108-J108</f>
        <v>0</v>
      </c>
      <c r="L109" s="267">
        <f>IF(L108=0,0,L108-K108)</f>
        <v>0</v>
      </c>
      <c r="M109" s="267">
        <f>IF(M108=0,0,M108-L108)</f>
        <v>0</v>
      </c>
      <c r="N109" s="267">
        <f>IF(N108=0,0,N108-M108)</f>
        <v>0</v>
      </c>
      <c r="O109" s="267">
        <f>IF(O108=0,0,O108-N108)</f>
        <v>0</v>
      </c>
      <c r="P109" s="123">
        <v>0</v>
      </c>
      <c r="Q109" s="123">
        <v>0</v>
      </c>
      <c r="R109" s="123">
        <v>0</v>
      </c>
      <c r="S109" s="123"/>
      <c r="T109" s="123"/>
      <c r="U109" s="123"/>
      <c r="V109" s="123"/>
      <c r="W109" s="123"/>
      <c r="X109" s="123"/>
      <c r="Y109" s="123"/>
    </row>
    <row r="110" spans="1:25" ht="14.15">
      <c r="A110" s="751" t="s">
        <v>699</v>
      </c>
      <c r="B110" s="261"/>
      <c r="C110" s="565" t="s">
        <v>1064</v>
      </c>
      <c r="D110" s="519"/>
      <c r="G110" s="310"/>
      <c r="I110" s="267"/>
      <c r="J110" s="267"/>
      <c r="K110" s="267"/>
      <c r="L110" s="331"/>
      <c r="M110" s="331"/>
      <c r="N110" s="331"/>
      <c r="O110" s="331"/>
      <c r="P110" s="123">
        <v>0</v>
      </c>
      <c r="Q110" s="123">
        <v>0</v>
      </c>
      <c r="R110" s="123">
        <v>0</v>
      </c>
      <c r="S110" s="123"/>
      <c r="T110" s="123"/>
      <c r="U110" s="123"/>
      <c r="V110" s="123"/>
      <c r="W110" s="123"/>
      <c r="X110" s="123"/>
      <c r="Y110" s="123"/>
    </row>
    <row r="111" spans="1:25" ht="14.15">
      <c r="B111" s="261"/>
      <c r="C111" s="310"/>
      <c r="G111" s="310"/>
      <c r="I111" s="331"/>
      <c r="J111" s="267"/>
      <c r="K111" s="267"/>
      <c r="L111" s="331"/>
      <c r="M111" s="331"/>
      <c r="N111" s="331"/>
      <c r="O111" s="331"/>
      <c r="P111" s="331"/>
      <c r="Q111" s="267"/>
      <c r="R111" s="267"/>
      <c r="S111" s="267"/>
      <c r="T111" s="267"/>
      <c r="U111" s="267"/>
      <c r="V111" s="267"/>
      <c r="W111" s="267"/>
      <c r="X111" s="267"/>
      <c r="Y111" s="267"/>
    </row>
    <row r="112" spans="1:25" s="332" customFormat="1" ht="14.15">
      <c r="A112" s="752"/>
      <c r="B112" s="564" t="s">
        <v>1065</v>
      </c>
      <c r="C112" s="265"/>
      <c r="G112" s="265"/>
      <c r="I112" s="263"/>
      <c r="J112" s="333"/>
      <c r="K112" s="333"/>
      <c r="L112" s="263"/>
      <c r="M112" s="263"/>
      <c r="N112" s="263"/>
      <c r="O112" s="263"/>
      <c r="P112" s="263"/>
      <c r="Q112" s="333"/>
      <c r="R112" s="333"/>
      <c r="S112" s="333"/>
      <c r="T112" s="333"/>
      <c r="U112" s="333"/>
      <c r="V112" s="333"/>
      <c r="W112" s="333"/>
      <c r="X112" s="333"/>
      <c r="Y112" s="333"/>
    </row>
    <row r="113" spans="1:31" s="264" customFormat="1" ht="14.15">
      <c r="A113" s="750"/>
      <c r="B113" s="261" t="s">
        <v>745</v>
      </c>
      <c r="C113" s="266"/>
      <c r="G113" s="266"/>
      <c r="I113" s="326"/>
    </row>
    <row r="114" spans="1:31" s="264" customFormat="1" ht="13.75">
      <c r="A114" s="750"/>
      <c r="C114" s="330" t="s">
        <v>988</v>
      </c>
      <c r="G114" s="330"/>
      <c r="I114" s="306">
        <f>财务附注数据!Z6*目录!$D$6</f>
        <v>0</v>
      </c>
      <c r="J114" s="306">
        <f>I116</f>
        <v>0</v>
      </c>
      <c r="K114" s="306">
        <f>J116</f>
        <v>0</v>
      </c>
      <c r="L114" s="306"/>
      <c r="M114" s="306">
        <f>IF(M116=0,0,K116)</f>
        <v>0</v>
      </c>
      <c r="N114" s="306"/>
      <c r="O114" s="306">
        <f>IF(O116=0,0,M116)</f>
        <v>0</v>
      </c>
      <c r="P114" s="306">
        <f>K116</f>
        <v>0</v>
      </c>
      <c r="Q114" s="306">
        <f t="shared" ref="Q114:Y114" si="53">P116</f>
        <v>0</v>
      </c>
      <c r="R114" s="306">
        <f t="shared" si="53"/>
        <v>0</v>
      </c>
      <c r="S114" s="306">
        <f t="shared" si="53"/>
        <v>0</v>
      </c>
      <c r="T114" s="306">
        <f t="shared" si="53"/>
        <v>0</v>
      </c>
      <c r="U114" s="306">
        <f t="shared" si="53"/>
        <v>0</v>
      </c>
      <c r="V114" s="306">
        <f t="shared" si="53"/>
        <v>0</v>
      </c>
      <c r="W114" s="306">
        <f t="shared" si="53"/>
        <v>0</v>
      </c>
      <c r="X114" s="306">
        <f t="shared" si="53"/>
        <v>0</v>
      </c>
      <c r="Y114" s="306">
        <f t="shared" si="53"/>
        <v>0</v>
      </c>
    </row>
    <row r="115" spans="1:31" s="264" customFormat="1" ht="13.75">
      <c r="A115" s="750"/>
      <c r="C115" s="782" t="s">
        <v>1067</v>
      </c>
      <c r="E115" s="260" t="s">
        <v>1248</v>
      </c>
      <c r="F115" s="260"/>
      <c r="G115" s="330"/>
      <c r="I115" s="267">
        <f>I116-I114</f>
        <v>0</v>
      </c>
      <c r="J115" s="267">
        <f>J116-J114</f>
        <v>0</v>
      </c>
      <c r="K115" s="267">
        <f>K116-K114</f>
        <v>0</v>
      </c>
      <c r="L115" s="267"/>
      <c r="M115" s="267">
        <f>M116-M114</f>
        <v>0</v>
      </c>
      <c r="N115" s="267"/>
      <c r="O115" s="267">
        <f>O116-O114</f>
        <v>0</v>
      </c>
      <c r="P115" s="87">
        <f>折旧摊销测算!D76*100</f>
        <v>0</v>
      </c>
      <c r="Q115" s="87">
        <f>折旧摊销测算!E76*100</f>
        <v>0</v>
      </c>
      <c r="R115" s="87">
        <f>折旧摊销测算!F76*100</f>
        <v>0</v>
      </c>
      <c r="S115" s="87"/>
      <c r="T115" s="87"/>
      <c r="U115" s="87"/>
      <c r="V115" s="87"/>
      <c r="W115" s="87"/>
      <c r="X115" s="87"/>
      <c r="Y115" s="87"/>
    </row>
    <row r="116" spans="1:31" s="264" customFormat="1" ht="13.75">
      <c r="A116" s="750"/>
      <c r="C116" s="330" t="s">
        <v>989</v>
      </c>
      <c r="E116" s="260"/>
      <c r="F116" s="260"/>
      <c r="G116" s="330"/>
      <c r="I116" s="306">
        <f>财务附注数据!AD6*目录!$D$6</f>
        <v>0</v>
      </c>
      <c r="J116" s="306">
        <f>财务附注数据!AH6*目录!$D$6</f>
        <v>0</v>
      </c>
      <c r="K116" s="306">
        <f>财务附注数据!AL6*目录!$D$6</f>
        <v>0</v>
      </c>
      <c r="L116" s="306">
        <f>财务附注数据!AM6*目录!$D$6</f>
        <v>0</v>
      </c>
      <c r="M116" s="306">
        <f>财务附注数据!AN6*目录!$D$6</f>
        <v>0</v>
      </c>
      <c r="N116" s="306">
        <f>财务附注数据!AO6*目录!$D$6</f>
        <v>0</v>
      </c>
      <c r="O116" s="306">
        <f>财务附注数据!AP6*目录!$D$6</f>
        <v>0</v>
      </c>
      <c r="P116" s="306">
        <f>P114+P115</f>
        <v>0</v>
      </c>
      <c r="Q116" s="306">
        <f t="shared" ref="Q116:Y116" si="54">Q114+Q115</f>
        <v>0</v>
      </c>
      <c r="R116" s="306">
        <f t="shared" si="54"/>
        <v>0</v>
      </c>
      <c r="S116" s="306">
        <f t="shared" si="54"/>
        <v>0</v>
      </c>
      <c r="T116" s="306">
        <f t="shared" si="54"/>
        <v>0</v>
      </c>
      <c r="U116" s="306">
        <f t="shared" si="54"/>
        <v>0</v>
      </c>
      <c r="V116" s="306">
        <f t="shared" si="54"/>
        <v>0</v>
      </c>
      <c r="W116" s="306">
        <f t="shared" si="54"/>
        <v>0</v>
      </c>
      <c r="X116" s="306">
        <f t="shared" si="54"/>
        <v>0</v>
      </c>
      <c r="Y116" s="306">
        <f t="shared" si="54"/>
        <v>0</v>
      </c>
    </row>
    <row r="117" spans="1:31">
      <c r="B117" s="329"/>
      <c r="I117" s="306"/>
      <c r="J117" s="306"/>
      <c r="K117" s="306"/>
      <c r="L117" s="306"/>
      <c r="M117" s="306"/>
      <c r="N117" s="306"/>
      <c r="O117" s="306"/>
      <c r="P117" s="306"/>
      <c r="Q117" s="306"/>
      <c r="R117" s="306"/>
      <c r="S117" s="306"/>
      <c r="T117" s="306"/>
      <c r="U117" s="306"/>
      <c r="V117" s="306"/>
      <c r="W117" s="306"/>
      <c r="X117" s="306"/>
      <c r="Y117" s="306"/>
    </row>
    <row r="118" spans="1:31" ht="13.75">
      <c r="B118" s="329"/>
      <c r="C118" s="325" t="s">
        <v>990</v>
      </c>
      <c r="I118" s="306">
        <f>财务附注数据!Z7*目录!$D$6</f>
        <v>0</v>
      </c>
      <c r="J118" s="306">
        <f>I120</f>
        <v>0</v>
      </c>
      <c r="K118" s="306">
        <f>J120</f>
        <v>0</v>
      </c>
      <c r="L118" s="306"/>
      <c r="M118" s="306">
        <f>IF(M120=0,0,K120)</f>
        <v>0</v>
      </c>
      <c r="N118" s="306"/>
      <c r="O118" s="306">
        <f>IF(O120=0,0,M120)</f>
        <v>0</v>
      </c>
      <c r="P118" s="306">
        <f>K120</f>
        <v>0</v>
      </c>
      <c r="Q118" s="306">
        <f>P120</f>
        <v>0</v>
      </c>
      <c r="R118" s="306">
        <f t="shared" ref="R118:Y118" si="55">Q120</f>
        <v>0</v>
      </c>
      <c r="S118" s="306">
        <f t="shared" si="55"/>
        <v>0</v>
      </c>
      <c r="T118" s="306">
        <f t="shared" si="55"/>
        <v>0</v>
      </c>
      <c r="U118" s="306">
        <f t="shared" si="55"/>
        <v>0</v>
      </c>
      <c r="V118" s="306">
        <f t="shared" si="55"/>
        <v>0</v>
      </c>
      <c r="W118" s="306">
        <f t="shared" si="55"/>
        <v>0</v>
      </c>
      <c r="X118" s="306">
        <f t="shared" si="55"/>
        <v>0</v>
      </c>
      <c r="Y118" s="306">
        <f t="shared" si="55"/>
        <v>0</v>
      </c>
    </row>
    <row r="119" spans="1:31" s="264" customFormat="1" ht="14.15">
      <c r="A119" s="750"/>
      <c r="C119" s="782" t="s">
        <v>1068</v>
      </c>
      <c r="E119" s="260" t="s">
        <v>1247</v>
      </c>
      <c r="G119" s="334"/>
      <c r="I119" s="267">
        <f>I120-I118</f>
        <v>0</v>
      </c>
      <c r="J119" s="267">
        <f>J120-J118</f>
        <v>0</v>
      </c>
      <c r="K119" s="267">
        <f>K120-K118</f>
        <v>0</v>
      </c>
      <c r="L119" s="267"/>
      <c r="M119" s="267">
        <f>M120-M118</f>
        <v>0</v>
      </c>
      <c r="N119" s="267"/>
      <c r="O119" s="267">
        <f>O120-O118</f>
        <v>0</v>
      </c>
      <c r="P119" s="87">
        <f>折旧摊销测算!D77*100</f>
        <v>0</v>
      </c>
      <c r="Q119" s="87">
        <f>折旧摊销测算!E77*100</f>
        <v>0</v>
      </c>
      <c r="R119" s="87">
        <f>折旧摊销测算!F77*100</f>
        <v>0</v>
      </c>
      <c r="S119" s="87"/>
      <c r="T119" s="87"/>
      <c r="U119" s="87"/>
      <c r="V119" s="87"/>
      <c r="W119" s="87"/>
      <c r="X119" s="87"/>
      <c r="Y119" s="87"/>
      <c r="AE119" s="342"/>
    </row>
    <row r="120" spans="1:31" s="264" customFormat="1" ht="13.75">
      <c r="A120" s="750"/>
      <c r="C120" s="325" t="s">
        <v>991</v>
      </c>
      <c r="E120" s="260"/>
      <c r="F120" s="260"/>
      <c r="G120" s="335"/>
      <c r="I120" s="306">
        <f>财务附注数据!AD7*目录!$D$6</f>
        <v>0</v>
      </c>
      <c r="J120" s="306">
        <f>财务附注数据!AH7*目录!$D$6</f>
        <v>0</v>
      </c>
      <c r="K120" s="306">
        <f>财务附注数据!AL7*目录!$D$6</f>
        <v>0</v>
      </c>
      <c r="L120" s="306">
        <f>财务附注数据!AM7*目录!$D$6</f>
        <v>0</v>
      </c>
      <c r="M120" s="306">
        <f>财务附注数据!AN7*目录!$D$6</f>
        <v>0</v>
      </c>
      <c r="N120" s="306">
        <f>财务附注数据!AO7*目录!$D$6</f>
        <v>0</v>
      </c>
      <c r="O120" s="306">
        <f>财务附注数据!AP7*目录!$D$6</f>
        <v>0</v>
      </c>
      <c r="P120" s="306">
        <f t="shared" ref="P120:Y120" si="56">P118+P119</f>
        <v>0</v>
      </c>
      <c r="Q120" s="306">
        <f t="shared" si="56"/>
        <v>0</v>
      </c>
      <c r="R120" s="306">
        <f t="shared" si="56"/>
        <v>0</v>
      </c>
      <c r="S120" s="306">
        <f t="shared" si="56"/>
        <v>0</v>
      </c>
      <c r="T120" s="306">
        <f t="shared" si="56"/>
        <v>0</v>
      </c>
      <c r="U120" s="306">
        <f t="shared" si="56"/>
        <v>0</v>
      </c>
      <c r="V120" s="306">
        <f t="shared" si="56"/>
        <v>0</v>
      </c>
      <c r="W120" s="306">
        <f t="shared" si="56"/>
        <v>0</v>
      </c>
      <c r="X120" s="306">
        <f t="shared" si="56"/>
        <v>0</v>
      </c>
      <c r="Y120" s="306">
        <f t="shared" si="56"/>
        <v>0</v>
      </c>
    </row>
    <row r="121" spans="1:31" s="264" customFormat="1" ht="13.75">
      <c r="A121" s="750"/>
      <c r="C121" s="325"/>
      <c r="E121" s="260"/>
      <c r="F121" s="260"/>
      <c r="G121" s="335"/>
      <c r="I121" s="306"/>
      <c r="J121" s="306"/>
      <c r="K121" s="306"/>
      <c r="L121" s="306"/>
      <c r="M121" s="306"/>
      <c r="N121" s="306"/>
      <c r="O121" s="306"/>
      <c r="P121" s="306"/>
      <c r="Q121" s="306"/>
      <c r="R121" s="306"/>
      <c r="S121" s="306"/>
      <c r="T121" s="306"/>
      <c r="U121" s="306"/>
      <c r="V121" s="306"/>
      <c r="W121" s="306"/>
      <c r="X121" s="306"/>
      <c r="Y121" s="306"/>
    </row>
    <row r="122" spans="1:31" s="264" customFormat="1" ht="13.75">
      <c r="A122" s="750"/>
      <c r="B122" s="330"/>
      <c r="C122" s="325" t="s">
        <v>1001</v>
      </c>
      <c r="E122" s="260"/>
      <c r="G122" s="310"/>
      <c r="I122" s="306">
        <f>财务附注数据!Z9*目录!$D$6</f>
        <v>0</v>
      </c>
      <c r="J122" s="306">
        <f>I124</f>
        <v>0</v>
      </c>
      <c r="K122" s="306">
        <f>J124</f>
        <v>0</v>
      </c>
      <c r="L122" s="306"/>
      <c r="M122" s="306">
        <f>IF(M124=0,0,K124)</f>
        <v>0</v>
      </c>
      <c r="N122" s="306"/>
      <c r="O122" s="306">
        <f>IF(O124=0,0,M124)</f>
        <v>0</v>
      </c>
      <c r="P122" s="306">
        <f>K124</f>
        <v>0</v>
      </c>
      <c r="Q122" s="306">
        <f>P124</f>
        <v>0</v>
      </c>
      <c r="R122" s="306">
        <f t="shared" ref="R122:Y122" si="57">Q124</f>
        <v>0</v>
      </c>
      <c r="S122" s="306">
        <f t="shared" si="57"/>
        <v>0</v>
      </c>
      <c r="T122" s="306">
        <f t="shared" si="57"/>
        <v>0</v>
      </c>
      <c r="U122" s="306">
        <f t="shared" si="57"/>
        <v>0</v>
      </c>
      <c r="V122" s="306">
        <f t="shared" si="57"/>
        <v>0</v>
      </c>
      <c r="W122" s="306">
        <f t="shared" si="57"/>
        <v>0</v>
      </c>
      <c r="X122" s="306">
        <f t="shared" si="57"/>
        <v>0</v>
      </c>
      <c r="Y122" s="306">
        <f t="shared" si="57"/>
        <v>0</v>
      </c>
    </row>
    <row r="123" spans="1:31" ht="13.75">
      <c r="B123" s="575" t="s">
        <v>1070</v>
      </c>
      <c r="E123" s="260" t="s">
        <v>1164</v>
      </c>
      <c r="I123" s="267">
        <f>I124-I122</f>
        <v>0</v>
      </c>
      <c r="J123" s="267">
        <f>J124-J122</f>
        <v>0</v>
      </c>
      <c r="K123" s="267">
        <f>K124-K122</f>
        <v>0</v>
      </c>
      <c r="L123" s="267">
        <v>0</v>
      </c>
      <c r="M123" s="267">
        <f>M124-M122</f>
        <v>0</v>
      </c>
      <c r="N123" s="267">
        <v>0</v>
      </c>
      <c r="O123" s="267">
        <f>O124-O122</f>
        <v>0</v>
      </c>
      <c r="P123" s="123">
        <v>0</v>
      </c>
      <c r="Q123" s="123">
        <v>0</v>
      </c>
      <c r="R123" s="123">
        <v>0</v>
      </c>
      <c r="S123" s="123"/>
      <c r="T123" s="123"/>
      <c r="U123" s="123"/>
      <c r="V123" s="123"/>
      <c r="W123" s="123"/>
      <c r="X123" s="123"/>
      <c r="Y123" s="123"/>
      <c r="AE123" s="20"/>
    </row>
    <row r="124" spans="1:31" ht="13.75">
      <c r="B124" s="307"/>
      <c r="C124" s="325" t="s">
        <v>1007</v>
      </c>
      <c r="I124" s="306">
        <f>财务附注数据!AD9*目录!$D$6</f>
        <v>0</v>
      </c>
      <c r="J124" s="306">
        <f>财务附注数据!AH9*目录!$D$6</f>
        <v>0</v>
      </c>
      <c r="K124" s="306">
        <f>财务附注数据!AL9*目录!$D$6</f>
        <v>0</v>
      </c>
      <c r="L124" s="306">
        <f>财务附注数据!AM9*目录!$D$6</f>
        <v>0</v>
      </c>
      <c r="M124" s="306">
        <f>财务附注数据!AN9*目录!$D$6</f>
        <v>0</v>
      </c>
      <c r="N124" s="306">
        <f>财务附注数据!AO9*目录!$D$6</f>
        <v>0</v>
      </c>
      <c r="O124" s="306">
        <f>财务附注数据!AP9*目录!$D$6</f>
        <v>0</v>
      </c>
      <c r="P124" s="306">
        <f t="shared" ref="P124:Y124" si="58">P122+P123</f>
        <v>0</v>
      </c>
      <c r="Q124" s="306">
        <f t="shared" si="58"/>
        <v>0</v>
      </c>
      <c r="R124" s="306">
        <f t="shared" si="58"/>
        <v>0</v>
      </c>
      <c r="S124" s="306">
        <f t="shared" si="58"/>
        <v>0</v>
      </c>
      <c r="T124" s="306">
        <f t="shared" si="58"/>
        <v>0</v>
      </c>
      <c r="U124" s="306">
        <f t="shared" si="58"/>
        <v>0</v>
      </c>
      <c r="V124" s="306">
        <f t="shared" si="58"/>
        <v>0</v>
      </c>
      <c r="W124" s="306">
        <f t="shared" si="58"/>
        <v>0</v>
      </c>
      <c r="X124" s="306">
        <f t="shared" si="58"/>
        <v>0</v>
      </c>
      <c r="Y124" s="306">
        <f t="shared" si="58"/>
        <v>0</v>
      </c>
    </row>
    <row r="125" spans="1:31" ht="13.75">
      <c r="B125" s="307"/>
      <c r="C125" s="668" t="s">
        <v>1217</v>
      </c>
      <c r="I125" s="306">
        <f>I128-I116+I120+I124</f>
        <v>0</v>
      </c>
      <c r="J125" s="306">
        <f t="shared" ref="J125:O125" si="59">J128-J116+J120+J124</f>
        <v>0</v>
      </c>
      <c r="K125" s="306">
        <f>K128-K116+K120+K124</f>
        <v>0</v>
      </c>
      <c r="L125" s="306"/>
      <c r="M125" s="306">
        <f t="shared" si="59"/>
        <v>0</v>
      </c>
      <c r="N125" s="306"/>
      <c r="O125" s="306">
        <f t="shared" si="59"/>
        <v>0</v>
      </c>
      <c r="P125" s="123">
        <v>0</v>
      </c>
      <c r="Q125" s="123">
        <v>0</v>
      </c>
      <c r="R125" s="123">
        <v>0</v>
      </c>
      <c r="S125" s="123"/>
      <c r="T125" s="123"/>
      <c r="U125" s="123"/>
      <c r="V125" s="123"/>
      <c r="W125" s="123"/>
      <c r="X125" s="123"/>
      <c r="Y125" s="123"/>
    </row>
    <row r="126" spans="1:31" ht="14.15">
      <c r="B126" s="307"/>
      <c r="C126" s="580" t="s">
        <v>1069</v>
      </c>
      <c r="D126" s="634"/>
      <c r="I126" s="306"/>
      <c r="J126" s="306"/>
      <c r="K126" s="306"/>
      <c r="L126" s="306"/>
      <c r="M126" s="306"/>
      <c r="N126" s="306"/>
      <c r="O126" s="306"/>
      <c r="P126" s="306">
        <f>P133</f>
        <v>0</v>
      </c>
      <c r="Q126" s="306">
        <f t="shared" ref="Q126:Y126" si="60">Q133</f>
        <v>0</v>
      </c>
      <c r="R126" s="306">
        <f t="shared" si="60"/>
        <v>0</v>
      </c>
      <c r="S126" s="306">
        <f t="shared" si="60"/>
        <v>0</v>
      </c>
      <c r="T126" s="306">
        <f t="shared" si="60"/>
        <v>0</v>
      </c>
      <c r="U126" s="306">
        <f t="shared" si="60"/>
        <v>0</v>
      </c>
      <c r="V126" s="306">
        <f t="shared" si="60"/>
        <v>0</v>
      </c>
      <c r="W126" s="306">
        <f t="shared" si="60"/>
        <v>0</v>
      </c>
      <c r="X126" s="306">
        <f t="shared" si="60"/>
        <v>0</v>
      </c>
      <c r="Y126" s="306">
        <f t="shared" si="60"/>
        <v>0</v>
      </c>
    </row>
    <row r="127" spans="1:31" ht="13.75">
      <c r="A127" s="751" t="s">
        <v>699</v>
      </c>
      <c r="B127" s="307"/>
      <c r="C127" s="635" t="s">
        <v>1190</v>
      </c>
      <c r="D127" s="519"/>
      <c r="I127" s="306"/>
      <c r="J127" s="306"/>
      <c r="K127" s="306"/>
      <c r="L127" s="306"/>
      <c r="M127" s="306"/>
      <c r="N127" s="306"/>
      <c r="O127" s="306"/>
      <c r="P127" s="633"/>
      <c r="Q127" s="633"/>
      <c r="R127" s="633"/>
      <c r="S127" s="633"/>
      <c r="T127" s="633"/>
      <c r="U127" s="633"/>
      <c r="V127" s="633"/>
      <c r="W127" s="633"/>
      <c r="X127" s="633"/>
      <c r="Y127" s="633"/>
    </row>
    <row r="128" spans="1:31" s="264" customFormat="1" ht="13.75">
      <c r="A128" s="750"/>
      <c r="B128" s="325" t="s">
        <v>747</v>
      </c>
      <c r="C128" s="330"/>
      <c r="E128" s="260"/>
      <c r="G128" s="330"/>
      <c r="I128" s="306">
        <f>资产负债表!Y31</f>
        <v>0</v>
      </c>
      <c r="J128" s="306">
        <f>IF(ISERROR(资产负债表!AC31),0,资产负债表!AC31)</f>
        <v>0</v>
      </c>
      <c r="K128" s="306">
        <f>IF(ISERROR(资产负债表!AG31),0,资产负债表!AG31)</f>
        <v>0</v>
      </c>
      <c r="L128" s="306">
        <f>IF(ISERROR(资产负债表!AH31),0,资产负债表!AH31)</f>
        <v>0</v>
      </c>
      <c r="M128" s="306">
        <f>IF(ISERROR(资产负债表!AI31),0,资产负债表!AI31)</f>
        <v>0</v>
      </c>
      <c r="N128" s="306">
        <f>IF(ISERROR(资产负债表!AJ31),0,资产负债表!AJ31)</f>
        <v>0</v>
      </c>
      <c r="O128" s="306">
        <f>IF(ISERROR(资产负债表!AK31),0,资产负债表!AK31)</f>
        <v>0</v>
      </c>
      <c r="P128" s="306">
        <f>K128+P115-P119-P123+P125+P126+P127</f>
        <v>0</v>
      </c>
      <c r="Q128" s="306">
        <f>P128+Q115-Q119-Q123+Q125+Q126+Q127</f>
        <v>0</v>
      </c>
      <c r="R128" s="306">
        <f t="shared" ref="R128:Y128" si="61">Q128+R115-R119-R123+R125+R126+R127</f>
        <v>0</v>
      </c>
      <c r="S128" s="306">
        <f t="shared" si="61"/>
        <v>0</v>
      </c>
      <c r="T128" s="306">
        <f t="shared" si="61"/>
        <v>0</v>
      </c>
      <c r="U128" s="306">
        <f t="shared" si="61"/>
        <v>0</v>
      </c>
      <c r="V128" s="306">
        <f t="shared" si="61"/>
        <v>0</v>
      </c>
      <c r="W128" s="306">
        <f t="shared" si="61"/>
        <v>0</v>
      </c>
      <c r="X128" s="306">
        <f t="shared" si="61"/>
        <v>0</v>
      </c>
      <c r="Y128" s="306">
        <f t="shared" si="61"/>
        <v>0</v>
      </c>
    </row>
    <row r="129" spans="1:31" s="264" customFormat="1" ht="13.75">
      <c r="A129" s="750"/>
      <c r="B129" s="325"/>
      <c r="C129" s="330"/>
      <c r="E129" s="260"/>
      <c r="G129" s="647" t="s">
        <v>1198</v>
      </c>
      <c r="I129" s="306"/>
      <c r="J129" s="306"/>
      <c r="K129" s="306"/>
      <c r="L129" s="306"/>
      <c r="M129" s="306"/>
      <c r="N129" s="306"/>
      <c r="O129" s="306"/>
      <c r="P129" s="306"/>
      <c r="Q129" s="306"/>
      <c r="R129" s="306"/>
      <c r="S129" s="306"/>
      <c r="T129" s="306"/>
      <c r="U129" s="306"/>
      <c r="V129" s="306"/>
      <c r="W129" s="306"/>
      <c r="X129" s="306"/>
      <c r="Y129" s="306"/>
    </row>
    <row r="130" spans="1:31" ht="14.15">
      <c r="B130" s="261" t="s">
        <v>958</v>
      </c>
      <c r="I130" s="478"/>
      <c r="J130" s="478"/>
      <c r="K130" s="478"/>
      <c r="L130" s="478"/>
      <c r="M130" s="478"/>
      <c r="N130" s="478"/>
      <c r="O130" s="478"/>
      <c r="P130" s="331"/>
      <c r="Q130" s="306"/>
      <c r="R130" s="306"/>
      <c r="S130" s="306"/>
      <c r="T130" s="306"/>
      <c r="U130" s="306"/>
      <c r="V130" s="306"/>
      <c r="W130" s="306"/>
      <c r="X130" s="306"/>
      <c r="Y130" s="306"/>
      <c r="AE130" s="586"/>
    </row>
    <row r="131" spans="1:31" s="264" customFormat="1" ht="13.75">
      <c r="A131" s="750"/>
      <c r="B131" s="325" t="s">
        <v>959</v>
      </c>
      <c r="C131" s="330"/>
      <c r="E131" s="260"/>
      <c r="G131" s="330"/>
      <c r="I131" s="306">
        <f>资产负债表!U32</f>
        <v>0</v>
      </c>
      <c r="J131" s="306">
        <f>IF(ISERROR(资产负债表!Y32),0,资产负债表!Y32)</f>
        <v>0</v>
      </c>
      <c r="K131" s="306">
        <f>IF(ISERROR(资产负债表!AC32),0,资产负债表!AC32)</f>
        <v>0</v>
      </c>
      <c r="L131" s="306">
        <f>IF(ISERROR(资产负债表!AG32),0,资产负债表!AG32)</f>
        <v>0</v>
      </c>
      <c r="M131" s="306">
        <f>IF(ISERROR(资产负债表!AH32),0,资产负债表!AH32)</f>
        <v>0</v>
      </c>
      <c r="N131" s="306">
        <f>IF(ISERROR(资产负债表!AI32),0,资产负债表!AI32)</f>
        <v>0</v>
      </c>
      <c r="O131" s="306">
        <f>IF(ISERROR(资产负债表!AJ32),0,资产负债表!AJ32)</f>
        <v>0</v>
      </c>
      <c r="P131" s="306">
        <f>K135</f>
        <v>0</v>
      </c>
      <c r="Q131" s="306">
        <f>P135</f>
        <v>0</v>
      </c>
      <c r="R131" s="306">
        <f>Q135</f>
        <v>0</v>
      </c>
      <c r="S131" s="306">
        <f t="shared" ref="S131:Y131" si="62">R135</f>
        <v>0</v>
      </c>
      <c r="T131" s="306">
        <f t="shared" si="62"/>
        <v>0</v>
      </c>
      <c r="U131" s="306">
        <f t="shared" si="62"/>
        <v>0</v>
      </c>
      <c r="V131" s="306">
        <f t="shared" si="62"/>
        <v>0</v>
      </c>
      <c r="W131" s="306">
        <f t="shared" si="62"/>
        <v>0</v>
      </c>
      <c r="X131" s="306">
        <f t="shared" si="62"/>
        <v>0</v>
      </c>
      <c r="Y131" s="306">
        <f t="shared" si="62"/>
        <v>0</v>
      </c>
      <c r="AE131" s="342"/>
    </row>
    <row r="132" spans="1:31" ht="13.75">
      <c r="C132" s="580" t="s">
        <v>1066</v>
      </c>
      <c r="E132" s="260" t="s">
        <v>1165</v>
      </c>
      <c r="G132" s="307"/>
      <c r="I132" s="306">
        <f>I135-I131</f>
        <v>0</v>
      </c>
      <c r="J132" s="306">
        <f>J135-J131</f>
        <v>0</v>
      </c>
      <c r="K132" s="306">
        <f>K135-K131</f>
        <v>0</v>
      </c>
      <c r="L132" s="267">
        <f>IF(L135=0,0,L135-K135)</f>
        <v>0</v>
      </c>
      <c r="M132" s="267">
        <f>IF(M135=0,0,M135-L135)</f>
        <v>0</v>
      </c>
      <c r="N132" s="267">
        <f>IF(N135=0,0,N135-M135)</f>
        <v>0</v>
      </c>
      <c r="O132" s="267">
        <f>IF(O135=0,0,O135-N135)</f>
        <v>0</v>
      </c>
      <c r="P132" s="196">
        <f>折旧摊销测算!D93*100</f>
        <v>0</v>
      </c>
      <c r="Q132" s="196">
        <f>折旧摊销测算!E93*100</f>
        <v>0</v>
      </c>
      <c r="R132" s="196">
        <f>折旧摊销测算!F93*100</f>
        <v>0</v>
      </c>
      <c r="S132" s="196"/>
      <c r="T132" s="196"/>
      <c r="U132" s="196"/>
      <c r="V132" s="196"/>
      <c r="W132" s="196"/>
      <c r="X132" s="196"/>
      <c r="Y132" s="196"/>
      <c r="AE132" s="342"/>
    </row>
    <row r="133" spans="1:31" ht="14.15">
      <c r="C133" s="635" t="s">
        <v>1191</v>
      </c>
      <c r="D133" s="582">
        <v>0</v>
      </c>
      <c r="G133" s="307"/>
      <c r="I133" s="306"/>
      <c r="J133" s="306"/>
      <c r="K133" s="306"/>
      <c r="L133" s="478"/>
      <c r="M133" s="478"/>
      <c r="N133" s="478"/>
      <c r="O133" s="478"/>
      <c r="P133" s="306">
        <f>(P131+P132)*$D$133</f>
        <v>0</v>
      </c>
      <c r="Q133" s="306">
        <f t="shared" ref="Q133:Y133" si="63">(Q131+Q132)*$D$133</f>
        <v>0</v>
      </c>
      <c r="R133" s="306">
        <f t="shared" si="63"/>
        <v>0</v>
      </c>
      <c r="S133" s="306">
        <f t="shared" si="63"/>
        <v>0</v>
      </c>
      <c r="T133" s="306">
        <f t="shared" si="63"/>
        <v>0</v>
      </c>
      <c r="U133" s="306">
        <f t="shared" si="63"/>
        <v>0</v>
      </c>
      <c r="V133" s="306">
        <f t="shared" si="63"/>
        <v>0</v>
      </c>
      <c r="W133" s="306">
        <f t="shared" si="63"/>
        <v>0</v>
      </c>
      <c r="X133" s="306">
        <f t="shared" si="63"/>
        <v>0</v>
      </c>
      <c r="Y133" s="306">
        <f t="shared" si="63"/>
        <v>0</v>
      </c>
      <c r="AE133" s="342"/>
    </row>
    <row r="134" spans="1:31" ht="13.75">
      <c r="B134" s="575" t="s">
        <v>1071</v>
      </c>
      <c r="C134" s="307"/>
      <c r="G134" s="307"/>
      <c r="I134" s="306"/>
      <c r="J134" s="306"/>
      <c r="K134" s="306"/>
      <c r="L134" s="478"/>
      <c r="M134" s="478"/>
      <c r="N134" s="478"/>
      <c r="O134" s="478"/>
      <c r="P134" s="196">
        <v>0</v>
      </c>
      <c r="Q134" s="196">
        <v>0</v>
      </c>
      <c r="R134" s="196">
        <v>0</v>
      </c>
      <c r="S134" s="196"/>
      <c r="T134" s="196"/>
      <c r="U134" s="196"/>
      <c r="V134" s="196"/>
      <c r="W134" s="196"/>
      <c r="X134" s="196"/>
      <c r="Y134" s="196"/>
      <c r="AE134" s="342"/>
    </row>
    <row r="135" spans="1:31" ht="14.25" customHeight="1">
      <c r="B135" s="261" t="s">
        <v>749</v>
      </c>
      <c r="C135" s="310"/>
      <c r="G135" s="310"/>
      <c r="I135" s="306">
        <f>资产负债表!Y32</f>
        <v>0</v>
      </c>
      <c r="J135" s="306">
        <f>IF(ISERROR(资产负债表!AC32),0,资产负债表!AC32)</f>
        <v>0</v>
      </c>
      <c r="K135" s="306">
        <f>IF(ISERROR(资产负债表!AG32),0,资产负债表!AG32)</f>
        <v>0</v>
      </c>
      <c r="L135" s="306">
        <f>IF(ISERROR(资产负债表!AH32),0,资产负债表!AH32)</f>
        <v>0</v>
      </c>
      <c r="M135" s="306">
        <f>IF(ISERROR(资产负债表!AI32),0,资产负债表!AI32)</f>
        <v>0</v>
      </c>
      <c r="N135" s="306">
        <f>IF(ISERROR(资产负债表!AJ32),0,资产负债表!AJ32)</f>
        <v>0</v>
      </c>
      <c r="O135" s="306">
        <f>IF(ISERROR(资产负债表!AK32),0,资产负债表!AK32)</f>
        <v>0</v>
      </c>
      <c r="P135" s="306">
        <f>K135+P132-P134</f>
        <v>0</v>
      </c>
      <c r="Q135" s="306">
        <f>P135+Q132-Q134</f>
        <v>0</v>
      </c>
      <c r="R135" s="306">
        <f t="shared" ref="R135:Y135" si="64">Q135+R132-R134</f>
        <v>0</v>
      </c>
      <c r="S135" s="306">
        <f t="shared" si="64"/>
        <v>0</v>
      </c>
      <c r="T135" s="306">
        <f t="shared" si="64"/>
        <v>0</v>
      </c>
      <c r="U135" s="306">
        <f t="shared" si="64"/>
        <v>0</v>
      </c>
      <c r="V135" s="306">
        <f t="shared" si="64"/>
        <v>0</v>
      </c>
      <c r="W135" s="306">
        <f t="shared" si="64"/>
        <v>0</v>
      </c>
      <c r="X135" s="306">
        <f t="shared" si="64"/>
        <v>0</v>
      </c>
      <c r="Y135" s="306">
        <f t="shared" si="64"/>
        <v>0</v>
      </c>
    </row>
    <row r="136" spans="1:31" ht="13.75">
      <c r="B136" s="261"/>
      <c r="C136" s="310"/>
      <c r="G136" s="310"/>
      <c r="I136" s="306"/>
      <c r="J136" s="306"/>
      <c r="K136" s="306"/>
      <c r="L136" s="306"/>
      <c r="M136" s="306"/>
      <c r="N136" s="306"/>
      <c r="O136" s="306"/>
      <c r="P136" s="306"/>
      <c r="Q136" s="306"/>
      <c r="R136" s="306"/>
      <c r="S136" s="306"/>
      <c r="T136" s="306"/>
      <c r="U136" s="306"/>
      <c r="V136" s="306"/>
      <c r="W136" s="306"/>
      <c r="X136" s="306"/>
      <c r="Y136" s="306"/>
    </row>
    <row r="137" spans="1:31" s="338" customFormat="1" ht="14.15">
      <c r="A137" s="753"/>
      <c r="B137" s="564" t="s">
        <v>1072</v>
      </c>
      <c r="C137" s="339"/>
      <c r="G137" s="339"/>
    </row>
    <row r="138" spans="1:31" ht="13.75">
      <c r="B138" s="261" t="s">
        <v>983</v>
      </c>
      <c r="C138" s="310"/>
      <c r="G138" s="310"/>
      <c r="I138" s="306"/>
      <c r="J138" s="306"/>
      <c r="K138" s="306"/>
      <c r="L138" s="306"/>
      <c r="M138" s="306"/>
      <c r="N138" s="306"/>
      <c r="O138" s="306"/>
      <c r="P138" s="306"/>
      <c r="Q138" s="306"/>
      <c r="R138" s="306"/>
      <c r="S138" s="306"/>
      <c r="T138" s="306"/>
      <c r="U138" s="306"/>
      <c r="V138" s="306"/>
      <c r="W138" s="306"/>
      <c r="X138" s="306"/>
      <c r="Y138" s="306"/>
    </row>
    <row r="139" spans="1:31" s="264" customFormat="1" ht="13.75">
      <c r="A139" s="750"/>
      <c r="C139" s="330" t="s">
        <v>750</v>
      </c>
      <c r="E139" s="260"/>
      <c r="G139" s="330"/>
      <c r="I139" s="306">
        <f>财务附注数据!Z15*目录!$D$6</f>
        <v>0</v>
      </c>
      <c r="J139" s="306">
        <f>I141</f>
        <v>0</v>
      </c>
      <c r="K139" s="306">
        <f>J141</f>
        <v>0</v>
      </c>
      <c r="L139" s="306"/>
      <c r="M139" s="306">
        <f>IF(M141=0,0,K141)</f>
        <v>0</v>
      </c>
      <c r="N139" s="306"/>
      <c r="O139" s="306">
        <f>IF(O141=0,0,M141)</f>
        <v>0</v>
      </c>
      <c r="P139" s="306">
        <f>K141</f>
        <v>0</v>
      </c>
      <c r="Q139" s="306">
        <f>P141</f>
        <v>0</v>
      </c>
      <c r="R139" s="306">
        <f t="shared" ref="R139:Y139" si="65">Q141</f>
        <v>0</v>
      </c>
      <c r="S139" s="306">
        <f t="shared" si="65"/>
        <v>0</v>
      </c>
      <c r="T139" s="306">
        <f t="shared" si="65"/>
        <v>0</v>
      </c>
      <c r="U139" s="306">
        <f t="shared" si="65"/>
        <v>0</v>
      </c>
      <c r="V139" s="306">
        <f t="shared" si="65"/>
        <v>0</v>
      </c>
      <c r="W139" s="306">
        <f t="shared" si="65"/>
        <v>0</v>
      </c>
      <c r="X139" s="306">
        <f t="shared" si="65"/>
        <v>0</v>
      </c>
      <c r="Y139" s="306">
        <f t="shared" si="65"/>
        <v>0</v>
      </c>
    </row>
    <row r="140" spans="1:31" s="264" customFormat="1" ht="13.75">
      <c r="A140" s="750"/>
      <c r="B140" s="325"/>
      <c r="C140" s="565" t="s">
        <v>993</v>
      </c>
      <c r="E140" s="260" t="s">
        <v>1246</v>
      </c>
      <c r="F140" s="260"/>
      <c r="G140" s="340"/>
      <c r="H140" s="473"/>
      <c r="I140" s="267">
        <f>I141-I139</f>
        <v>0</v>
      </c>
      <c r="J140" s="267">
        <f>J141-J139</f>
        <v>0</v>
      </c>
      <c r="K140" s="267">
        <f>K141-K139</f>
        <v>0</v>
      </c>
      <c r="L140" s="267"/>
      <c r="M140" s="267">
        <f>M141-M139</f>
        <v>0</v>
      </c>
      <c r="N140" s="267"/>
      <c r="O140" s="267">
        <f>O141-O139</f>
        <v>0</v>
      </c>
      <c r="P140" s="196">
        <v>0</v>
      </c>
      <c r="Q140" s="196">
        <v>0</v>
      </c>
      <c r="R140" s="196">
        <v>0</v>
      </c>
      <c r="S140" s="196"/>
      <c r="T140" s="196"/>
      <c r="U140" s="196"/>
      <c r="V140" s="196"/>
      <c r="W140" s="196"/>
      <c r="X140" s="196"/>
      <c r="Y140" s="196"/>
    </row>
    <row r="141" spans="1:31" s="264" customFormat="1" ht="13.75">
      <c r="A141" s="750"/>
      <c r="B141" s="325"/>
      <c r="C141" s="330" t="s">
        <v>1002</v>
      </c>
      <c r="E141" s="260"/>
      <c r="F141" s="260"/>
      <c r="G141" s="340"/>
      <c r="I141" s="306">
        <f>财务附注数据!AD15*目录!$D$6</f>
        <v>0</v>
      </c>
      <c r="J141" s="306">
        <f>财务附注数据!AH15*目录!$D$6</f>
        <v>0</v>
      </c>
      <c r="K141" s="306">
        <f>财务附注数据!AL15*目录!$D$6</f>
        <v>0</v>
      </c>
      <c r="L141" s="306">
        <f>财务附注数据!AM15*目录!$D$6</f>
        <v>0</v>
      </c>
      <c r="M141" s="306">
        <f>财务附注数据!AN15*目录!$D$6</f>
        <v>0</v>
      </c>
      <c r="N141" s="306">
        <f>财务附注数据!AO15*目录!$D$6</f>
        <v>0</v>
      </c>
      <c r="O141" s="306">
        <f>财务附注数据!AP15*目录!$D$6</f>
        <v>0</v>
      </c>
      <c r="P141" s="306">
        <f t="shared" ref="P141:Y141" si="66">P139+P140</f>
        <v>0</v>
      </c>
      <c r="Q141" s="306">
        <f t="shared" si="66"/>
        <v>0</v>
      </c>
      <c r="R141" s="306">
        <f t="shared" si="66"/>
        <v>0</v>
      </c>
      <c r="S141" s="306">
        <f t="shared" si="66"/>
        <v>0</v>
      </c>
      <c r="T141" s="306">
        <f t="shared" si="66"/>
        <v>0</v>
      </c>
      <c r="U141" s="306">
        <f t="shared" si="66"/>
        <v>0</v>
      </c>
      <c r="V141" s="306">
        <f t="shared" si="66"/>
        <v>0</v>
      </c>
      <c r="W141" s="306">
        <f t="shared" si="66"/>
        <v>0</v>
      </c>
      <c r="X141" s="306">
        <f t="shared" si="66"/>
        <v>0</v>
      </c>
      <c r="Y141" s="306">
        <f t="shared" si="66"/>
        <v>0</v>
      </c>
    </row>
    <row r="142" spans="1:31" s="264" customFormat="1" ht="13.75">
      <c r="A142" s="750"/>
      <c r="B142" s="325"/>
      <c r="C142" s="307"/>
      <c r="E142" s="260"/>
      <c r="F142" s="260"/>
      <c r="G142" s="340"/>
      <c r="I142" s="306"/>
      <c r="J142" s="306"/>
      <c r="K142" s="306"/>
      <c r="L142" s="478"/>
      <c r="M142" s="478"/>
      <c r="N142" s="478"/>
      <c r="O142" s="478"/>
      <c r="P142" s="337"/>
      <c r="Q142" s="337"/>
      <c r="R142" s="337"/>
      <c r="S142" s="337"/>
      <c r="T142" s="337"/>
      <c r="U142" s="337"/>
      <c r="V142" s="337"/>
      <c r="W142" s="337"/>
      <c r="X142" s="337"/>
      <c r="Y142" s="337"/>
    </row>
    <row r="143" spans="1:31" s="264" customFormat="1" ht="13.75">
      <c r="A143" s="750"/>
      <c r="B143" s="325"/>
      <c r="C143" s="330" t="s">
        <v>1004</v>
      </c>
      <c r="E143" s="260"/>
      <c r="F143" s="260"/>
      <c r="G143" s="340"/>
      <c r="I143" s="306">
        <f>财务附注数据!Z16*目录!$D$6</f>
        <v>0</v>
      </c>
      <c r="J143" s="306">
        <f>I145</f>
        <v>0</v>
      </c>
      <c r="K143" s="306">
        <f>J145</f>
        <v>0</v>
      </c>
      <c r="L143" s="306"/>
      <c r="M143" s="306">
        <f>IF(M145=0,0,K145)</f>
        <v>0</v>
      </c>
      <c r="N143" s="306"/>
      <c r="O143" s="306">
        <f>IF(O145=0,0,M145)</f>
        <v>0</v>
      </c>
      <c r="P143" s="478">
        <f>K145</f>
        <v>0</v>
      </c>
      <c r="Q143" s="478">
        <f>P145</f>
        <v>0</v>
      </c>
      <c r="R143" s="478">
        <f t="shared" ref="R143:Y143" si="67">Q145</f>
        <v>0</v>
      </c>
      <c r="S143" s="478">
        <f t="shared" si="67"/>
        <v>0</v>
      </c>
      <c r="T143" s="478">
        <f t="shared" si="67"/>
        <v>0</v>
      </c>
      <c r="U143" s="478">
        <f t="shared" si="67"/>
        <v>0</v>
      </c>
      <c r="V143" s="478">
        <f t="shared" si="67"/>
        <v>0</v>
      </c>
      <c r="W143" s="478">
        <f t="shared" si="67"/>
        <v>0</v>
      </c>
      <c r="X143" s="478">
        <f t="shared" si="67"/>
        <v>0</v>
      </c>
      <c r="Y143" s="478">
        <f t="shared" si="67"/>
        <v>0</v>
      </c>
    </row>
    <row r="144" spans="1:31" s="264" customFormat="1" ht="14.15">
      <c r="A144" s="750"/>
      <c r="C144" s="565" t="s">
        <v>1005</v>
      </c>
      <c r="E144" s="260" t="s">
        <v>1245</v>
      </c>
      <c r="G144" s="334"/>
      <c r="I144" s="267">
        <f>I145-I143</f>
        <v>0</v>
      </c>
      <c r="J144" s="267">
        <f>J145-J143</f>
        <v>0</v>
      </c>
      <c r="K144" s="267">
        <f>K145-K143</f>
        <v>0</v>
      </c>
      <c r="L144" s="267"/>
      <c r="M144" s="267">
        <f>M145-M143</f>
        <v>0</v>
      </c>
      <c r="N144" s="267"/>
      <c r="O144" s="267">
        <f>O145-O143</f>
        <v>0</v>
      </c>
      <c r="P144" s="196">
        <f>P146*P139</f>
        <v>0</v>
      </c>
      <c r="Q144" s="196">
        <f>Q146*Q139</f>
        <v>0</v>
      </c>
      <c r="R144" s="196">
        <f>R146*R139</f>
        <v>0</v>
      </c>
      <c r="S144" s="196"/>
      <c r="T144" s="196"/>
      <c r="U144" s="196"/>
      <c r="V144" s="196"/>
      <c r="W144" s="196"/>
      <c r="X144" s="196"/>
      <c r="Y144" s="196"/>
    </row>
    <row r="145" spans="1:25" s="321" customFormat="1" ht="13.75">
      <c r="A145" s="754"/>
      <c r="B145" s="347"/>
      <c r="C145" s="330" t="s">
        <v>1003</v>
      </c>
      <c r="E145" s="598"/>
      <c r="F145" s="260"/>
      <c r="G145" s="341"/>
      <c r="I145" s="306">
        <f>财务附注数据!AD16*目录!$D$6</f>
        <v>0</v>
      </c>
      <c r="J145" s="306">
        <f>财务附注数据!AH16*目录!$D$6</f>
        <v>0</v>
      </c>
      <c r="K145" s="306">
        <f>财务附注数据!AL16*目录!$D$6</f>
        <v>0</v>
      </c>
      <c r="L145" s="306">
        <f>财务附注数据!AM16*目录!$D$6</f>
        <v>0</v>
      </c>
      <c r="M145" s="306">
        <f>财务附注数据!AN16*目录!$D$6</f>
        <v>0</v>
      </c>
      <c r="N145" s="306">
        <f>财务附注数据!AO16*目录!$D$6</f>
        <v>0</v>
      </c>
      <c r="O145" s="306">
        <f>财务附注数据!AP16*目录!$D$6</f>
        <v>0</v>
      </c>
      <c r="P145" s="306">
        <f t="shared" ref="P145:Y145" si="68">P143+P144</f>
        <v>0</v>
      </c>
      <c r="Q145" s="306">
        <f t="shared" si="68"/>
        <v>0</v>
      </c>
      <c r="R145" s="306">
        <f t="shared" si="68"/>
        <v>0</v>
      </c>
      <c r="S145" s="306">
        <f t="shared" si="68"/>
        <v>0</v>
      </c>
      <c r="T145" s="306">
        <f t="shared" si="68"/>
        <v>0</v>
      </c>
      <c r="U145" s="306">
        <f t="shared" si="68"/>
        <v>0</v>
      </c>
      <c r="V145" s="306">
        <f t="shared" si="68"/>
        <v>0</v>
      </c>
      <c r="W145" s="306">
        <f t="shared" si="68"/>
        <v>0</v>
      </c>
      <c r="X145" s="306">
        <f t="shared" si="68"/>
        <v>0</v>
      </c>
      <c r="Y145" s="306">
        <f t="shared" si="68"/>
        <v>0</v>
      </c>
    </row>
    <row r="146" spans="1:25" s="321" customFormat="1" ht="13.75">
      <c r="A146" s="754"/>
      <c r="B146" s="347"/>
      <c r="C146" s="330"/>
      <c r="E146" s="598"/>
      <c r="F146" s="260"/>
      <c r="G146" s="341"/>
      <c r="I146" s="306"/>
      <c r="J146" s="306"/>
      <c r="K146" s="784" t="e">
        <f>K144/K139</f>
        <v>#DIV/0!</v>
      </c>
      <c r="L146" s="784" t="e">
        <f>L144/L139</f>
        <v>#DIV/0!</v>
      </c>
      <c r="M146" s="784" t="e">
        <f>M144/M139</f>
        <v>#DIV/0!</v>
      </c>
      <c r="N146" s="784" t="e">
        <f>N144/N139</f>
        <v>#DIV/0!</v>
      </c>
      <c r="O146" s="784" t="e">
        <f>O144/O139</f>
        <v>#DIV/0!</v>
      </c>
      <c r="P146" s="784">
        <v>0.05</v>
      </c>
      <c r="Q146" s="784">
        <v>0.05</v>
      </c>
      <c r="R146" s="784">
        <v>0.05</v>
      </c>
      <c r="S146" s="306"/>
      <c r="T146" s="306"/>
      <c r="U146" s="306"/>
      <c r="V146" s="306"/>
      <c r="W146" s="306"/>
      <c r="X146" s="306"/>
      <c r="Y146" s="306"/>
    </row>
    <row r="147" spans="1:25" s="321" customFormat="1" ht="13.75">
      <c r="A147" s="754"/>
      <c r="B147" s="347"/>
      <c r="C147" s="325" t="s">
        <v>1001</v>
      </c>
      <c r="F147" s="260"/>
      <c r="G147" s="341"/>
      <c r="I147" s="306">
        <f>财务附注数据!Z17*目录!$D$6</f>
        <v>0</v>
      </c>
      <c r="J147" s="306">
        <f>I149</f>
        <v>0</v>
      </c>
      <c r="K147" s="306">
        <f>J149</f>
        <v>0</v>
      </c>
      <c r="L147" s="306"/>
      <c r="M147" s="306">
        <f>IF(M149=0,0,K149)</f>
        <v>0</v>
      </c>
      <c r="N147" s="306"/>
      <c r="O147" s="306">
        <f>IF(O149=0,0,M149)</f>
        <v>0</v>
      </c>
      <c r="P147" s="306">
        <f>K149</f>
        <v>0</v>
      </c>
      <c r="Q147" s="306">
        <f>P149</f>
        <v>0</v>
      </c>
      <c r="R147" s="306">
        <f t="shared" ref="R147:Y147" si="69">Q149</f>
        <v>0</v>
      </c>
      <c r="S147" s="306">
        <f t="shared" si="69"/>
        <v>0</v>
      </c>
      <c r="T147" s="306">
        <f t="shared" si="69"/>
        <v>0</v>
      </c>
      <c r="U147" s="306">
        <f t="shared" si="69"/>
        <v>0</v>
      </c>
      <c r="V147" s="306">
        <f t="shared" si="69"/>
        <v>0</v>
      </c>
      <c r="W147" s="306">
        <f t="shared" si="69"/>
        <v>0</v>
      </c>
      <c r="X147" s="306">
        <f t="shared" si="69"/>
        <v>0</v>
      </c>
      <c r="Y147" s="306">
        <f t="shared" si="69"/>
        <v>0</v>
      </c>
    </row>
    <row r="148" spans="1:25" s="264" customFormat="1" ht="13.75">
      <c r="A148" s="750"/>
      <c r="B148" s="307" t="s">
        <v>992</v>
      </c>
      <c r="C148" s="307" t="s">
        <v>1006</v>
      </c>
      <c r="E148" s="260" t="s">
        <v>1244</v>
      </c>
      <c r="G148" s="330"/>
      <c r="I148" s="267">
        <f>I149-I147</f>
        <v>0</v>
      </c>
      <c r="J148" s="267">
        <f>J149-J147</f>
        <v>0</v>
      </c>
      <c r="K148" s="267">
        <f>K149-K147</f>
        <v>0</v>
      </c>
      <c r="L148" s="267"/>
      <c r="M148" s="267">
        <f>M149-M147</f>
        <v>0</v>
      </c>
      <c r="N148" s="267"/>
      <c r="O148" s="267">
        <f>O149-O147</f>
        <v>0</v>
      </c>
      <c r="P148" s="110">
        <v>0</v>
      </c>
      <c r="Q148" s="110">
        <v>0</v>
      </c>
      <c r="R148" s="110">
        <v>0</v>
      </c>
      <c r="S148" s="110"/>
      <c r="T148" s="110"/>
      <c r="U148" s="110"/>
      <c r="V148" s="110"/>
      <c r="W148" s="110"/>
      <c r="X148" s="110"/>
      <c r="Y148" s="110"/>
    </row>
    <row r="149" spans="1:25" s="264" customFormat="1" ht="13.75">
      <c r="A149" s="750"/>
      <c r="B149" s="307"/>
      <c r="C149" s="325" t="s">
        <v>1008</v>
      </c>
      <c r="G149" s="330"/>
      <c r="I149" s="306">
        <f>财务附注数据!AD17*目录!$D$6</f>
        <v>0</v>
      </c>
      <c r="J149" s="306">
        <f>财务附注数据!AH17*目录!$D$6</f>
        <v>0</v>
      </c>
      <c r="K149" s="306">
        <f>财务附注数据!AL17*目录!$D$6</f>
        <v>0</v>
      </c>
      <c r="L149" s="306">
        <f>财务附注数据!AM17*目录!$D$6</f>
        <v>0</v>
      </c>
      <c r="M149" s="306">
        <f>财务附注数据!AN17*目录!$D$6</f>
        <v>0</v>
      </c>
      <c r="N149" s="306">
        <f>财务附注数据!AO17*目录!$D$6</f>
        <v>0</v>
      </c>
      <c r="O149" s="306">
        <f>财务附注数据!AP17*目录!$D$6</f>
        <v>0</v>
      </c>
      <c r="P149" s="306">
        <f t="shared" ref="P149:Y149" si="70">P147+P148</f>
        <v>0</v>
      </c>
      <c r="Q149" s="306">
        <f t="shared" si="70"/>
        <v>0</v>
      </c>
      <c r="R149" s="306">
        <f t="shared" si="70"/>
        <v>0</v>
      </c>
      <c r="S149" s="306">
        <f t="shared" si="70"/>
        <v>0</v>
      </c>
      <c r="T149" s="306">
        <f t="shared" si="70"/>
        <v>0</v>
      </c>
      <c r="U149" s="306">
        <f t="shared" si="70"/>
        <v>0</v>
      </c>
      <c r="V149" s="306">
        <f t="shared" si="70"/>
        <v>0</v>
      </c>
      <c r="W149" s="306">
        <f t="shared" si="70"/>
        <v>0</v>
      </c>
      <c r="X149" s="306">
        <f t="shared" si="70"/>
        <v>0</v>
      </c>
      <c r="Y149" s="306">
        <f t="shared" si="70"/>
        <v>0</v>
      </c>
    </row>
    <row r="150" spans="1:25" ht="14.15">
      <c r="B150" s="330" t="s">
        <v>751</v>
      </c>
      <c r="G150" s="339"/>
      <c r="I150" s="306">
        <f>IF(ISERROR(资产负债表!Y36),0,资产负债表!Y36)</f>
        <v>0</v>
      </c>
      <c r="J150" s="306">
        <f>IF(ISERROR(资产负债表!AC36),0,资产负债表!AC36)</f>
        <v>0</v>
      </c>
      <c r="K150" s="306">
        <f>IF(ISERROR(资产负债表!AG36),0,资产负债表!AG36)</f>
        <v>0</v>
      </c>
      <c r="L150" s="306">
        <f>IF(ISERROR(资产负债表!AH36),0,资产负债表!AH36)</f>
        <v>0</v>
      </c>
      <c r="M150" s="306">
        <f>IF(ISERROR(资产负债表!AI36),0,资产负债表!AI36)</f>
        <v>0</v>
      </c>
      <c r="N150" s="306">
        <f>IF(ISERROR(资产负债表!AJ36),0,资产负债表!AJ36)</f>
        <v>0</v>
      </c>
      <c r="O150" s="306">
        <f>IF(ISERROR(资产负债表!AK36),0,资产负债表!AK36)</f>
        <v>0</v>
      </c>
      <c r="P150" s="306">
        <f>K150+P140-P144-P148</f>
        <v>0</v>
      </c>
      <c r="Q150" s="306">
        <f t="shared" ref="Q150:Y150" si="71">P150+Q140-Q144-Q148</f>
        <v>0</v>
      </c>
      <c r="R150" s="306">
        <f t="shared" si="71"/>
        <v>0</v>
      </c>
      <c r="S150" s="306">
        <f t="shared" si="71"/>
        <v>0</v>
      </c>
      <c r="T150" s="306">
        <f t="shared" si="71"/>
        <v>0</v>
      </c>
      <c r="U150" s="306">
        <f t="shared" si="71"/>
        <v>0</v>
      </c>
      <c r="V150" s="306">
        <f t="shared" si="71"/>
        <v>0</v>
      </c>
      <c r="W150" s="306">
        <f t="shared" si="71"/>
        <v>0</v>
      </c>
      <c r="X150" s="306">
        <f t="shared" si="71"/>
        <v>0</v>
      </c>
      <c r="Y150" s="306">
        <f t="shared" si="71"/>
        <v>0</v>
      </c>
    </row>
    <row r="151" spans="1:25" ht="14.15">
      <c r="B151" s="477"/>
      <c r="C151" s="330"/>
      <c r="G151" s="339"/>
      <c r="I151" s="306"/>
      <c r="J151" s="306"/>
      <c r="K151" s="306"/>
      <c r="L151" s="306"/>
      <c r="M151" s="306"/>
      <c r="N151" s="306"/>
      <c r="O151" s="306"/>
      <c r="P151" s="306"/>
      <c r="Q151" s="306"/>
      <c r="R151" s="306"/>
      <c r="S151" s="306"/>
      <c r="T151" s="306"/>
      <c r="U151" s="306"/>
      <c r="V151" s="306"/>
      <c r="W151" s="306"/>
      <c r="X151" s="306"/>
      <c r="Y151" s="306"/>
    </row>
    <row r="152" spans="1:25" ht="14.15">
      <c r="B152" s="342" t="s">
        <v>752</v>
      </c>
      <c r="C152" s="339"/>
      <c r="E152" s="260" t="s">
        <v>1243</v>
      </c>
      <c r="G152" s="339"/>
      <c r="I152" s="267">
        <f>资产负债表!Y37</f>
        <v>0</v>
      </c>
      <c r="J152" s="267">
        <f>资产负债表!AC37</f>
        <v>0</v>
      </c>
      <c r="K152" s="267">
        <f>资产负债表!AG37</f>
        <v>0</v>
      </c>
      <c r="L152" s="267">
        <f>资产负债表!AH37</f>
        <v>0</v>
      </c>
      <c r="M152" s="267">
        <f>资产负债表!AI37</f>
        <v>0</v>
      </c>
      <c r="N152" s="267">
        <f>资产负债表!AJ37</f>
        <v>0</v>
      </c>
      <c r="O152" s="267">
        <f>资产负债表!AK37</f>
        <v>0</v>
      </c>
      <c r="P152" s="472">
        <v>0</v>
      </c>
      <c r="Q152" s="472">
        <v>0</v>
      </c>
      <c r="R152" s="472">
        <v>0</v>
      </c>
      <c r="S152" s="110"/>
      <c r="T152" s="110"/>
      <c r="U152" s="110"/>
      <c r="V152" s="110"/>
      <c r="W152" s="110"/>
      <c r="X152" s="110"/>
      <c r="Y152" s="110"/>
    </row>
    <row r="153" spans="1:25" ht="14.15">
      <c r="B153" s="477"/>
      <c r="C153" s="330"/>
      <c r="G153" s="339"/>
      <c r="I153" s="306"/>
      <c r="J153" s="306"/>
      <c r="K153" s="306"/>
      <c r="L153" s="306"/>
      <c r="M153" s="306"/>
      <c r="N153" s="306"/>
      <c r="O153" s="306"/>
    </row>
    <row r="154" spans="1:25" ht="14.15">
      <c r="B154" s="342" t="s">
        <v>843</v>
      </c>
      <c r="C154" s="339"/>
      <c r="G154" s="339"/>
      <c r="H154" s="264"/>
    </row>
    <row r="155" spans="1:25" ht="14.15">
      <c r="B155" s="325"/>
      <c r="C155" s="330" t="s">
        <v>987</v>
      </c>
      <c r="G155" s="339"/>
      <c r="H155" s="264"/>
      <c r="I155" s="306">
        <f>资产负债表!U38</f>
        <v>0</v>
      </c>
      <c r="J155" s="306">
        <f>IF(ISERROR(资产负债表!Y38),0,资产负债表!Y38)</f>
        <v>0</v>
      </c>
      <c r="K155" s="306">
        <f>IF(ISERROR(资产负债表!AC38),0,资产负债表!AC38)</f>
        <v>0</v>
      </c>
      <c r="L155" s="306">
        <f>IF(ISERROR(资产负债表!AG38),0,资产负债表!AG38)</f>
        <v>0</v>
      </c>
      <c r="M155" s="306">
        <f>IF(ISERROR(资产负债表!AH38),0,资产负债表!AH38)</f>
        <v>0</v>
      </c>
      <c r="N155" s="306">
        <f>IF(ISERROR(资产负债表!AI38),0,资产负债表!AI38)</f>
        <v>0</v>
      </c>
      <c r="O155" s="306">
        <f>IF(ISERROR(资产负债表!AJ38),0,资产负债表!AJ38)</f>
        <v>0</v>
      </c>
      <c r="P155" s="267">
        <f>K158</f>
        <v>0</v>
      </c>
      <c r="Q155" s="267">
        <f>P158</f>
        <v>0</v>
      </c>
      <c r="R155" s="267">
        <f>Q158</f>
        <v>0</v>
      </c>
      <c r="S155" s="267">
        <f t="shared" ref="S155:Y155" si="72">R158</f>
        <v>0</v>
      </c>
      <c r="T155" s="267">
        <f t="shared" si="72"/>
        <v>0</v>
      </c>
      <c r="U155" s="267">
        <f t="shared" si="72"/>
        <v>0</v>
      </c>
      <c r="V155" s="267">
        <f t="shared" si="72"/>
        <v>0</v>
      </c>
      <c r="W155" s="267">
        <f t="shared" si="72"/>
        <v>0</v>
      </c>
      <c r="X155" s="267">
        <f t="shared" si="72"/>
        <v>0</v>
      </c>
      <c r="Y155" s="267">
        <f t="shared" si="72"/>
        <v>0</v>
      </c>
    </row>
    <row r="156" spans="1:25" ht="14.15">
      <c r="A156" s="751" t="s">
        <v>699</v>
      </c>
      <c r="B156" s="325"/>
      <c r="C156" s="583" t="s">
        <v>984</v>
      </c>
      <c r="D156" s="519"/>
      <c r="G156" s="339"/>
      <c r="H156" s="473"/>
      <c r="I156" s="306"/>
      <c r="J156" s="267">
        <f>J158-I158</f>
        <v>0</v>
      </c>
      <c r="K156" s="267">
        <f>K158-J158</f>
        <v>0</v>
      </c>
      <c r="L156" s="267">
        <f>IF(L158=0,0,L158-K158)</f>
        <v>0</v>
      </c>
      <c r="M156" s="267">
        <f>IF(M158=0,0,M158-L158)</f>
        <v>0</v>
      </c>
      <c r="N156" s="267">
        <f>IF(N158=0,0,N158-M158)</f>
        <v>0</v>
      </c>
      <c r="O156" s="267">
        <f>IF(O158=0,0,O158-N158)</f>
        <v>0</v>
      </c>
      <c r="P156" s="472">
        <v>0</v>
      </c>
      <c r="Q156" s="472">
        <v>0</v>
      </c>
      <c r="R156" s="472">
        <v>0</v>
      </c>
      <c r="S156" s="472"/>
      <c r="T156" s="472"/>
      <c r="U156" s="472"/>
      <c r="V156" s="472"/>
      <c r="W156" s="472"/>
      <c r="X156" s="472"/>
      <c r="Y156" s="472"/>
    </row>
    <row r="157" spans="1:25" ht="14.15">
      <c r="A157" s="751" t="s">
        <v>699</v>
      </c>
      <c r="B157" s="585" t="s">
        <v>1097</v>
      </c>
      <c r="D157" s="519"/>
      <c r="G157" s="339"/>
      <c r="H157" s="264"/>
      <c r="I157" s="306"/>
      <c r="J157" s="306"/>
      <c r="K157" s="306"/>
      <c r="L157" s="478"/>
      <c r="M157" s="478"/>
      <c r="N157" s="478"/>
      <c r="O157" s="478"/>
      <c r="P157" s="472">
        <v>0</v>
      </c>
      <c r="Q157" s="472">
        <v>0</v>
      </c>
      <c r="R157" s="472">
        <v>0</v>
      </c>
      <c r="S157" s="472"/>
      <c r="T157" s="472"/>
      <c r="U157" s="472"/>
      <c r="V157" s="472"/>
      <c r="W157" s="472"/>
      <c r="X157" s="472"/>
      <c r="Y157" s="472"/>
    </row>
    <row r="158" spans="1:25" ht="14.15">
      <c r="B158" s="342" t="s">
        <v>844</v>
      </c>
      <c r="C158" s="339"/>
      <c r="G158" s="339"/>
      <c r="H158" s="264"/>
      <c r="I158" s="267">
        <f>资产负债表!Y38</f>
        <v>0</v>
      </c>
      <c r="J158" s="267">
        <f>资产负债表!AC38</f>
        <v>0</v>
      </c>
      <c r="K158" s="267">
        <f>资产负债表!AG38</f>
        <v>0</v>
      </c>
      <c r="L158" s="267">
        <f>资产负债表!AH38</f>
        <v>0</v>
      </c>
      <c r="M158" s="267">
        <f>资产负债表!AI38</f>
        <v>0</v>
      </c>
      <c r="N158" s="267">
        <f>资产负债表!AJ38</f>
        <v>0</v>
      </c>
      <c r="O158" s="267">
        <f>资产负债表!AK38</f>
        <v>0</v>
      </c>
      <c r="P158" s="267">
        <f>P155+P156-P157</f>
        <v>0</v>
      </c>
      <c r="Q158" s="267">
        <f t="shared" ref="Q158:Y158" si="73">Q155+Q156-Q157</f>
        <v>0</v>
      </c>
      <c r="R158" s="267">
        <f t="shared" si="73"/>
        <v>0</v>
      </c>
      <c r="S158" s="267">
        <f t="shared" si="73"/>
        <v>0</v>
      </c>
      <c r="T158" s="267">
        <f t="shared" si="73"/>
        <v>0</v>
      </c>
      <c r="U158" s="267">
        <f t="shared" si="73"/>
        <v>0</v>
      </c>
      <c r="V158" s="267">
        <f t="shared" si="73"/>
        <v>0</v>
      </c>
      <c r="W158" s="267">
        <f t="shared" si="73"/>
        <v>0</v>
      </c>
      <c r="X158" s="267">
        <f t="shared" si="73"/>
        <v>0</v>
      </c>
      <c r="Y158" s="267">
        <f t="shared" si="73"/>
        <v>0</v>
      </c>
    </row>
    <row r="159" spans="1:25" ht="14.15">
      <c r="B159" s="477"/>
      <c r="C159" s="339"/>
      <c r="G159" s="339"/>
    </row>
    <row r="160" spans="1:25" ht="14.15">
      <c r="B160" s="584" t="s">
        <v>1073</v>
      </c>
      <c r="C160" s="339"/>
      <c r="G160" s="339"/>
    </row>
    <row r="161" spans="1:25" ht="14.15">
      <c r="B161" s="584" t="s">
        <v>1077</v>
      </c>
      <c r="C161" s="638" t="s">
        <v>1197</v>
      </c>
      <c r="G161" s="339"/>
      <c r="I161" s="306">
        <f>资产负债表!U30</f>
        <v>0</v>
      </c>
      <c r="J161" s="306">
        <f>IF(ISERROR(资产负债表!Y30),0,资产负债表!Y30)</f>
        <v>0</v>
      </c>
      <c r="K161" s="306">
        <f>IF(ISERROR(资产负债表!AC30),0,资产负债表!AC30)</f>
        <v>0</v>
      </c>
      <c r="L161" s="306">
        <f>IF(ISERROR(资产负债表!AG30),0,资产负债表!AG30)</f>
        <v>0</v>
      </c>
      <c r="M161" s="306">
        <f>IF(ISERROR(资产负债表!AH30),0,资产负债表!AH30)</f>
        <v>0</v>
      </c>
      <c r="N161" s="306">
        <f>IF(ISERROR(资产负债表!AI30),0,资产负债表!AI30)</f>
        <v>0</v>
      </c>
      <c r="O161" s="306">
        <f>IF(ISERROR(资产负债表!AJ30),0,资产负债表!AJ30)</f>
        <v>0</v>
      </c>
      <c r="P161" s="267">
        <f>K170</f>
        <v>0</v>
      </c>
      <c r="Q161" s="267">
        <f>P170</f>
        <v>0</v>
      </c>
      <c r="R161" s="267">
        <f t="shared" ref="R161:Y161" si="74">Q170</f>
        <v>0</v>
      </c>
      <c r="S161" s="267">
        <f t="shared" si="74"/>
        <v>0</v>
      </c>
      <c r="T161" s="267">
        <f t="shared" si="74"/>
        <v>0</v>
      </c>
      <c r="U161" s="267">
        <f t="shared" si="74"/>
        <v>0</v>
      </c>
      <c r="V161" s="267">
        <f t="shared" si="74"/>
        <v>0</v>
      </c>
      <c r="W161" s="267">
        <f t="shared" si="74"/>
        <v>0</v>
      </c>
      <c r="X161" s="267">
        <f t="shared" si="74"/>
        <v>0</v>
      </c>
      <c r="Y161" s="267">
        <f t="shared" si="74"/>
        <v>0</v>
      </c>
    </row>
    <row r="162" spans="1:25" ht="14.15">
      <c r="B162" s="584" t="s">
        <v>1082</v>
      </c>
      <c r="C162" s="339"/>
      <c r="G162" s="339"/>
      <c r="I162" s="599"/>
    </row>
    <row r="163" spans="1:25" ht="14.15">
      <c r="A163" s="751" t="s">
        <v>699</v>
      </c>
      <c r="B163" s="477"/>
      <c r="C163" s="579" t="s">
        <v>1074</v>
      </c>
      <c r="D163" s="519"/>
      <c r="G163" s="339"/>
      <c r="I163" s="599"/>
      <c r="J163" s="599"/>
      <c r="K163" s="599"/>
      <c r="L163" s="599"/>
      <c r="M163" s="599"/>
      <c r="N163" s="599"/>
      <c r="O163" s="599"/>
      <c r="P163" s="472">
        <v>0</v>
      </c>
      <c r="Q163" s="472">
        <v>0</v>
      </c>
      <c r="R163" s="472">
        <v>0</v>
      </c>
      <c r="S163" s="472"/>
      <c r="T163" s="472"/>
      <c r="U163" s="472"/>
      <c r="V163" s="472"/>
      <c r="W163" s="472"/>
      <c r="X163" s="472"/>
      <c r="Y163" s="472"/>
    </row>
    <row r="164" spans="1:25" ht="14.15">
      <c r="A164" s="751" t="s">
        <v>699</v>
      </c>
      <c r="B164" s="477"/>
      <c r="C164" s="579" t="s">
        <v>1075</v>
      </c>
      <c r="D164" s="519"/>
      <c r="G164" s="339"/>
      <c r="I164" s="599"/>
      <c r="P164" s="472">
        <v>0</v>
      </c>
      <c r="Q164" s="472">
        <v>0</v>
      </c>
      <c r="R164" s="472">
        <v>0</v>
      </c>
      <c r="S164" s="472"/>
      <c r="T164" s="472"/>
      <c r="U164" s="472"/>
      <c r="V164" s="472"/>
      <c r="W164" s="472"/>
      <c r="X164" s="472"/>
      <c r="Y164" s="472"/>
    </row>
    <row r="165" spans="1:25" ht="14.15">
      <c r="B165" s="477"/>
      <c r="C165" s="339"/>
      <c r="G165" s="339"/>
      <c r="I165" s="599"/>
    </row>
    <row r="166" spans="1:25" ht="14.15">
      <c r="B166" s="584" t="s">
        <v>1083</v>
      </c>
      <c r="C166" s="339"/>
      <c r="G166" s="339"/>
      <c r="I166" s="599"/>
    </row>
    <row r="167" spans="1:25" ht="14.15">
      <c r="A167" s="751" t="s">
        <v>699</v>
      </c>
      <c r="B167" s="584"/>
      <c r="C167" s="579" t="s">
        <v>1076</v>
      </c>
      <c r="D167" s="519"/>
      <c r="G167" s="339"/>
      <c r="I167" s="599">
        <f>I170-I161+I168+I169</f>
        <v>0</v>
      </c>
      <c r="J167" s="306">
        <f>J170-J161+J168+J169</f>
        <v>0</v>
      </c>
      <c r="K167" s="306">
        <f>K170-K161+K168+K169</f>
        <v>0</v>
      </c>
      <c r="L167" s="306"/>
      <c r="M167" s="306">
        <f>IF(M170=0,0,M170-M161+M168+M169)</f>
        <v>0</v>
      </c>
      <c r="N167" s="306"/>
      <c r="O167" s="306">
        <f>IF(O170=0,0,O170-O161+O168+O169)</f>
        <v>0</v>
      </c>
      <c r="P167" s="472">
        <v>0</v>
      </c>
      <c r="Q167" s="472">
        <v>0</v>
      </c>
      <c r="R167" s="472">
        <v>0</v>
      </c>
      <c r="S167" s="472"/>
      <c r="T167" s="472"/>
      <c r="U167" s="472"/>
      <c r="V167" s="472"/>
      <c r="W167" s="472"/>
      <c r="X167" s="472"/>
      <c r="Y167" s="472"/>
    </row>
    <row r="168" spans="1:25" ht="14.15">
      <c r="B168" s="584"/>
      <c r="C168" s="632" t="s">
        <v>1192</v>
      </c>
      <c r="E168" s="260" t="s">
        <v>1257</v>
      </c>
      <c r="G168" s="339"/>
      <c r="I168" s="599">
        <f>(财务附注数据!AD12-财务附注数据!Z12)*目录!$D$6</f>
        <v>0</v>
      </c>
      <c r="J168" s="306">
        <f>(财务附注数据!AH12-财务附注数据!AD12)*目录!$D$6</f>
        <v>0</v>
      </c>
      <c r="K168" s="306">
        <f>(财务附注数据!AL12-财务附注数据!AH12)*目录!$D$6</f>
        <v>0</v>
      </c>
      <c r="L168" s="306"/>
      <c r="M168" s="306">
        <f>IF(M170=0,0,(财务附注数据!AN12-财务附注数据!AL12)*目录!$D$6)</f>
        <v>0</v>
      </c>
      <c r="N168" s="306"/>
      <c r="O168" s="306">
        <f>IF(O170=0,0,(财务附注数据!AP12-财务附注数据!AN12)*目录!$D$6)</f>
        <v>0</v>
      </c>
      <c r="P168" s="472">
        <v>0</v>
      </c>
      <c r="Q168" s="472">
        <v>0</v>
      </c>
      <c r="R168" s="472">
        <v>0</v>
      </c>
      <c r="S168" s="472"/>
      <c r="T168" s="472"/>
      <c r="U168" s="472"/>
      <c r="V168" s="472"/>
      <c r="W168" s="472"/>
      <c r="X168" s="472"/>
      <c r="Y168" s="472"/>
    </row>
    <row r="169" spans="1:25" ht="14.15">
      <c r="A169" s="751" t="s">
        <v>699</v>
      </c>
      <c r="B169" s="585" t="s">
        <v>1098</v>
      </c>
      <c r="C169" s="579"/>
      <c r="D169" s="519"/>
      <c r="G169" s="339"/>
      <c r="I169" s="306">
        <f>(财务附注数据!AD13-财务附注数据!Z13)*目录!$D$6</f>
        <v>0</v>
      </c>
      <c r="J169" s="306">
        <f>(财务附注数据!AH13-财务附注数据!AD13)*目录!$D$6</f>
        <v>0</v>
      </c>
      <c r="K169" s="306">
        <f>(财务附注数据!AL13-财务附注数据!AH13)*目录!$D$6</f>
        <v>0</v>
      </c>
      <c r="L169" s="306"/>
      <c r="M169" s="306">
        <f>IF(M170=0,0,(财务附注数据!AN13-财务附注数据!AL13)*目录!$D$6)</f>
        <v>0</v>
      </c>
      <c r="N169" s="306"/>
      <c r="O169" s="306">
        <f>IF(O170=0,0,(财务附注数据!AP13-财务附注数据!AN13)*目录!$D$6)</f>
        <v>0</v>
      </c>
      <c r="P169" s="472">
        <v>0</v>
      </c>
      <c r="Q169" s="472">
        <v>0</v>
      </c>
      <c r="R169" s="472">
        <v>0</v>
      </c>
      <c r="S169" s="472"/>
      <c r="T169" s="472"/>
      <c r="U169" s="472"/>
      <c r="V169" s="472"/>
      <c r="W169" s="472"/>
      <c r="X169" s="472"/>
      <c r="Y169" s="472"/>
    </row>
    <row r="170" spans="1:25" ht="14.15">
      <c r="B170" s="584" t="s">
        <v>1078</v>
      </c>
      <c r="C170" s="339"/>
      <c r="G170" s="339"/>
      <c r="I170" s="267">
        <f>资产负债表!Y30</f>
        <v>0</v>
      </c>
      <c r="J170" s="267">
        <f>资产负债表!AC30</f>
        <v>0</v>
      </c>
      <c r="K170" s="267">
        <f>资产负债表!AG30</f>
        <v>0</v>
      </c>
      <c r="L170" s="267">
        <f>资产负债表!AH30</f>
        <v>0</v>
      </c>
      <c r="M170" s="267">
        <f>资产负债表!AI30</f>
        <v>0</v>
      </c>
      <c r="N170" s="267">
        <f>资产负债表!AJ30</f>
        <v>0</v>
      </c>
      <c r="O170" s="267">
        <f>资产负债表!AK30</f>
        <v>0</v>
      </c>
      <c r="P170" s="267">
        <f>P161+P163+P164+P167-P168-P169</f>
        <v>0</v>
      </c>
      <c r="Q170" s="267">
        <f t="shared" ref="Q170:Y170" si="75">Q161+Q163+Q164+Q167-Q168-Q169</f>
        <v>0</v>
      </c>
      <c r="R170" s="267">
        <f t="shared" si="75"/>
        <v>0</v>
      </c>
      <c r="S170" s="267">
        <f t="shared" si="75"/>
        <v>0</v>
      </c>
      <c r="T170" s="267">
        <f t="shared" si="75"/>
        <v>0</v>
      </c>
      <c r="U170" s="267">
        <f t="shared" si="75"/>
        <v>0</v>
      </c>
      <c r="V170" s="267">
        <f t="shared" si="75"/>
        <v>0</v>
      </c>
      <c r="W170" s="267">
        <f t="shared" si="75"/>
        <v>0</v>
      </c>
      <c r="X170" s="267">
        <f t="shared" si="75"/>
        <v>0</v>
      </c>
      <c r="Y170" s="267">
        <f t="shared" si="75"/>
        <v>0</v>
      </c>
    </row>
    <row r="171" spans="1:25" ht="14.15">
      <c r="B171" s="477"/>
      <c r="C171" s="339"/>
      <c r="G171" s="339"/>
    </row>
    <row r="172" spans="1:25" ht="14.15">
      <c r="B172" s="584" t="s">
        <v>1079</v>
      </c>
      <c r="C172" s="339"/>
      <c r="G172" s="339"/>
      <c r="I172" s="267"/>
      <c r="J172" s="267"/>
      <c r="K172" s="267"/>
      <c r="L172" s="267"/>
      <c r="M172" s="267"/>
      <c r="N172" s="267"/>
      <c r="O172" s="267"/>
      <c r="P172" s="267"/>
    </row>
    <row r="173" spans="1:25" ht="14.15">
      <c r="B173" s="584"/>
      <c r="C173" s="581" t="s">
        <v>1080</v>
      </c>
      <c r="G173" s="339"/>
      <c r="I173" s="306">
        <f>资产负债表!U35</f>
        <v>0</v>
      </c>
      <c r="J173" s="306">
        <f>IF(ISERROR(资产负债表!Y35),0,资产负债表!Y35)</f>
        <v>0</v>
      </c>
      <c r="K173" s="306">
        <f>IF(ISERROR(资产负债表!AC35),0,资产负债表!AC35)</f>
        <v>0</v>
      </c>
      <c r="L173" s="306">
        <f>IF(ISERROR(资产负债表!AG35),0,资产负债表!AG35)</f>
        <v>0</v>
      </c>
      <c r="M173" s="306">
        <f>IF(ISERROR(资产负债表!AH35),0,资产负债表!AH35)</f>
        <v>0</v>
      </c>
      <c r="N173" s="306">
        <f>IF(ISERROR(资产负债表!AI35),0,资产负债表!AI35)</f>
        <v>0</v>
      </c>
      <c r="O173" s="306">
        <f>IF(ISERROR(资产负债表!AJ35),0,资产负债表!AJ35)</f>
        <v>0</v>
      </c>
      <c r="P173" s="267">
        <f>K177</f>
        <v>0</v>
      </c>
      <c r="Q173" s="267">
        <f>P177</f>
        <v>0</v>
      </c>
      <c r="R173" s="267">
        <f t="shared" ref="R173:Y173" si="76">Q177</f>
        <v>0</v>
      </c>
      <c r="S173" s="267">
        <f t="shared" si="76"/>
        <v>0</v>
      </c>
      <c r="T173" s="267">
        <f t="shared" si="76"/>
        <v>0</v>
      </c>
      <c r="U173" s="267">
        <f t="shared" si="76"/>
        <v>0</v>
      </c>
      <c r="V173" s="267">
        <f t="shared" si="76"/>
        <v>0</v>
      </c>
      <c r="W173" s="267">
        <f t="shared" si="76"/>
        <v>0</v>
      </c>
      <c r="X173" s="267">
        <f t="shared" si="76"/>
        <v>0</v>
      </c>
      <c r="Y173" s="267">
        <f t="shared" si="76"/>
        <v>0</v>
      </c>
    </row>
    <row r="174" spans="1:25" ht="14.15">
      <c r="A174" s="751" t="s">
        <v>699</v>
      </c>
      <c r="B174" s="584"/>
      <c r="C174" s="579" t="s">
        <v>1076</v>
      </c>
      <c r="D174" s="519"/>
      <c r="G174" s="339"/>
      <c r="I174" s="267"/>
      <c r="J174" s="267">
        <f>J177-I177</f>
        <v>0</v>
      </c>
      <c r="K174" s="267">
        <f>K177-J177</f>
        <v>0</v>
      </c>
      <c r="L174" s="267">
        <f>IF(L177=0,0,L177-K177)</f>
        <v>0</v>
      </c>
      <c r="M174" s="267">
        <f>IF(M177=0,0,M177-L177)</f>
        <v>0</v>
      </c>
      <c r="N174" s="267">
        <f>IF(N177=0,0,N177-M177)</f>
        <v>0</v>
      </c>
      <c r="O174" s="267">
        <f>IF(O177=0,0,O177-N177)</f>
        <v>0</v>
      </c>
      <c r="P174" s="472">
        <v>0</v>
      </c>
      <c r="Q174" s="472">
        <v>0</v>
      </c>
      <c r="R174" s="472">
        <v>0</v>
      </c>
      <c r="S174" s="472"/>
      <c r="T174" s="472"/>
      <c r="U174" s="472"/>
      <c r="V174" s="472"/>
      <c r="W174" s="472"/>
      <c r="X174" s="472"/>
      <c r="Y174" s="472"/>
    </row>
    <row r="175" spans="1:25" ht="14.15">
      <c r="A175" s="751" t="s">
        <v>699</v>
      </c>
      <c r="B175" s="477"/>
      <c r="C175" s="657" t="s">
        <v>1212</v>
      </c>
      <c r="D175" s="519"/>
      <c r="G175" s="339"/>
      <c r="P175" s="472">
        <v>0</v>
      </c>
      <c r="Q175" s="472">
        <v>0</v>
      </c>
      <c r="R175" s="472">
        <v>0</v>
      </c>
      <c r="S175" s="472"/>
      <c r="T175" s="472"/>
      <c r="U175" s="472"/>
      <c r="V175" s="472"/>
      <c r="W175" s="472"/>
      <c r="X175" s="472"/>
      <c r="Y175" s="472"/>
    </row>
    <row r="176" spans="1:25" ht="14.15">
      <c r="A176" s="751" t="s">
        <v>699</v>
      </c>
      <c r="B176" s="585" t="s">
        <v>1099</v>
      </c>
      <c r="C176" s="579"/>
      <c r="D176" s="519"/>
      <c r="G176" s="339"/>
      <c r="P176" s="472">
        <v>0</v>
      </c>
      <c r="Q176" s="472">
        <v>0</v>
      </c>
      <c r="R176" s="472">
        <v>0</v>
      </c>
      <c r="S176" s="472"/>
      <c r="T176" s="472"/>
      <c r="U176" s="472"/>
      <c r="V176" s="472"/>
      <c r="W176" s="472"/>
      <c r="X176" s="472"/>
      <c r="Y176" s="472"/>
    </row>
    <row r="177" spans="1:25" ht="14.15">
      <c r="B177" s="585"/>
      <c r="C177" s="581" t="s">
        <v>1081</v>
      </c>
      <c r="G177" s="339"/>
      <c r="I177" s="267">
        <f>资产负债表!Y35</f>
        <v>0</v>
      </c>
      <c r="J177" s="267">
        <f>资产负债表!AC35</f>
        <v>0</v>
      </c>
      <c r="K177" s="267">
        <f>资产负债表!AG35</f>
        <v>0</v>
      </c>
      <c r="L177" s="267">
        <f>资产负债表!AH35</f>
        <v>0</v>
      </c>
      <c r="M177" s="267">
        <f>资产负债表!AI35</f>
        <v>0</v>
      </c>
      <c r="N177" s="267">
        <f>资产负债表!AJ35</f>
        <v>0</v>
      </c>
      <c r="O177" s="267">
        <f>资产负债表!AK35</f>
        <v>0</v>
      </c>
      <c r="P177" s="267">
        <f>P173+P174-P175-P176</f>
        <v>0</v>
      </c>
      <c r="Q177" s="267">
        <f t="shared" ref="Q177:Y177" si="77">Q173+Q174-Q175-Q176</f>
        <v>0</v>
      </c>
      <c r="R177" s="267">
        <f t="shared" si="77"/>
        <v>0</v>
      </c>
      <c r="S177" s="267">
        <f t="shared" si="77"/>
        <v>0</v>
      </c>
      <c r="T177" s="267">
        <f t="shared" si="77"/>
        <v>0</v>
      </c>
      <c r="U177" s="267">
        <f t="shared" si="77"/>
        <v>0</v>
      </c>
      <c r="V177" s="267">
        <f t="shared" si="77"/>
        <v>0</v>
      </c>
      <c r="W177" s="267">
        <f t="shared" si="77"/>
        <v>0</v>
      </c>
      <c r="X177" s="267">
        <f t="shared" si="77"/>
        <v>0</v>
      </c>
      <c r="Y177" s="267">
        <f t="shared" si="77"/>
        <v>0</v>
      </c>
    </row>
    <row r="178" spans="1:25" ht="14.15">
      <c r="B178" s="585"/>
      <c r="C178" s="579"/>
      <c r="G178" s="339"/>
      <c r="H178" s="2"/>
    </row>
    <row r="179" spans="1:25" s="303" customFormat="1" ht="14.15" thickBot="1">
      <c r="A179" s="749"/>
      <c r="B179" s="474" t="s">
        <v>753</v>
      </c>
      <c r="C179" s="475"/>
      <c r="D179" s="475"/>
      <c r="E179" s="475"/>
      <c r="F179" s="475"/>
      <c r="G179" s="475"/>
      <c r="H179" s="475"/>
      <c r="I179" s="476">
        <f>IF(ISERROR(I115+I132+I140),0,I115+I132+I140)</f>
        <v>0</v>
      </c>
      <c r="J179" s="476">
        <f t="shared" ref="J179:O179" si="78">IF(ISERROR(J115+J132+J140),0,J115+J132+J140)</f>
        <v>0</v>
      </c>
      <c r="K179" s="476">
        <f t="shared" si="78"/>
        <v>0</v>
      </c>
      <c r="L179" s="476">
        <f t="shared" si="78"/>
        <v>0</v>
      </c>
      <c r="M179" s="476">
        <f t="shared" si="78"/>
        <v>0</v>
      </c>
      <c r="N179" s="476">
        <f t="shared" si="78"/>
        <v>0</v>
      </c>
      <c r="O179" s="476">
        <f t="shared" si="78"/>
        <v>0</v>
      </c>
      <c r="P179" s="476">
        <f>IF(ISERROR(P115+P132+P140+P126),0,P115+P132+P140+P126)</f>
        <v>0</v>
      </c>
      <c r="Q179" s="476">
        <f t="shared" ref="Q179:Y179" si="79">IF(ISERROR(Q115+Q132+Q140+Q126),0,Q115+Q132+Q140+Q126)</f>
        <v>0</v>
      </c>
      <c r="R179" s="476">
        <f t="shared" si="79"/>
        <v>0</v>
      </c>
      <c r="S179" s="476">
        <f t="shared" si="79"/>
        <v>0</v>
      </c>
      <c r="T179" s="476">
        <f t="shared" si="79"/>
        <v>0</v>
      </c>
      <c r="U179" s="476">
        <f t="shared" si="79"/>
        <v>0</v>
      </c>
      <c r="V179" s="476">
        <f t="shared" si="79"/>
        <v>0</v>
      </c>
      <c r="W179" s="476">
        <f t="shared" si="79"/>
        <v>0</v>
      </c>
      <c r="X179" s="476">
        <f t="shared" si="79"/>
        <v>0</v>
      </c>
      <c r="Y179" s="476">
        <f t="shared" si="79"/>
        <v>0</v>
      </c>
    </row>
    <row r="180" spans="1:25" s="303" customFormat="1" ht="14.15" thickTop="1">
      <c r="A180" s="749"/>
      <c r="B180" s="261"/>
      <c r="C180" s="667" t="s">
        <v>1215</v>
      </c>
      <c r="I180" s="353"/>
      <c r="J180" s="353"/>
      <c r="K180" s="353"/>
      <c r="L180" s="353"/>
      <c r="M180" s="353"/>
      <c r="N180" s="353"/>
      <c r="O180" s="353"/>
      <c r="P180" s="267">
        <f>IF(ISERROR(P123+P134+P148+P157+P169+P176),0,P123+P134+P148+P157+P169+P176)</f>
        <v>0</v>
      </c>
      <c r="Q180" s="267">
        <f t="shared" ref="Q180:Y180" si="80">IF(ISERROR(Q123+Q134+Q148+Q157+Q169+Q176),0,Q123+Q134+Q148+Q157+Q169+Q176)</f>
        <v>0</v>
      </c>
      <c r="R180" s="267">
        <f t="shared" si="80"/>
        <v>0</v>
      </c>
      <c r="S180" s="267">
        <f t="shared" si="80"/>
        <v>0</v>
      </c>
      <c r="T180" s="267">
        <f t="shared" si="80"/>
        <v>0</v>
      </c>
      <c r="U180" s="267">
        <f t="shared" si="80"/>
        <v>0</v>
      </c>
      <c r="V180" s="267">
        <f t="shared" si="80"/>
        <v>0</v>
      </c>
      <c r="W180" s="267">
        <f t="shared" si="80"/>
        <v>0</v>
      </c>
      <c r="X180" s="267">
        <f t="shared" si="80"/>
        <v>0</v>
      </c>
      <c r="Y180" s="267">
        <f t="shared" si="80"/>
        <v>0</v>
      </c>
    </row>
    <row r="181" spans="1:25" ht="13.75">
      <c r="B181" s="261"/>
      <c r="I181" s="267"/>
      <c r="J181" s="267"/>
      <c r="K181" s="267"/>
      <c r="L181" s="267"/>
      <c r="M181" s="267"/>
      <c r="N181" s="267"/>
      <c r="O181" s="267"/>
      <c r="P181" s="267"/>
      <c r="Q181" s="267"/>
      <c r="R181" s="267"/>
      <c r="S181" s="267"/>
      <c r="T181" s="267"/>
      <c r="U181" s="267"/>
      <c r="V181" s="267"/>
      <c r="W181" s="267"/>
      <c r="X181" s="267"/>
      <c r="Y181" s="267"/>
    </row>
    <row r="182" spans="1:25" ht="13.75">
      <c r="B182" s="261"/>
      <c r="I182" s="267"/>
      <c r="J182" s="267"/>
      <c r="K182" s="267"/>
      <c r="L182" s="267"/>
      <c r="M182" s="267"/>
      <c r="N182" s="267"/>
      <c r="O182" s="267"/>
      <c r="P182" s="267"/>
      <c r="Q182" s="267"/>
      <c r="R182" s="267"/>
      <c r="S182" s="267"/>
      <c r="T182" s="267"/>
      <c r="U182" s="267"/>
      <c r="V182" s="267"/>
      <c r="W182" s="267"/>
      <c r="X182" s="267"/>
      <c r="Y182" s="267"/>
    </row>
    <row r="183" spans="1:25" s="295" customFormat="1" ht="14.15">
      <c r="A183" s="747"/>
      <c r="B183" s="153" t="s">
        <v>754</v>
      </c>
      <c r="C183" s="154"/>
      <c r="D183" s="155"/>
      <c r="E183" s="739"/>
      <c r="F183" s="155"/>
      <c r="G183" s="154"/>
      <c r="H183" s="155"/>
      <c r="I183" s="155"/>
      <c r="J183" s="155"/>
      <c r="K183" s="155"/>
      <c r="L183" s="155"/>
      <c r="M183" s="155"/>
      <c r="N183" s="155"/>
      <c r="O183" s="155"/>
      <c r="P183" s="155"/>
      <c r="Q183" s="155"/>
      <c r="R183" s="155"/>
      <c r="S183" s="155"/>
      <c r="T183" s="155"/>
      <c r="U183" s="155"/>
      <c r="V183" s="155"/>
      <c r="W183" s="155"/>
      <c r="X183" s="155"/>
      <c r="Y183" s="155"/>
    </row>
    <row r="184" spans="1:25" ht="13.75">
      <c r="B184" s="296" t="str">
        <f>"单位："&amp;目录!D5</f>
        <v>单位：港元</v>
      </c>
    </row>
    <row r="185" spans="1:25" s="291" customFormat="1" ht="14.6" thickBot="1">
      <c r="A185" s="748"/>
      <c r="B185" s="298" t="s">
        <v>719</v>
      </c>
      <c r="C185" s="299"/>
      <c r="D185" s="299"/>
      <c r="E185" s="299"/>
      <c r="F185" s="299"/>
      <c r="G185" s="299"/>
      <c r="H185" s="299"/>
      <c r="I185" s="300">
        <f t="shared" ref="I185:Y185" si="81">I4</f>
        <v>2021</v>
      </c>
      <c r="J185" s="300">
        <f t="shared" si="81"/>
        <v>2022</v>
      </c>
      <c r="K185" s="300">
        <f t="shared" si="81"/>
        <v>2023</v>
      </c>
      <c r="L185" s="301" t="str">
        <f t="shared" si="81"/>
        <v>1Q23</v>
      </c>
      <c r="M185" s="301" t="str">
        <f t="shared" si="81"/>
        <v>1H21</v>
      </c>
      <c r="N185" s="301" t="str">
        <f t="shared" si="81"/>
        <v>3Q21</v>
      </c>
      <c r="O185" s="301" t="str">
        <f t="shared" si="81"/>
        <v>-</v>
      </c>
      <c r="P185" s="301" t="str">
        <f t="shared" si="81"/>
        <v>-E</v>
      </c>
      <c r="Q185" s="302" t="e">
        <f t="shared" si="81"/>
        <v>#VALUE!</v>
      </c>
      <c r="R185" s="302" t="e">
        <f t="shared" si="81"/>
        <v>#VALUE!</v>
      </c>
      <c r="S185" s="302" t="e">
        <f t="shared" si="81"/>
        <v>#VALUE!</v>
      </c>
      <c r="T185" s="302" t="e">
        <f t="shared" si="81"/>
        <v>#VALUE!</v>
      </c>
      <c r="U185" s="302" t="e">
        <f t="shared" si="81"/>
        <v>#VALUE!</v>
      </c>
      <c r="V185" s="302" t="e">
        <f t="shared" si="81"/>
        <v>#VALUE!</v>
      </c>
      <c r="W185" s="302" t="e">
        <f t="shared" si="81"/>
        <v>#VALUE!</v>
      </c>
      <c r="X185" s="302" t="e">
        <f t="shared" si="81"/>
        <v>#VALUE!</v>
      </c>
      <c r="Y185" s="302" t="e">
        <f t="shared" si="81"/>
        <v>#VALUE!</v>
      </c>
    </row>
    <row r="186" spans="1:25" s="346" customFormat="1" ht="14.6" thickTop="1">
      <c r="A186" s="755"/>
      <c r="B186" s="343"/>
      <c r="C186" s="344"/>
      <c r="D186" s="344"/>
      <c r="E186" s="740"/>
      <c r="F186" s="344"/>
      <c r="G186" s="344"/>
      <c r="H186" s="344"/>
      <c r="I186" s="345"/>
      <c r="J186" s="345"/>
      <c r="K186" s="345"/>
      <c r="L186" s="345"/>
      <c r="M186" s="345"/>
      <c r="N186" s="345"/>
      <c r="O186" s="345"/>
      <c r="P186" s="345"/>
      <c r="Q186" s="345"/>
      <c r="R186" s="345"/>
      <c r="S186" s="345"/>
      <c r="T186" s="345"/>
      <c r="U186" s="345"/>
      <c r="V186" s="345"/>
      <c r="W186" s="345"/>
      <c r="X186" s="345"/>
      <c r="Y186" s="345"/>
    </row>
    <row r="187" spans="1:25" s="303" customFormat="1" ht="13.75">
      <c r="A187" s="749"/>
      <c r="B187" s="319" t="s">
        <v>755</v>
      </c>
    </row>
    <row r="188" spans="1:25" s="303" customFormat="1" ht="13.75">
      <c r="A188" s="749"/>
      <c r="B188" s="261" t="s">
        <v>756</v>
      </c>
      <c r="C188" s="260"/>
      <c r="D188" s="260"/>
      <c r="E188" s="260"/>
      <c r="F188" s="260"/>
      <c r="G188" s="260"/>
      <c r="H188" s="260"/>
    </row>
    <row r="189" spans="1:25" ht="13.75">
      <c r="A189" s="751" t="s">
        <v>699</v>
      </c>
      <c r="B189" s="261"/>
      <c r="C189" s="325" t="s">
        <v>757</v>
      </c>
      <c r="D189" s="519"/>
      <c r="G189" s="325"/>
      <c r="I189" s="324"/>
      <c r="J189" s="267"/>
      <c r="K189" s="267"/>
      <c r="L189" s="306"/>
      <c r="M189" s="306"/>
      <c r="N189" s="306"/>
      <c r="O189" s="306"/>
      <c r="P189" s="472">
        <v>0</v>
      </c>
      <c r="Q189" s="472">
        <v>0</v>
      </c>
      <c r="R189" s="472">
        <v>0</v>
      </c>
      <c r="S189" s="110"/>
      <c r="T189" s="110"/>
      <c r="U189" s="110"/>
      <c r="V189" s="110"/>
      <c r="W189" s="110"/>
      <c r="X189" s="110"/>
      <c r="Y189" s="110"/>
    </row>
    <row r="190" spans="1:25" ht="13.75">
      <c r="B190" s="261"/>
      <c r="C190" s="325" t="s">
        <v>758</v>
      </c>
      <c r="G190" s="325"/>
      <c r="I190" s="324"/>
      <c r="J190" s="267"/>
      <c r="K190" s="267"/>
      <c r="L190" s="267"/>
      <c r="M190" s="267"/>
      <c r="N190" s="267"/>
      <c r="O190" s="267"/>
      <c r="P190" s="472">
        <v>0</v>
      </c>
      <c r="Q190" s="472">
        <v>0</v>
      </c>
      <c r="R190" s="472">
        <v>0</v>
      </c>
      <c r="S190" s="110"/>
      <c r="T190" s="110"/>
      <c r="U190" s="110"/>
      <c r="V190" s="110"/>
      <c r="W190" s="110"/>
      <c r="X190" s="110"/>
      <c r="Y190" s="110"/>
    </row>
    <row r="191" spans="1:25">
      <c r="B191" s="348"/>
      <c r="C191" s="349"/>
      <c r="G191" s="349"/>
      <c r="I191" s="267"/>
      <c r="J191" s="267"/>
      <c r="K191" s="267"/>
      <c r="L191" s="267"/>
      <c r="M191" s="267"/>
      <c r="N191" s="267"/>
      <c r="O191" s="267"/>
      <c r="P191" s="267"/>
      <c r="Q191" s="267"/>
      <c r="R191" s="267"/>
      <c r="S191" s="267"/>
      <c r="T191" s="267"/>
      <c r="U191" s="267"/>
      <c r="V191" s="267"/>
      <c r="W191" s="267"/>
      <c r="X191" s="267"/>
      <c r="Y191" s="267"/>
    </row>
    <row r="192" spans="1:25" ht="13.75">
      <c r="B192" s="261"/>
      <c r="C192" s="325" t="s">
        <v>759</v>
      </c>
      <c r="G192" s="325"/>
      <c r="I192" s="267"/>
      <c r="J192" s="267"/>
      <c r="K192" s="267"/>
      <c r="L192" s="267"/>
      <c r="M192" s="267"/>
      <c r="N192" s="267"/>
      <c r="O192" s="267"/>
      <c r="P192" s="267">
        <f t="shared" ref="P192:Y192" si="82">P189</f>
        <v>0</v>
      </c>
      <c r="Q192" s="267">
        <f t="shared" si="82"/>
        <v>0</v>
      </c>
      <c r="R192" s="267">
        <f t="shared" si="82"/>
        <v>0</v>
      </c>
      <c r="S192" s="267">
        <f t="shared" si="82"/>
        <v>0</v>
      </c>
      <c r="T192" s="267">
        <f t="shared" si="82"/>
        <v>0</v>
      </c>
      <c r="U192" s="267">
        <f t="shared" si="82"/>
        <v>0</v>
      </c>
      <c r="V192" s="267">
        <f t="shared" si="82"/>
        <v>0</v>
      </c>
      <c r="W192" s="267">
        <f t="shared" si="82"/>
        <v>0</v>
      </c>
      <c r="X192" s="267">
        <f t="shared" si="82"/>
        <v>0</v>
      </c>
      <c r="Y192" s="267">
        <f t="shared" si="82"/>
        <v>0</v>
      </c>
    </row>
    <row r="193" spans="1:25" ht="13.75">
      <c r="B193" s="261"/>
      <c r="C193" s="325" t="s">
        <v>760</v>
      </c>
      <c r="G193" s="325"/>
      <c r="I193" s="267"/>
      <c r="J193" s="267"/>
      <c r="K193" s="267"/>
      <c r="L193" s="267"/>
      <c r="M193" s="267"/>
      <c r="N193" s="267"/>
      <c r="O193" s="267"/>
      <c r="P193" s="267">
        <f>P189*P190-P192</f>
        <v>0</v>
      </c>
      <c r="Q193" s="267">
        <f t="shared" ref="Q193:Y193" si="83">Q189*Q190-Q192</f>
        <v>0</v>
      </c>
      <c r="R193" s="267">
        <f t="shared" si="83"/>
        <v>0</v>
      </c>
      <c r="S193" s="267">
        <f t="shared" si="83"/>
        <v>0</v>
      </c>
      <c r="T193" s="267">
        <f t="shared" si="83"/>
        <v>0</v>
      </c>
      <c r="U193" s="267">
        <f t="shared" si="83"/>
        <v>0</v>
      </c>
      <c r="V193" s="267">
        <f t="shared" si="83"/>
        <v>0</v>
      </c>
      <c r="W193" s="267">
        <f t="shared" si="83"/>
        <v>0</v>
      </c>
      <c r="X193" s="267">
        <f t="shared" si="83"/>
        <v>0</v>
      </c>
      <c r="Y193" s="267">
        <f t="shared" si="83"/>
        <v>0</v>
      </c>
    </row>
    <row r="194" spans="1:25" ht="13.75">
      <c r="B194" s="261"/>
      <c r="C194" s="325"/>
      <c r="L194" s="267"/>
      <c r="M194" s="267"/>
      <c r="N194" s="267"/>
      <c r="O194" s="267"/>
      <c r="P194" s="267"/>
      <c r="Q194" s="267"/>
      <c r="R194" s="267"/>
      <c r="S194" s="267"/>
      <c r="T194" s="267"/>
      <c r="U194" s="267"/>
      <c r="V194" s="267"/>
      <c r="W194" s="267"/>
      <c r="X194" s="267"/>
      <c r="Y194" s="267"/>
    </row>
    <row r="195" spans="1:25" ht="13.75">
      <c r="B195" s="637" t="s">
        <v>1193</v>
      </c>
      <c r="I195" s="267"/>
      <c r="J195" s="267"/>
      <c r="K195" s="267"/>
      <c r="L195" s="267"/>
      <c r="M195" s="267"/>
      <c r="N195" s="267"/>
      <c r="O195" s="267"/>
      <c r="P195" s="267"/>
      <c r="Q195" s="267"/>
      <c r="R195" s="267"/>
      <c r="S195" s="267"/>
      <c r="T195" s="267"/>
      <c r="U195" s="267"/>
      <c r="V195" s="267"/>
      <c r="W195" s="267"/>
      <c r="X195" s="267"/>
      <c r="Y195" s="267"/>
    </row>
    <row r="196" spans="1:25" ht="13.75">
      <c r="A196" s="749"/>
      <c r="B196" s="564" t="s">
        <v>1084</v>
      </c>
      <c r="C196" s="303"/>
      <c r="D196" s="303"/>
      <c r="F196" s="303"/>
      <c r="G196" s="303"/>
      <c r="H196" s="303"/>
      <c r="I196" s="353"/>
      <c r="J196" s="353"/>
      <c r="K196" s="353"/>
      <c r="L196" s="353"/>
      <c r="M196" s="353"/>
      <c r="N196" s="353"/>
      <c r="O196" s="353"/>
      <c r="P196" s="353"/>
      <c r="Q196" s="353"/>
      <c r="R196" s="353"/>
      <c r="S196" s="353"/>
      <c r="T196" s="353"/>
      <c r="U196" s="353"/>
      <c r="V196" s="353"/>
      <c r="W196" s="353"/>
      <c r="X196" s="353"/>
      <c r="Y196" s="353"/>
    </row>
    <row r="197" spans="1:25" s="264" customFormat="1" ht="13.75">
      <c r="A197" s="756"/>
      <c r="B197" s="266"/>
      <c r="C197" s="325" t="s">
        <v>761</v>
      </c>
      <c r="D197" s="741"/>
      <c r="F197" s="260"/>
      <c r="G197" s="325"/>
      <c r="H197" s="350"/>
      <c r="I197" s="306">
        <f>资产负债表!U66</f>
        <v>0</v>
      </c>
      <c r="J197" s="306">
        <f>IF(ISERROR(资产负债表!Y66),0,资产负债表!Y66)</f>
        <v>0</v>
      </c>
      <c r="K197" s="306">
        <f>IF(ISERROR(资产负债表!AC66),0,资产负债表!AC66)</f>
        <v>0</v>
      </c>
      <c r="L197" s="306">
        <f>IF(ISERROR(资产负债表!AG66),0,资产负债表!AG66)</f>
        <v>0</v>
      </c>
      <c r="M197" s="306">
        <f>IF(ISERROR(资产负债表!AH66),0,资产负债表!AH66)</f>
        <v>0</v>
      </c>
      <c r="N197" s="306">
        <f>IF(ISERROR(资产负债表!AI66),0,资产负债表!AI66)</f>
        <v>0</v>
      </c>
      <c r="O197" s="306">
        <f>IF(ISERROR(资产负债表!AJ66),0,资产负债表!AJ66)</f>
        <v>0</v>
      </c>
      <c r="P197" s="267">
        <f>K200</f>
        <v>0</v>
      </c>
      <c r="Q197" s="267">
        <f>P200</f>
        <v>0</v>
      </c>
      <c r="R197" s="267">
        <f>Q200</f>
        <v>0</v>
      </c>
      <c r="S197" s="267">
        <f t="shared" ref="S197:Y197" si="84">R200</f>
        <v>0</v>
      </c>
      <c r="T197" s="267">
        <f t="shared" si="84"/>
        <v>0</v>
      </c>
      <c r="U197" s="267">
        <f t="shared" si="84"/>
        <v>0</v>
      </c>
      <c r="V197" s="267">
        <f t="shared" si="84"/>
        <v>0</v>
      </c>
      <c r="W197" s="267">
        <f t="shared" si="84"/>
        <v>0</v>
      </c>
      <c r="X197" s="267">
        <f t="shared" si="84"/>
        <v>0</v>
      </c>
      <c r="Y197" s="267">
        <f t="shared" si="84"/>
        <v>0</v>
      </c>
    </row>
    <row r="198" spans="1:25" ht="13.75">
      <c r="A198" s="751" t="s">
        <v>699</v>
      </c>
      <c r="B198" s="261"/>
      <c r="C198" s="683" t="s">
        <v>1218</v>
      </c>
      <c r="D198" s="519"/>
      <c r="G198" s="325"/>
      <c r="I198" s="324"/>
      <c r="J198" s="267">
        <f>J200-I200</f>
        <v>0</v>
      </c>
      <c r="K198" s="267">
        <f>K200-J200</f>
        <v>0</v>
      </c>
      <c r="L198" s="267">
        <f>IF(L200=0,0,L200-K200)</f>
        <v>0</v>
      </c>
      <c r="M198" s="267">
        <f>IF(M200=0,0,M200-L200)</f>
        <v>0</v>
      </c>
      <c r="N198" s="267">
        <f>IF(N200=0,0,N200-M200)</f>
        <v>0</v>
      </c>
      <c r="O198" s="267">
        <f>IF(O200=0,0,O200-N200)</f>
        <v>0</v>
      </c>
      <c r="P198" s="472">
        <v>0</v>
      </c>
      <c r="Q198" s="472">
        <v>0</v>
      </c>
      <c r="R198" s="472">
        <v>0</v>
      </c>
      <c r="S198" s="110">
        <v>0</v>
      </c>
      <c r="T198" s="110">
        <v>0</v>
      </c>
      <c r="U198" s="110">
        <v>0</v>
      </c>
      <c r="V198" s="110">
        <v>0</v>
      </c>
      <c r="W198" s="110">
        <v>0</v>
      </c>
      <c r="X198" s="110">
        <v>0</v>
      </c>
      <c r="Y198" s="110">
        <v>0</v>
      </c>
    </row>
    <row r="199" spans="1:25" ht="13.75">
      <c r="A199" s="751" t="s">
        <v>699</v>
      </c>
      <c r="B199" s="261"/>
      <c r="C199" s="683" t="s">
        <v>1219</v>
      </c>
      <c r="D199" s="519"/>
      <c r="G199" s="325"/>
      <c r="I199" s="324"/>
      <c r="J199" s="267"/>
      <c r="K199" s="267"/>
      <c r="L199" s="306"/>
      <c r="M199" s="306"/>
      <c r="N199" s="306"/>
      <c r="O199" s="306"/>
      <c r="P199" s="472">
        <v>0</v>
      </c>
      <c r="Q199" s="472">
        <v>0</v>
      </c>
      <c r="R199" s="472">
        <v>0</v>
      </c>
      <c r="S199" s="110">
        <v>0</v>
      </c>
      <c r="T199" s="110">
        <v>0</v>
      </c>
      <c r="U199" s="110">
        <v>0</v>
      </c>
      <c r="V199" s="110">
        <v>0</v>
      </c>
      <c r="W199" s="110">
        <v>0</v>
      </c>
      <c r="X199" s="110">
        <v>0</v>
      </c>
      <c r="Y199" s="110">
        <v>0</v>
      </c>
    </row>
    <row r="200" spans="1:25" ht="13.75">
      <c r="B200" s="261"/>
      <c r="C200" s="325" t="s">
        <v>762</v>
      </c>
      <c r="G200" s="325"/>
      <c r="I200" s="267">
        <f>资产负债表!Y66</f>
        <v>0</v>
      </c>
      <c r="J200" s="267">
        <f>资产负债表!AC66</f>
        <v>0</v>
      </c>
      <c r="K200" s="267">
        <f>资产负债表!AG66</f>
        <v>0</v>
      </c>
      <c r="L200" s="267">
        <f>资产负债表!AH66</f>
        <v>0</v>
      </c>
      <c r="M200" s="267">
        <f>资产负债表!AI66</f>
        <v>0</v>
      </c>
      <c r="N200" s="267">
        <f>资产负债表!AJ66</f>
        <v>0</v>
      </c>
      <c r="O200" s="267">
        <f>资产负债表!AK66</f>
        <v>0</v>
      </c>
      <c r="P200" s="267">
        <f>IF(ISERROR(P197+P198-P199),0,P197+P198-P199)</f>
        <v>0</v>
      </c>
      <c r="Q200" s="267">
        <f t="shared" ref="Q200:Y200" si="85">IF(ISERROR(Q197+Q198-Q199),0,Q197+Q198-Q199)</f>
        <v>0</v>
      </c>
      <c r="R200" s="267">
        <f t="shared" si="85"/>
        <v>0</v>
      </c>
      <c r="S200" s="267">
        <f t="shared" si="85"/>
        <v>0</v>
      </c>
      <c r="T200" s="267">
        <f t="shared" si="85"/>
        <v>0</v>
      </c>
      <c r="U200" s="267">
        <f t="shared" si="85"/>
        <v>0</v>
      </c>
      <c r="V200" s="267">
        <f t="shared" si="85"/>
        <v>0</v>
      </c>
      <c r="W200" s="267">
        <f t="shared" si="85"/>
        <v>0</v>
      </c>
      <c r="X200" s="267">
        <f t="shared" si="85"/>
        <v>0</v>
      </c>
      <c r="Y200" s="267">
        <f t="shared" si="85"/>
        <v>0</v>
      </c>
    </row>
    <row r="201" spans="1:25" ht="13.75">
      <c r="B201" s="261"/>
      <c r="C201" s="325"/>
      <c r="G201" s="325"/>
      <c r="I201" s="267"/>
      <c r="J201" s="267"/>
      <c r="K201" s="267"/>
      <c r="L201" s="267"/>
      <c r="M201" s="267"/>
      <c r="N201" s="267"/>
      <c r="O201" s="267"/>
      <c r="P201" s="267"/>
      <c r="Q201" s="267"/>
      <c r="R201" s="267"/>
      <c r="S201" s="267"/>
      <c r="T201" s="267"/>
      <c r="U201" s="267"/>
      <c r="V201" s="267"/>
      <c r="W201" s="267"/>
      <c r="X201" s="267"/>
      <c r="Y201" s="267"/>
    </row>
    <row r="202" spans="1:25" s="264" customFormat="1" ht="14.15">
      <c r="A202" s="750"/>
      <c r="B202" s="637" t="s">
        <v>1194</v>
      </c>
      <c r="C202" s="310"/>
      <c r="G202" s="310"/>
      <c r="I202" s="321"/>
      <c r="J202" s="352"/>
      <c r="K202" s="352"/>
      <c r="L202" s="321"/>
      <c r="M202" s="321"/>
      <c r="N202" s="321"/>
      <c r="O202" s="321"/>
      <c r="P202" s="321"/>
      <c r="Q202" s="352"/>
      <c r="R202" s="352"/>
      <c r="S202" s="352"/>
      <c r="T202" s="352"/>
      <c r="U202" s="352"/>
      <c r="V202" s="352"/>
      <c r="W202" s="352"/>
      <c r="X202" s="352"/>
      <c r="Y202" s="352"/>
    </row>
    <row r="203" spans="1:25" s="264" customFormat="1" ht="14.15">
      <c r="A203" s="749"/>
      <c r="B203" s="564" t="s">
        <v>1085</v>
      </c>
      <c r="C203" s="303"/>
      <c r="D203" s="303"/>
      <c r="F203" s="303"/>
      <c r="G203" s="303"/>
      <c r="H203" s="303"/>
      <c r="I203" s="321"/>
      <c r="J203" s="352"/>
      <c r="K203" s="352"/>
      <c r="L203" s="321"/>
      <c r="M203" s="321"/>
      <c r="N203" s="321"/>
      <c r="O203" s="321"/>
      <c r="P203" s="321"/>
      <c r="Q203" s="352"/>
      <c r="R203" s="352"/>
      <c r="S203" s="352"/>
      <c r="T203" s="352"/>
      <c r="U203" s="352"/>
      <c r="V203" s="352"/>
      <c r="W203" s="352"/>
      <c r="X203" s="352"/>
      <c r="Y203" s="352"/>
    </row>
    <row r="204" spans="1:25" s="264" customFormat="1" ht="13.75">
      <c r="A204" s="756"/>
      <c r="B204" s="266"/>
      <c r="C204" s="325" t="s">
        <v>761</v>
      </c>
      <c r="D204" s="741"/>
      <c r="F204" s="350"/>
      <c r="G204" s="325"/>
      <c r="H204" s="350"/>
      <c r="I204" s="306">
        <f>资产负债表!U65</f>
        <v>0</v>
      </c>
      <c r="J204" s="306">
        <f>IF(ISERROR(资产负债表!Y65),0,资产负债表!Y65)</f>
        <v>0</v>
      </c>
      <c r="K204" s="306">
        <f>IF(ISERROR(资产负债表!AC65),0,资产负债表!AC65)</f>
        <v>0</v>
      </c>
      <c r="L204" s="306">
        <f>IF(ISERROR(资产负债表!AG65),0,资产负债表!AG65)</f>
        <v>0</v>
      </c>
      <c r="M204" s="306">
        <f>IF(ISERROR(资产负债表!AH65),0,资产负债表!AH65)</f>
        <v>0</v>
      </c>
      <c r="N204" s="306">
        <f>IF(ISERROR(资产负债表!AI65),0,资产负债表!AI65)</f>
        <v>0</v>
      </c>
      <c r="O204" s="306">
        <f>IF(ISERROR(资产负债表!AJ65),0,资产负债表!AJ65)</f>
        <v>0</v>
      </c>
      <c r="P204" s="267">
        <f>K206</f>
        <v>0</v>
      </c>
      <c r="Q204" s="267">
        <f>P206</f>
        <v>0</v>
      </c>
      <c r="R204" s="267">
        <f>Q206</f>
        <v>0</v>
      </c>
      <c r="S204" s="267">
        <f t="shared" ref="S204:Y204" si="86">R206</f>
        <v>0</v>
      </c>
      <c r="T204" s="267">
        <f t="shared" si="86"/>
        <v>0</v>
      </c>
      <c r="U204" s="267">
        <f t="shared" si="86"/>
        <v>0</v>
      </c>
      <c r="V204" s="267">
        <f t="shared" si="86"/>
        <v>0</v>
      </c>
      <c r="W204" s="267">
        <f t="shared" si="86"/>
        <v>0</v>
      </c>
      <c r="X204" s="267">
        <f t="shared" si="86"/>
        <v>0</v>
      </c>
      <c r="Y204" s="267">
        <f t="shared" si="86"/>
        <v>0</v>
      </c>
    </row>
    <row r="205" spans="1:25" s="264" customFormat="1" ht="13.75">
      <c r="A205" s="751" t="s">
        <v>699</v>
      </c>
      <c r="B205" s="261"/>
      <c r="C205" s="325" t="s">
        <v>746</v>
      </c>
      <c r="D205" s="519"/>
      <c r="F205" s="260"/>
      <c r="G205" s="325"/>
      <c r="H205" s="260"/>
      <c r="I205" s="354"/>
      <c r="J205" s="267">
        <f>J206-I206</f>
        <v>0</v>
      </c>
      <c r="K205" s="267">
        <f>K206-J206</f>
        <v>0</v>
      </c>
      <c r="L205" s="267">
        <f>IF(L206=0,0,L206-K206)</f>
        <v>0</v>
      </c>
      <c r="M205" s="267">
        <f>IF(M206=0,0,M206-L206)</f>
        <v>0</v>
      </c>
      <c r="N205" s="267">
        <f>IF(N206=0,0,N206-M206)</f>
        <v>0</v>
      </c>
      <c r="O205" s="267">
        <f>IF(O206=0,0,O206-N206)</f>
        <v>0</v>
      </c>
      <c r="P205" s="472">
        <v>0</v>
      </c>
      <c r="Q205" s="472">
        <v>0</v>
      </c>
      <c r="R205" s="472">
        <v>0</v>
      </c>
      <c r="S205" s="110"/>
      <c r="T205" s="110"/>
      <c r="U205" s="110"/>
      <c r="V205" s="110"/>
      <c r="W205" s="110"/>
      <c r="X205" s="110"/>
      <c r="Y205" s="110"/>
    </row>
    <row r="206" spans="1:25" s="264" customFormat="1" ht="13.75">
      <c r="A206" s="756"/>
      <c r="B206" s="266"/>
      <c r="C206" s="325" t="s">
        <v>762</v>
      </c>
      <c r="D206" s="741"/>
      <c r="F206" s="350"/>
      <c r="G206" s="325"/>
      <c r="H206" s="350"/>
      <c r="I206" s="267">
        <f>资产负债表!Y65</f>
        <v>0</v>
      </c>
      <c r="J206" s="267">
        <f>资产负债表!AC65</f>
        <v>0</v>
      </c>
      <c r="K206" s="267">
        <f>资产负债表!AG65</f>
        <v>0</v>
      </c>
      <c r="L206" s="267">
        <f>资产负债表!AH65</f>
        <v>0</v>
      </c>
      <c r="M206" s="267">
        <f>资产负债表!AI65</f>
        <v>0</v>
      </c>
      <c r="N206" s="267">
        <f>资产负债表!AJ65</f>
        <v>0</v>
      </c>
      <c r="O206" s="267">
        <f>资产负债表!AK65</f>
        <v>0</v>
      </c>
      <c r="P206" s="267">
        <f t="shared" ref="P206:Y206" si="87">IF(ISERROR(P204+P205),0,P204+P205)</f>
        <v>0</v>
      </c>
      <c r="Q206" s="267">
        <f t="shared" si="87"/>
        <v>0</v>
      </c>
      <c r="R206" s="267">
        <f t="shared" si="87"/>
        <v>0</v>
      </c>
      <c r="S206" s="267">
        <f t="shared" si="87"/>
        <v>0</v>
      </c>
      <c r="T206" s="267">
        <f t="shared" si="87"/>
        <v>0</v>
      </c>
      <c r="U206" s="267">
        <f t="shared" si="87"/>
        <v>0</v>
      </c>
      <c r="V206" s="267">
        <f t="shared" si="87"/>
        <v>0</v>
      </c>
      <c r="W206" s="267">
        <f t="shared" si="87"/>
        <v>0</v>
      </c>
      <c r="X206" s="267">
        <f t="shared" si="87"/>
        <v>0</v>
      </c>
      <c r="Y206" s="267">
        <f t="shared" si="87"/>
        <v>0</v>
      </c>
    </row>
    <row r="207" spans="1:25" s="264" customFormat="1" ht="14.15">
      <c r="A207" s="756"/>
      <c r="B207" s="266"/>
      <c r="C207" s="325"/>
      <c r="D207" s="741"/>
      <c r="F207" s="350"/>
      <c r="G207" s="310"/>
      <c r="H207" s="350"/>
      <c r="I207" s="321"/>
      <c r="J207" s="352"/>
      <c r="K207" s="352"/>
      <c r="L207" s="321"/>
      <c r="M207" s="321"/>
      <c r="N207" s="321"/>
      <c r="O207" s="321"/>
      <c r="P207" s="321"/>
      <c r="Q207" s="352"/>
      <c r="R207" s="352"/>
      <c r="S207" s="352"/>
      <c r="T207" s="352"/>
      <c r="U207" s="352"/>
      <c r="V207" s="352"/>
      <c r="W207" s="352"/>
      <c r="X207" s="352"/>
      <c r="Y207" s="352"/>
    </row>
    <row r="208" spans="1:25" s="264" customFormat="1" ht="14.15">
      <c r="A208" s="756"/>
      <c r="B208" s="637" t="s">
        <v>1195</v>
      </c>
      <c r="C208" s="325"/>
      <c r="D208" s="741"/>
      <c r="F208" s="350"/>
      <c r="G208" s="310"/>
      <c r="H208" s="350"/>
      <c r="I208" s="321"/>
      <c r="J208" s="352"/>
      <c r="K208" s="352"/>
      <c r="L208" s="321"/>
      <c r="M208" s="321"/>
      <c r="N208" s="321"/>
      <c r="O208" s="321"/>
      <c r="P208" s="321"/>
      <c r="Q208" s="352"/>
      <c r="R208" s="352"/>
      <c r="S208" s="352"/>
      <c r="T208" s="352"/>
      <c r="U208" s="352"/>
      <c r="V208" s="352"/>
      <c r="W208" s="352"/>
      <c r="X208" s="352"/>
      <c r="Y208" s="352"/>
    </row>
    <row r="209" spans="1:25" s="264" customFormat="1" ht="14.15">
      <c r="A209" s="750"/>
      <c r="B209" s="637" t="s">
        <v>1196</v>
      </c>
      <c r="C209" s="329"/>
      <c r="F209" s="260"/>
      <c r="G209" s="310"/>
      <c r="I209" s="324"/>
      <c r="J209" s="352"/>
      <c r="K209" s="352"/>
      <c r="L209" s="267"/>
      <c r="M209" s="267"/>
      <c r="N209" s="267"/>
      <c r="O209" s="267"/>
      <c r="P209" s="324"/>
      <c r="Q209" s="324"/>
      <c r="R209" s="324"/>
      <c r="S209" s="324"/>
      <c r="T209" s="324"/>
      <c r="U209" s="324"/>
      <c r="V209" s="324"/>
      <c r="W209" s="324"/>
      <c r="X209" s="324"/>
      <c r="Y209" s="324"/>
    </row>
    <row r="210" spans="1:25" s="264" customFormat="1" ht="14.15">
      <c r="A210" s="751" t="s">
        <v>699</v>
      </c>
      <c r="B210" s="564"/>
      <c r="C210" s="581" t="s">
        <v>1086</v>
      </c>
      <c r="D210" s="519"/>
      <c r="F210" s="260"/>
      <c r="G210" s="310"/>
      <c r="I210" s="324"/>
      <c r="J210" s="352"/>
      <c r="K210" s="352"/>
      <c r="L210" s="267"/>
      <c r="M210" s="267"/>
      <c r="N210" s="267"/>
      <c r="O210" s="267"/>
      <c r="P210" s="472">
        <v>0</v>
      </c>
      <c r="Q210" s="472">
        <v>0</v>
      </c>
      <c r="R210" s="472">
        <v>0</v>
      </c>
      <c r="S210" s="110"/>
      <c r="T210" s="110"/>
      <c r="U210" s="110"/>
      <c r="V210" s="110"/>
      <c r="W210" s="110"/>
      <c r="X210" s="110"/>
      <c r="Y210" s="110"/>
    </row>
    <row r="211" spans="1:25" s="264" customFormat="1" ht="14.15">
      <c r="A211" s="751" t="s">
        <v>699</v>
      </c>
      <c r="B211" s="266"/>
      <c r="C211" s="579" t="s">
        <v>1087</v>
      </c>
      <c r="D211" s="519"/>
      <c r="F211" s="350"/>
      <c r="G211" s="310"/>
      <c r="H211" s="350"/>
      <c r="I211" s="321"/>
      <c r="J211" s="352"/>
      <c r="K211" s="352"/>
      <c r="L211" s="267"/>
      <c r="M211" s="267"/>
      <c r="N211" s="267"/>
      <c r="O211" s="267"/>
      <c r="P211" s="472">
        <v>0</v>
      </c>
      <c r="Q211" s="472">
        <v>0</v>
      </c>
      <c r="R211" s="472">
        <v>0</v>
      </c>
      <c r="S211" s="110"/>
      <c r="T211" s="110"/>
      <c r="U211" s="110"/>
      <c r="V211" s="110"/>
      <c r="W211" s="110"/>
      <c r="X211" s="110"/>
      <c r="Y211" s="110"/>
    </row>
    <row r="212" spans="1:25" s="264" customFormat="1" ht="14.15">
      <c r="A212" s="756"/>
      <c r="B212" s="266"/>
      <c r="C212" s="325"/>
      <c r="D212" s="741"/>
      <c r="F212" s="350"/>
      <c r="G212" s="310"/>
      <c r="H212" s="350"/>
      <c r="I212" s="321"/>
      <c r="J212" s="352"/>
      <c r="K212" s="352"/>
      <c r="L212" s="321"/>
      <c r="M212" s="321"/>
      <c r="N212" s="321"/>
      <c r="O212" s="321"/>
      <c r="P212" s="321"/>
      <c r="Q212" s="352"/>
      <c r="R212" s="352"/>
      <c r="S212" s="352"/>
      <c r="T212" s="352"/>
      <c r="U212" s="352"/>
      <c r="V212" s="352"/>
      <c r="W212" s="352"/>
      <c r="X212" s="352"/>
      <c r="Y212" s="352"/>
    </row>
    <row r="213" spans="1:25" s="264" customFormat="1" ht="15" customHeight="1">
      <c r="A213" s="750"/>
      <c r="B213" s="261" t="s">
        <v>1260</v>
      </c>
      <c r="C213" s="260"/>
      <c r="G213" s="329"/>
      <c r="H213" s="321"/>
      <c r="I213" s="324"/>
      <c r="J213" s="352"/>
      <c r="K213" s="352"/>
      <c r="L213" s="355"/>
      <c r="M213" s="355"/>
      <c r="N213" s="355"/>
      <c r="O213" s="355"/>
      <c r="P213" s="355"/>
      <c r="Q213" s="355"/>
      <c r="R213" s="355"/>
      <c r="S213" s="355"/>
      <c r="T213" s="355"/>
      <c r="U213" s="355"/>
      <c r="V213" s="355"/>
      <c r="W213" s="355"/>
      <c r="X213" s="355"/>
      <c r="Y213" s="355"/>
    </row>
    <row r="214" spans="1:25" s="264" customFormat="1" ht="14.25" customHeight="1">
      <c r="A214" s="750"/>
      <c r="B214" s="261" t="s">
        <v>917</v>
      </c>
      <c r="C214" s="330" t="s">
        <v>960</v>
      </c>
      <c r="G214" s="329"/>
      <c r="H214" s="321"/>
      <c r="I214" s="337"/>
      <c r="J214" s="374"/>
      <c r="K214" s="374"/>
      <c r="L214" s="378"/>
      <c r="M214" s="378"/>
      <c r="N214" s="378"/>
      <c r="O214" s="378"/>
      <c r="P214" s="355"/>
      <c r="Q214" s="355"/>
      <c r="R214" s="355"/>
      <c r="S214" s="355"/>
      <c r="T214" s="355"/>
      <c r="U214" s="355"/>
      <c r="V214" s="355"/>
      <c r="W214" s="355"/>
      <c r="X214" s="355"/>
      <c r="Y214" s="355"/>
    </row>
    <row r="215" spans="1:25" s="264" customFormat="1" ht="14.15">
      <c r="A215" s="756"/>
      <c r="B215" s="266"/>
      <c r="C215" s="325" t="s">
        <v>986</v>
      </c>
      <c r="D215" s="741"/>
      <c r="F215" s="350"/>
      <c r="G215" s="310"/>
      <c r="H215" s="350"/>
      <c r="I215" s="267">
        <f>资产负债表!Y78</f>
        <v>0</v>
      </c>
      <c r="J215" s="267">
        <f>资产负债表!AC78</f>
        <v>0</v>
      </c>
      <c r="K215" s="267">
        <f>资产负债表!AG78</f>
        <v>0</v>
      </c>
      <c r="L215" s="267">
        <f>资产负债表!AH78</f>
        <v>0</v>
      </c>
      <c r="M215" s="267">
        <f>资产负债表!AI78</f>
        <v>0</v>
      </c>
      <c r="N215" s="267">
        <f>资产负债表!AJ78</f>
        <v>0</v>
      </c>
      <c r="O215" s="267">
        <f>资产负债表!AK78</f>
        <v>0</v>
      </c>
      <c r="P215" s="267">
        <f>K215+P192+P210+P216-P221</f>
        <v>0</v>
      </c>
      <c r="Q215" s="267">
        <f>P215+Q192+Q210+Q216-Q221</f>
        <v>0</v>
      </c>
      <c r="R215" s="267">
        <f t="shared" ref="R215:Y215" si="88">Q215+R192+R210+R216-R221</f>
        <v>0</v>
      </c>
      <c r="S215" s="267">
        <f t="shared" si="88"/>
        <v>0</v>
      </c>
      <c r="T215" s="267">
        <f t="shared" si="88"/>
        <v>0</v>
      </c>
      <c r="U215" s="267">
        <f t="shared" si="88"/>
        <v>0</v>
      </c>
      <c r="V215" s="267">
        <f t="shared" si="88"/>
        <v>0</v>
      </c>
      <c r="W215" s="267">
        <f t="shared" si="88"/>
        <v>0</v>
      </c>
      <c r="X215" s="267">
        <f t="shared" si="88"/>
        <v>0</v>
      </c>
      <c r="Y215" s="267">
        <f t="shared" si="88"/>
        <v>0</v>
      </c>
    </row>
    <row r="216" spans="1:25" s="264" customFormat="1" ht="14.25" customHeight="1">
      <c r="A216" s="751" t="s">
        <v>699</v>
      </c>
      <c r="B216" s="261"/>
      <c r="C216" s="564" t="s">
        <v>962</v>
      </c>
      <c r="D216" s="519"/>
      <c r="G216" s="329"/>
      <c r="H216" s="321"/>
      <c r="I216" s="337"/>
      <c r="J216" s="374"/>
      <c r="K216" s="374"/>
      <c r="L216" s="378"/>
      <c r="M216" s="378"/>
      <c r="N216" s="378"/>
      <c r="O216" s="378"/>
      <c r="P216" s="472">
        <v>0</v>
      </c>
      <c r="Q216" s="472">
        <v>0</v>
      </c>
      <c r="R216" s="472">
        <v>0</v>
      </c>
      <c r="S216" s="110"/>
      <c r="T216" s="110"/>
      <c r="U216" s="110"/>
      <c r="V216" s="110"/>
      <c r="W216" s="110"/>
      <c r="X216" s="110"/>
      <c r="Y216" s="110"/>
    </row>
    <row r="217" spans="1:25" s="264" customFormat="1" ht="12.75" customHeight="1">
      <c r="A217" s="751" t="s">
        <v>699</v>
      </c>
      <c r="B217" s="261"/>
      <c r="C217" s="564" t="s">
        <v>1088</v>
      </c>
      <c r="D217" s="519"/>
      <c r="G217" s="329"/>
      <c r="H217" s="321"/>
      <c r="I217" s="324"/>
      <c r="J217" s="352"/>
      <c r="K217" s="352"/>
      <c r="L217" s="355"/>
      <c r="M217" s="355"/>
      <c r="N217" s="355"/>
      <c r="O217" s="355"/>
      <c r="P217" s="110">
        <f>P219*利润表!AL84</f>
        <v>0</v>
      </c>
      <c r="Q217" s="110">
        <f>Q219*利润表!AM84</f>
        <v>0</v>
      </c>
      <c r="R217" s="110">
        <f>R219*利润表!AN84</f>
        <v>0</v>
      </c>
      <c r="S217" s="110"/>
      <c r="T217" s="110"/>
      <c r="U217" s="110"/>
      <c r="V217" s="110"/>
      <c r="W217" s="110"/>
      <c r="X217" s="110"/>
      <c r="Y217" s="110"/>
    </row>
    <row r="218" spans="1:25" s="264" customFormat="1" ht="11.25" customHeight="1">
      <c r="A218" s="750"/>
      <c r="B218" s="261"/>
      <c r="C218" s="260" t="s">
        <v>976</v>
      </c>
      <c r="G218" s="329"/>
      <c r="H218" s="321"/>
      <c r="I218" s="324"/>
      <c r="J218" s="352"/>
      <c r="K218" s="352"/>
      <c r="L218" s="355"/>
      <c r="M218" s="355"/>
      <c r="N218" s="355"/>
      <c r="O218" s="355"/>
      <c r="P218" s="479">
        <f>IF(ISERROR(P217/利润表!AL84),0,P217/利润表!AL84)</f>
        <v>0</v>
      </c>
      <c r="Q218" s="479">
        <f>IF(ISERROR(Q217/利润表!AM84),0,Q217/利润表!AM84)</f>
        <v>0</v>
      </c>
      <c r="R218" s="479">
        <f>IF(ISERROR(R217/利润表!AN84),0,R217/利润表!AN84)</f>
        <v>0</v>
      </c>
      <c r="S218" s="479">
        <f>IF(ISERROR(S217/利润表!AO84),0,S217/利润表!AO84)</f>
        <v>0</v>
      </c>
      <c r="T218" s="479">
        <f>IF(ISERROR(T217/利润表!AP84),0,T217/利润表!AP84)</f>
        <v>0</v>
      </c>
      <c r="U218" s="479">
        <f>IF(ISERROR(U217/利润表!AQ84),0,U217/利润表!AQ84)</f>
        <v>0</v>
      </c>
      <c r="V218" s="479">
        <f>IF(ISERROR(V217/利润表!AR84),0,V217/利润表!AR84)</f>
        <v>0</v>
      </c>
      <c r="W218" s="479">
        <f>IF(ISERROR(W217/利润表!AS84),0,W217/利润表!AS84)</f>
        <v>0</v>
      </c>
      <c r="X218" s="479">
        <f>IF(ISERROR(X217/利润表!AT84),0,X217/利润表!AT84)</f>
        <v>0</v>
      </c>
      <c r="Y218" s="479">
        <f>IF(ISERROR(Y217/利润表!AU84),0,Y217/利润表!AU84)</f>
        <v>0</v>
      </c>
    </row>
    <row r="219" spans="1:25" s="264" customFormat="1" ht="14.15">
      <c r="A219" s="750"/>
      <c r="B219" s="261"/>
      <c r="C219" s="330"/>
      <c r="G219" s="329"/>
      <c r="I219" s="337"/>
      <c r="J219" s="374"/>
      <c r="K219" s="374"/>
      <c r="L219" s="378"/>
      <c r="M219" s="378"/>
      <c r="N219" s="378"/>
      <c r="O219" s="378"/>
      <c r="P219" s="783">
        <v>0</v>
      </c>
      <c r="Q219" s="783">
        <v>0</v>
      </c>
      <c r="R219" s="783">
        <v>0</v>
      </c>
      <c r="S219" s="355"/>
      <c r="T219" s="355"/>
      <c r="U219" s="355"/>
      <c r="V219" s="355"/>
      <c r="W219" s="355"/>
      <c r="X219" s="355"/>
      <c r="Y219" s="355"/>
    </row>
    <row r="220" spans="1:25" s="264" customFormat="1" ht="14.15">
      <c r="A220" s="750"/>
      <c r="B220" s="261" t="s">
        <v>961</v>
      </c>
      <c r="C220" s="330" t="s">
        <v>918</v>
      </c>
      <c r="G220" s="329"/>
      <c r="I220" s="337"/>
      <c r="J220" s="374"/>
      <c r="K220" s="374"/>
      <c r="L220" s="378"/>
      <c r="M220" s="378"/>
      <c r="N220" s="378"/>
      <c r="O220" s="378"/>
      <c r="P220" s="355"/>
      <c r="Q220" s="355"/>
      <c r="R220" s="355"/>
      <c r="S220" s="355"/>
      <c r="T220" s="355"/>
      <c r="U220" s="355"/>
      <c r="V220" s="355"/>
      <c r="W220" s="355"/>
      <c r="X220" s="355"/>
      <c r="Y220" s="355"/>
    </row>
    <row r="221" spans="1:25" s="264" customFormat="1" ht="14.15">
      <c r="A221" s="751" t="s">
        <v>699</v>
      </c>
      <c r="B221" s="261"/>
      <c r="C221" s="650" t="s">
        <v>1202</v>
      </c>
      <c r="D221" s="519"/>
      <c r="G221" s="329"/>
      <c r="I221" s="337"/>
      <c r="J221" s="374"/>
      <c r="K221" s="374"/>
      <c r="L221" s="378"/>
      <c r="M221" s="378"/>
      <c r="N221" s="378"/>
      <c r="O221" s="378"/>
      <c r="P221" s="472">
        <v>0</v>
      </c>
      <c r="Q221" s="472">
        <v>0</v>
      </c>
      <c r="R221" s="472">
        <v>0</v>
      </c>
      <c r="S221" s="110"/>
      <c r="T221" s="110"/>
      <c r="U221" s="110"/>
      <c r="V221" s="110"/>
      <c r="W221" s="110"/>
      <c r="X221" s="110"/>
      <c r="Y221" s="110"/>
    </row>
    <row r="222" spans="1:25" s="264" customFormat="1" ht="14.15">
      <c r="A222" s="750"/>
      <c r="B222" s="261"/>
      <c r="C222" s="581" t="s">
        <v>919</v>
      </c>
      <c r="G222" s="329"/>
      <c r="I222" s="337"/>
      <c r="J222" s="374"/>
      <c r="K222" s="374"/>
      <c r="L222" s="378"/>
      <c r="M222" s="378"/>
      <c r="N222" s="378"/>
      <c r="O222" s="378"/>
      <c r="P222" s="472">
        <v>0</v>
      </c>
      <c r="Q222" s="472">
        <v>0</v>
      </c>
      <c r="R222" s="472">
        <v>0</v>
      </c>
      <c r="S222" s="110"/>
      <c r="T222" s="110"/>
      <c r="U222" s="110"/>
      <c r="V222" s="110"/>
      <c r="W222" s="110"/>
      <c r="X222" s="110"/>
      <c r="Y222" s="110"/>
    </row>
    <row r="223" spans="1:25" s="264" customFormat="1" ht="14.15">
      <c r="A223" s="750"/>
      <c r="B223" s="261"/>
      <c r="C223" s="330" t="s">
        <v>920</v>
      </c>
      <c r="G223" s="329"/>
      <c r="H223" s="263"/>
      <c r="I223" s="337"/>
      <c r="J223" s="374"/>
      <c r="K223" s="374"/>
      <c r="L223" s="378"/>
      <c r="M223" s="378"/>
      <c r="N223" s="378"/>
      <c r="O223" s="378"/>
      <c r="P223" s="355">
        <f>P221</f>
        <v>0</v>
      </c>
      <c r="Q223" s="355">
        <f t="shared" ref="Q223:Y223" si="89">Q221</f>
        <v>0</v>
      </c>
      <c r="R223" s="355">
        <f t="shared" si="89"/>
        <v>0</v>
      </c>
      <c r="S223" s="355">
        <f t="shared" si="89"/>
        <v>0</v>
      </c>
      <c r="T223" s="355">
        <f t="shared" si="89"/>
        <v>0</v>
      </c>
      <c r="U223" s="355">
        <f t="shared" si="89"/>
        <v>0</v>
      </c>
      <c r="V223" s="355">
        <f t="shared" si="89"/>
        <v>0</v>
      </c>
      <c r="W223" s="355">
        <f t="shared" si="89"/>
        <v>0</v>
      </c>
      <c r="X223" s="355">
        <f t="shared" si="89"/>
        <v>0</v>
      </c>
      <c r="Y223" s="355">
        <f t="shared" si="89"/>
        <v>0</v>
      </c>
    </row>
    <row r="224" spans="1:25" s="264" customFormat="1" ht="14.15">
      <c r="A224" s="750"/>
      <c r="B224" s="261"/>
      <c r="C224" s="330" t="s">
        <v>921</v>
      </c>
      <c r="G224" s="329"/>
      <c r="I224" s="337"/>
      <c r="J224" s="374"/>
      <c r="K224" s="374"/>
      <c r="L224" s="378"/>
      <c r="M224" s="378"/>
      <c r="N224" s="378"/>
      <c r="O224" s="378"/>
      <c r="P224" s="355">
        <f>IF(ISERROR(P221*P222-P223),—,(P221*P222-P223))</f>
        <v>0</v>
      </c>
      <c r="Q224" s="355">
        <f>IF(ISERROR(Q221*Q222-Q223),—,(Q221*Q222-Q223))</f>
        <v>0</v>
      </c>
      <c r="R224" s="355">
        <f>IF(ISERROR(R221*R222-R223),—,(R221*R222-R223))</f>
        <v>0</v>
      </c>
      <c r="S224" s="355">
        <f>IF(ISERROR(S221*S222-S223),—,(S221*S222-S223))</f>
        <v>0</v>
      </c>
      <c r="T224" s="355">
        <f>IF(ISERROR(T221*T222-T223),—,(T221*T222-T223))</f>
        <v>0</v>
      </c>
      <c r="U224" s="355">
        <f>IF(ISERROR(U221*U222-U223),—,(U221*U222-U223))</f>
        <v>0</v>
      </c>
      <c r="V224" s="355">
        <f>IF(ISERROR(V221*V222-V223),—,(V221*V222-V223))</f>
        <v>0</v>
      </c>
      <c r="W224" s="355">
        <f>IF(ISERROR(W221*W222-W223),—,(W221*W222-W223))</f>
        <v>0</v>
      </c>
      <c r="X224" s="355">
        <f>IF(ISERROR(X221*X222-X223),—,(X221*X222-X223))</f>
        <v>0</v>
      </c>
      <c r="Y224" s="355">
        <f>IF(ISERROR(Y221*Y222-Y223),—,(Y221*Y222-Y223))</f>
        <v>0</v>
      </c>
    </row>
    <row r="225" spans="1:25" s="264" customFormat="1" ht="14.6" thickBot="1">
      <c r="A225" s="750"/>
      <c r="B225" s="474"/>
      <c r="C225" s="490"/>
      <c r="D225" s="400"/>
      <c r="E225" s="400"/>
      <c r="F225" s="400"/>
      <c r="G225" s="399"/>
      <c r="H225" s="400"/>
      <c r="I225" s="588"/>
      <c r="J225" s="485"/>
      <c r="K225" s="485"/>
      <c r="L225" s="589"/>
      <c r="M225" s="589"/>
      <c r="N225" s="589"/>
      <c r="O225" s="589"/>
      <c r="P225" s="409"/>
      <c r="Q225" s="409"/>
      <c r="R225" s="409"/>
      <c r="S225" s="409"/>
      <c r="T225" s="409"/>
      <c r="U225" s="409"/>
      <c r="V225" s="409"/>
      <c r="W225" s="409"/>
      <c r="X225" s="409"/>
      <c r="Y225" s="409"/>
    </row>
    <row r="226" spans="1:25" s="264" customFormat="1" ht="14.6" thickTop="1">
      <c r="A226" s="750"/>
      <c r="B226" s="261"/>
      <c r="C226" s="329"/>
      <c r="G226" s="329"/>
      <c r="I226" s="337"/>
      <c r="J226" s="374"/>
      <c r="K226" s="374"/>
      <c r="L226" s="378"/>
      <c r="M226" s="378"/>
      <c r="N226" s="378"/>
      <c r="O226" s="378"/>
      <c r="P226" s="378"/>
      <c r="Q226" s="378"/>
      <c r="R226" s="378"/>
      <c r="S226" s="378"/>
      <c r="T226" s="378"/>
      <c r="U226" s="378"/>
      <c r="V226" s="378"/>
      <c r="W226" s="378"/>
      <c r="X226" s="378"/>
      <c r="Y226" s="378"/>
    </row>
    <row r="227" spans="1:25" s="264" customFormat="1" ht="14.15">
      <c r="A227" s="750"/>
      <c r="B227" s="261"/>
      <c r="C227" s="329"/>
      <c r="G227" s="329"/>
      <c r="I227" s="337"/>
      <c r="J227" s="374"/>
      <c r="K227" s="374"/>
      <c r="L227" s="378"/>
      <c r="M227" s="378"/>
      <c r="N227" s="378"/>
      <c r="O227" s="378"/>
      <c r="P227" s="378"/>
      <c r="Q227" s="378"/>
      <c r="R227" s="378"/>
      <c r="S227" s="378"/>
      <c r="T227" s="378"/>
      <c r="U227" s="378"/>
      <c r="V227" s="378"/>
      <c r="W227" s="378"/>
      <c r="X227" s="378"/>
      <c r="Y227" s="378"/>
    </row>
    <row r="228" spans="1:25" s="264" customFormat="1" ht="13.75">
      <c r="A228" s="750"/>
      <c r="B228" s="266"/>
      <c r="C228" s="358"/>
      <c r="D228" s="329"/>
      <c r="E228" s="329"/>
      <c r="F228" s="329"/>
      <c r="G228" s="358"/>
      <c r="H228" s="329"/>
      <c r="I228" s="321"/>
      <c r="J228" s="352"/>
      <c r="K228" s="352"/>
      <c r="L228" s="321"/>
      <c r="M228" s="321"/>
      <c r="N228" s="321"/>
      <c r="O228" s="321"/>
      <c r="P228" s="321"/>
      <c r="Q228" s="352"/>
      <c r="R228" s="352"/>
      <c r="S228" s="352"/>
      <c r="T228" s="352"/>
      <c r="U228" s="352"/>
      <c r="V228" s="352"/>
      <c r="W228" s="352"/>
      <c r="X228" s="352"/>
      <c r="Y228" s="352"/>
    </row>
    <row r="229" spans="1:25" s="264" customFormat="1" ht="14.15">
      <c r="A229" s="750"/>
      <c r="B229" s="319" t="s">
        <v>763</v>
      </c>
      <c r="C229" s="334"/>
      <c r="D229" s="330"/>
      <c r="E229" s="742"/>
      <c r="F229" s="330"/>
      <c r="G229" s="334"/>
      <c r="H229" s="330"/>
      <c r="I229" s="263"/>
      <c r="J229" s="359"/>
      <c r="K229" s="359"/>
      <c r="L229" s="263"/>
      <c r="M229" s="263"/>
      <c r="N229" s="263"/>
      <c r="O229" s="263"/>
      <c r="P229" s="263"/>
      <c r="Q229" s="359"/>
      <c r="R229" s="359"/>
      <c r="S229" s="359"/>
      <c r="T229" s="359"/>
      <c r="U229" s="359"/>
      <c r="V229" s="359"/>
      <c r="W229" s="359"/>
      <c r="X229" s="359"/>
      <c r="Y229" s="359"/>
    </row>
    <row r="230" spans="1:25" s="264" customFormat="1" ht="13.75">
      <c r="A230" s="750"/>
      <c r="B230" s="266"/>
      <c r="C230" s="334"/>
      <c r="D230" s="329"/>
      <c r="E230" s="329"/>
      <c r="F230" s="329"/>
      <c r="G230" s="334"/>
      <c r="H230" s="329"/>
      <c r="I230" s="263"/>
      <c r="J230" s="359"/>
      <c r="K230" s="359"/>
      <c r="L230" s="263"/>
      <c r="M230" s="263"/>
      <c r="N230" s="263"/>
      <c r="O230" s="263"/>
      <c r="P230" s="263"/>
      <c r="Q230" s="359"/>
      <c r="R230" s="359"/>
      <c r="S230" s="359"/>
      <c r="T230" s="359"/>
      <c r="U230" s="359"/>
      <c r="V230" s="359"/>
      <c r="W230" s="359"/>
      <c r="X230" s="359"/>
      <c r="Y230" s="359"/>
    </row>
    <row r="231" spans="1:25" s="264" customFormat="1" ht="13.75">
      <c r="A231" s="750"/>
      <c r="B231" s="261" t="s">
        <v>764</v>
      </c>
      <c r="C231" s="325"/>
      <c r="D231" s="350"/>
      <c r="E231" s="741"/>
      <c r="F231" s="350"/>
      <c r="G231" s="325"/>
      <c r="H231" s="350"/>
      <c r="I231" s="267"/>
      <c r="J231" s="267"/>
      <c r="K231" s="267"/>
      <c r="L231" s="306"/>
      <c r="M231" s="306"/>
      <c r="N231" s="306"/>
      <c r="O231" s="306"/>
      <c r="P231" s="306">
        <f>资产负债表!AG8</f>
        <v>0</v>
      </c>
      <c r="Q231" s="306" t="str">
        <f>资产负债表!AL8</f>
        <v>—</v>
      </c>
      <c r="R231" s="306" t="str">
        <f>资产负债表!AM8</f>
        <v>—</v>
      </c>
      <c r="S231" s="306" t="str">
        <f>资产负债表!AN8</f>
        <v>—</v>
      </c>
      <c r="T231" s="306" t="str">
        <f>资产负债表!AO8</f>
        <v>—</v>
      </c>
      <c r="U231" s="306" t="str">
        <f>资产负债表!AP8</f>
        <v>—</v>
      </c>
      <c r="V231" s="306" t="str">
        <f>资产负债表!AQ8</f>
        <v>—</v>
      </c>
      <c r="W231" s="306" t="str">
        <f>资产负债表!AR8</f>
        <v>—</v>
      </c>
      <c r="X231" s="306" t="str">
        <f>资产负债表!AS8</f>
        <v>—</v>
      </c>
      <c r="Y231" s="306" t="str">
        <f>资产负债表!AT8</f>
        <v>—</v>
      </c>
    </row>
    <row r="232" spans="1:25" s="264" customFormat="1" ht="13.75">
      <c r="A232" s="750"/>
      <c r="B232" s="360"/>
      <c r="C232" s="261" t="s">
        <v>765</v>
      </c>
      <c r="D232" s="349"/>
      <c r="E232" s="349"/>
      <c r="F232" s="349"/>
      <c r="G232" s="261"/>
      <c r="H232" s="349"/>
      <c r="I232" s="361"/>
      <c r="J232" s="361"/>
      <c r="K232" s="361"/>
      <c r="L232" s="362"/>
      <c r="M232" s="362"/>
      <c r="N232" s="362"/>
      <c r="O232" s="362"/>
      <c r="P232" s="362"/>
      <c r="Q232" s="362"/>
      <c r="R232" s="362"/>
      <c r="S232" s="362"/>
      <c r="T232" s="362"/>
      <c r="U232" s="362"/>
      <c r="V232" s="362"/>
      <c r="W232" s="362"/>
      <c r="X232" s="362"/>
      <c r="Y232" s="362"/>
    </row>
    <row r="233" spans="1:25" ht="13.75">
      <c r="B233" s="261"/>
      <c r="C233" s="325" t="s">
        <v>766</v>
      </c>
      <c r="G233" s="325"/>
      <c r="I233" s="267"/>
      <c r="J233" s="267"/>
      <c r="K233" s="267"/>
      <c r="L233" s="306"/>
      <c r="M233" s="306"/>
      <c r="N233" s="306"/>
      <c r="O233" s="306"/>
      <c r="P233" s="306" t="str">
        <f>现金流量表!AL41</f>
        <v>—</v>
      </c>
      <c r="Q233" s="306" t="str">
        <f>现金流量表!AM41</f>
        <v>—</v>
      </c>
      <c r="R233" s="306" t="str">
        <f>现金流量表!AN41</f>
        <v>—</v>
      </c>
      <c r="S233" s="306">
        <f>现金流量表!AO41</f>
        <v>0</v>
      </c>
      <c r="T233" s="306">
        <f>现金流量表!AP41</f>
        <v>0</v>
      </c>
      <c r="U233" s="306">
        <f>现金流量表!AQ41</f>
        <v>0</v>
      </c>
      <c r="V233" s="306">
        <f>现金流量表!AR41</f>
        <v>0</v>
      </c>
      <c r="W233" s="306">
        <f>现金流量表!AS41</f>
        <v>0</v>
      </c>
      <c r="X233" s="306">
        <f>现金流量表!AT41</f>
        <v>0</v>
      </c>
      <c r="Y233" s="306">
        <f>现金流量表!AU41</f>
        <v>0</v>
      </c>
    </row>
    <row r="234" spans="1:25" ht="13.75">
      <c r="B234" s="261"/>
      <c r="C234" s="325" t="s">
        <v>767</v>
      </c>
      <c r="G234" s="325"/>
      <c r="H234" s="453"/>
      <c r="I234" s="267"/>
      <c r="J234" s="267"/>
      <c r="K234" s="267"/>
      <c r="L234" s="306"/>
      <c r="M234" s="306"/>
      <c r="N234" s="306"/>
      <c r="O234" s="306"/>
      <c r="P234" s="306" t="str">
        <f>现金流量表!AL64</f>
        <v>—</v>
      </c>
      <c r="Q234" s="306" t="str">
        <f>现金流量表!AM64</f>
        <v>—</v>
      </c>
      <c r="R234" s="306" t="str">
        <f>现金流量表!AN64</f>
        <v>—</v>
      </c>
      <c r="S234" s="306">
        <f>现金流量表!AO64</f>
        <v>0</v>
      </c>
      <c r="T234" s="306">
        <f>现金流量表!AP64</f>
        <v>0</v>
      </c>
      <c r="U234" s="306">
        <f>现金流量表!AQ64</f>
        <v>0</v>
      </c>
      <c r="V234" s="306">
        <f>现金流量表!AR64</f>
        <v>0</v>
      </c>
      <c r="W234" s="306">
        <f>现金流量表!AS64</f>
        <v>0</v>
      </c>
      <c r="X234" s="306">
        <f>现金流量表!AT64</f>
        <v>0</v>
      </c>
      <c r="Y234" s="306">
        <f>现金流量表!AU64</f>
        <v>0</v>
      </c>
    </row>
    <row r="235" spans="1:25" ht="13.75">
      <c r="B235" s="261"/>
      <c r="C235" s="325" t="s">
        <v>768</v>
      </c>
      <c r="G235" s="325"/>
      <c r="I235" s="267"/>
      <c r="J235" s="267"/>
      <c r="K235" s="267"/>
      <c r="L235" s="306"/>
      <c r="M235" s="306"/>
      <c r="N235" s="306"/>
      <c r="O235" s="306"/>
      <c r="P235" s="306">
        <f>现金流量表!AL77</f>
        <v>0</v>
      </c>
      <c r="Q235" s="306">
        <f>现金流量表!AM77</f>
        <v>0</v>
      </c>
      <c r="R235" s="306">
        <f>现金流量表!AN77</f>
        <v>0</v>
      </c>
      <c r="S235" s="306">
        <f>现金流量表!AO77</f>
        <v>0</v>
      </c>
      <c r="T235" s="306">
        <f>现金流量表!AP77</f>
        <v>0</v>
      </c>
      <c r="U235" s="306">
        <f>现金流量表!AQ77</f>
        <v>0</v>
      </c>
      <c r="V235" s="306">
        <f>现金流量表!AR77</f>
        <v>0</v>
      </c>
      <c r="W235" s="306">
        <f>现金流量表!AS77</f>
        <v>0</v>
      </c>
      <c r="X235" s="306">
        <f>现金流量表!AT77</f>
        <v>0</v>
      </c>
      <c r="Y235" s="306">
        <f>现金流量表!AU77</f>
        <v>0</v>
      </c>
    </row>
    <row r="236" spans="1:25" ht="13.75">
      <c r="A236" s="757" t="s">
        <v>699</v>
      </c>
      <c r="B236" s="356" t="s">
        <v>769</v>
      </c>
      <c r="C236" s="363" t="s">
        <v>770</v>
      </c>
      <c r="D236" s="738"/>
      <c r="E236" s="364"/>
      <c r="F236" s="364"/>
      <c r="G236" s="363"/>
      <c r="H236" s="454"/>
      <c r="I236" s="357"/>
      <c r="J236" s="365"/>
      <c r="K236" s="365"/>
      <c r="L236" s="366"/>
      <c r="M236" s="366"/>
      <c r="N236" s="366"/>
      <c r="O236" s="366"/>
      <c r="P236" s="180">
        <v>0</v>
      </c>
      <c r="Q236" s="180">
        <v>0</v>
      </c>
      <c r="R236" s="180">
        <v>0</v>
      </c>
      <c r="S236" s="180">
        <v>0</v>
      </c>
      <c r="T236" s="180">
        <v>0</v>
      </c>
      <c r="U236" s="180">
        <v>0</v>
      </c>
      <c r="V236" s="180">
        <v>0</v>
      </c>
      <c r="W236" s="180">
        <v>0</v>
      </c>
      <c r="X236" s="180">
        <v>0</v>
      </c>
      <c r="Y236" s="180">
        <v>0</v>
      </c>
    </row>
    <row r="237" spans="1:25" ht="14.15">
      <c r="B237" s="367"/>
      <c r="C237" s="319" t="s">
        <v>771</v>
      </c>
      <c r="D237" s="368"/>
      <c r="E237" s="368"/>
      <c r="F237" s="368"/>
      <c r="G237" s="319"/>
      <c r="H237" s="455"/>
      <c r="I237" s="267"/>
      <c r="J237" s="361"/>
      <c r="K237" s="361"/>
      <c r="L237" s="306"/>
      <c r="M237" s="306"/>
      <c r="N237" s="306"/>
      <c r="O237" s="306"/>
      <c r="P237" s="306">
        <f>IF(ISERROR(P231+P233+P234+P235-P236),0,P231+P233+P234+P235-P236)</f>
        <v>0</v>
      </c>
      <c r="Q237" s="306">
        <f t="shared" ref="Q237:Y237" si="90">IF(ISERROR(Q231+Q233+Q234+Q235-Q236),0,Q231+Q233+Q234+Q235-Q236)</f>
        <v>0</v>
      </c>
      <c r="R237" s="306">
        <f t="shared" si="90"/>
        <v>0</v>
      </c>
      <c r="S237" s="306">
        <f t="shared" si="90"/>
        <v>0</v>
      </c>
      <c r="T237" s="306">
        <f t="shared" si="90"/>
        <v>0</v>
      </c>
      <c r="U237" s="306">
        <f t="shared" si="90"/>
        <v>0</v>
      </c>
      <c r="V237" s="306">
        <f t="shared" si="90"/>
        <v>0</v>
      </c>
      <c r="W237" s="306">
        <f t="shared" si="90"/>
        <v>0</v>
      </c>
      <c r="X237" s="306">
        <f t="shared" si="90"/>
        <v>0</v>
      </c>
      <c r="Y237" s="306">
        <f t="shared" si="90"/>
        <v>0</v>
      </c>
    </row>
    <row r="238" spans="1:25" ht="14.15">
      <c r="B238" s="367"/>
      <c r="C238" s="369" t="s">
        <v>771</v>
      </c>
      <c r="D238" s="368"/>
      <c r="E238" s="368"/>
      <c r="F238" s="368"/>
      <c r="G238" s="369"/>
      <c r="H238" s="368"/>
      <c r="I238" s="267"/>
      <c r="J238" s="361"/>
      <c r="K238" s="361"/>
      <c r="L238" s="306"/>
      <c r="M238" s="306"/>
      <c r="N238" s="306"/>
      <c r="O238" s="306"/>
      <c r="P238" s="306">
        <v>14961.347017712371</v>
      </c>
      <c r="Q238" s="306">
        <v>20906.523039917025</v>
      </c>
      <c r="R238" s="306">
        <v>28051.096250680763</v>
      </c>
      <c r="S238" s="306">
        <v>23745.229786203643</v>
      </c>
      <c r="T238" s="306">
        <v>23745.229786203643</v>
      </c>
      <c r="U238" s="306">
        <v>23745.229786203643</v>
      </c>
      <c r="V238" s="306">
        <v>23745.229786203643</v>
      </c>
      <c r="W238" s="306">
        <v>23745.229786203643</v>
      </c>
      <c r="X238" s="306">
        <v>23745.229786203643</v>
      </c>
      <c r="Y238" s="306">
        <v>23745.229786203643</v>
      </c>
    </row>
    <row r="239" spans="1:25" ht="14.15">
      <c r="B239" s="367"/>
      <c r="D239" s="369" t="s">
        <v>772</v>
      </c>
      <c r="E239" s="743"/>
      <c r="F239" s="369"/>
      <c r="H239" s="456"/>
      <c r="I239" s="267"/>
      <c r="J239" s="361"/>
      <c r="K239" s="361"/>
      <c r="L239" s="306"/>
      <c r="M239" s="306"/>
      <c r="N239" s="306"/>
      <c r="O239" s="306"/>
      <c r="P239" s="306">
        <f>IF(ISERROR((P237-P238)^2),—,(P237-P238)^2)</f>
        <v>223841904.58441085</v>
      </c>
      <c r="Q239" s="306">
        <f>IF(ISERROR((Q237-Q238)^2),—,(Q237-Q238)^2)</f>
        <v>437082705.61858141</v>
      </c>
      <c r="R239" s="306">
        <f>IF(ISERROR((R237-R238)^2),—,(R237-R238)^2)</f>
        <v>786864000.86495638</v>
      </c>
      <c r="S239" s="306">
        <f>IF(ISERROR((S237-S238)^2),—,(S237-S238)^2)</f>
        <v>563835937.59961271</v>
      </c>
      <c r="T239" s="306">
        <f>IF(ISERROR((T237-T238)^2),—,(T237-T238)^2)</f>
        <v>563835937.59961271</v>
      </c>
      <c r="U239" s="306">
        <f>IF(ISERROR((U237-U238)^2),—,(U237-U238)^2)</f>
        <v>563835937.59961271</v>
      </c>
      <c r="V239" s="306">
        <f>IF(ISERROR((V237-V238)^2),—,(V237-V238)^2)</f>
        <v>563835937.59961271</v>
      </c>
      <c r="W239" s="306">
        <f>IF(ISERROR((W237-W238)^2),—,(W237-W238)^2)</f>
        <v>563835937.59961271</v>
      </c>
      <c r="X239" s="306">
        <f>IF(ISERROR((X237-X238)^2),—,(X237-X238)^2)</f>
        <v>563835937.59961271</v>
      </c>
      <c r="Y239" s="306">
        <f>IF(ISERROR((Y237-Y238)^2),—,(Y237-Y238)^2)</f>
        <v>563835937.59961271</v>
      </c>
    </row>
    <row r="240" spans="1:25" s="264" customFormat="1" ht="13.75">
      <c r="A240" s="750"/>
      <c r="B240" s="266"/>
      <c r="C240" s="334"/>
      <c r="D240" s="329"/>
      <c r="E240" s="329"/>
      <c r="F240" s="329"/>
      <c r="G240" s="334"/>
      <c r="H240" s="329"/>
      <c r="I240" s="263"/>
      <c r="J240" s="359"/>
      <c r="K240" s="359"/>
      <c r="L240" s="370"/>
      <c r="M240" s="370"/>
      <c r="N240" s="370"/>
      <c r="O240" s="370"/>
      <c r="P240" s="370"/>
      <c r="Q240" s="371"/>
      <c r="R240" s="371"/>
      <c r="S240" s="371"/>
      <c r="T240" s="371"/>
      <c r="U240" s="371"/>
      <c r="V240" s="371"/>
      <c r="W240" s="371"/>
      <c r="X240" s="371"/>
      <c r="Y240" s="371"/>
    </row>
    <row r="241" spans="1:25" s="264" customFormat="1" ht="13.75">
      <c r="A241" s="750"/>
      <c r="B241" s="261"/>
      <c r="C241" s="261" t="s">
        <v>773</v>
      </c>
      <c r="D241" s="330"/>
      <c r="E241" s="742"/>
      <c r="F241" s="330"/>
      <c r="G241" s="261"/>
      <c r="H241" s="330"/>
      <c r="I241" s="306">
        <f>资产负债表!U49</f>
        <v>0</v>
      </c>
      <c r="J241" s="306">
        <f>IF(ISERROR(资产负债表!Y49),0,资产负债表!Y49)</f>
        <v>0</v>
      </c>
      <c r="K241" s="306">
        <f>IF(ISERROR(资产负债表!AC49),0,资产负债表!AC49)</f>
        <v>0</v>
      </c>
      <c r="L241" s="306">
        <f>IF(ISERROR(资产负债表!AG49),0,资产负债表!AG49)</f>
        <v>0</v>
      </c>
      <c r="M241" s="306">
        <f>IF(ISERROR(资产负债表!AH49),0,资产负债表!AH49)</f>
        <v>0</v>
      </c>
      <c r="N241" s="306">
        <f>IF(ISERROR(资产负债表!AI49),0,资产负债表!AI49)</f>
        <v>0</v>
      </c>
      <c r="O241" s="306">
        <f>IF(ISERROR(资产负债表!AJ49),0,资产负债表!AJ49)</f>
        <v>0</v>
      </c>
      <c r="P241" s="362">
        <f>资产负债表!AG49</f>
        <v>0</v>
      </c>
      <c r="Q241" s="362">
        <f>资产负债表!AL49</f>
        <v>0</v>
      </c>
      <c r="R241" s="362">
        <f>资产负债表!AM49</f>
        <v>0</v>
      </c>
      <c r="S241" s="362">
        <f>资产负债表!AN49</f>
        <v>0</v>
      </c>
      <c r="T241" s="362">
        <f>资产负债表!AO49</f>
        <v>0</v>
      </c>
      <c r="U241" s="362">
        <f>资产负债表!AP49</f>
        <v>0</v>
      </c>
      <c r="V241" s="362">
        <f>资产负债表!AQ49</f>
        <v>0</v>
      </c>
      <c r="W241" s="362">
        <f>资产负债表!AR49</f>
        <v>0</v>
      </c>
      <c r="X241" s="362">
        <f>资产负债表!AS49</f>
        <v>0</v>
      </c>
      <c r="Y241" s="362">
        <f>资产负债表!AT49</f>
        <v>0</v>
      </c>
    </row>
    <row r="242" spans="1:25" s="264" customFormat="1" ht="13.75">
      <c r="A242" s="750"/>
      <c r="B242" s="261"/>
      <c r="C242" s="261" t="s">
        <v>774</v>
      </c>
      <c r="D242" s="350"/>
      <c r="E242" s="741"/>
      <c r="F242" s="350"/>
      <c r="G242" s="261"/>
      <c r="H242" s="350"/>
      <c r="J242" s="267">
        <f>J244-I244</f>
        <v>0</v>
      </c>
      <c r="K242" s="267">
        <f>K244-J244</f>
        <v>0</v>
      </c>
      <c r="L242" s="267">
        <f>IF(L244=0,0,L244-K244)</f>
        <v>0</v>
      </c>
      <c r="M242" s="267">
        <f>IF(M244=0,0,M244-L244)</f>
        <v>0</v>
      </c>
      <c r="N242" s="267">
        <f>IF(N244=0,0,N244-M244)</f>
        <v>0</v>
      </c>
      <c r="O242" s="267">
        <f>IF(O244=0,0,O244-N244)</f>
        <v>0</v>
      </c>
      <c r="P242" s="306">
        <f>-MIN(P238,P241)</f>
        <v>0</v>
      </c>
      <c r="Q242" s="306">
        <f t="shared" ref="Q242:Y242" si="91">-MIN(Q238,Q241)</f>
        <v>0</v>
      </c>
      <c r="R242" s="306">
        <f t="shared" si="91"/>
        <v>0</v>
      </c>
      <c r="S242" s="306">
        <f t="shared" si="91"/>
        <v>0</v>
      </c>
      <c r="T242" s="306">
        <f t="shared" si="91"/>
        <v>0</v>
      </c>
      <c r="U242" s="306">
        <f t="shared" si="91"/>
        <v>0</v>
      </c>
      <c r="V242" s="306">
        <f t="shared" si="91"/>
        <v>0</v>
      </c>
      <c r="W242" s="306">
        <f t="shared" si="91"/>
        <v>0</v>
      </c>
      <c r="X242" s="306">
        <f t="shared" si="91"/>
        <v>0</v>
      </c>
      <c r="Y242" s="306">
        <f t="shared" si="91"/>
        <v>0</v>
      </c>
    </row>
    <row r="243" spans="1:25" s="264" customFormat="1" ht="13.75">
      <c r="A243" s="757" t="s">
        <v>699</v>
      </c>
      <c r="B243" s="356"/>
      <c r="C243" s="356" t="s">
        <v>955</v>
      </c>
      <c r="D243" s="738"/>
      <c r="E243" s="577"/>
      <c r="F243" s="372"/>
      <c r="G243" s="356"/>
      <c r="H243" s="127"/>
      <c r="I243" s="365"/>
      <c r="J243" s="365"/>
      <c r="K243" s="365"/>
      <c r="L243" s="373"/>
      <c r="M243" s="373"/>
      <c r="N243" s="373"/>
      <c r="O243" s="373"/>
      <c r="P243" s="440"/>
      <c r="Q243" s="440"/>
      <c r="R243" s="440"/>
      <c r="S243" s="440">
        <v>0</v>
      </c>
      <c r="T243" s="440">
        <v>0</v>
      </c>
      <c r="U243" s="440">
        <v>0</v>
      </c>
      <c r="V243" s="440">
        <v>0</v>
      </c>
      <c r="W243" s="440">
        <v>0</v>
      </c>
      <c r="X243" s="440">
        <v>0</v>
      </c>
      <c r="Y243" s="440">
        <v>0</v>
      </c>
    </row>
    <row r="244" spans="1:25" ht="14.15">
      <c r="B244" s="319" t="s">
        <v>775</v>
      </c>
      <c r="C244" s="334"/>
      <c r="D244" s="329"/>
      <c r="E244" s="329"/>
      <c r="F244" s="329"/>
      <c r="G244" s="334"/>
      <c r="H244" s="329"/>
      <c r="I244" s="267">
        <f>资产负债表!Y49</f>
        <v>0</v>
      </c>
      <c r="J244" s="267">
        <f>资产负债表!AC49</f>
        <v>0</v>
      </c>
      <c r="K244" s="267">
        <f>资产负债表!AG49</f>
        <v>0</v>
      </c>
      <c r="L244" s="267">
        <f>资产负债表!AH49</f>
        <v>0</v>
      </c>
      <c r="M244" s="267">
        <f>资产负债表!AI49</f>
        <v>0</v>
      </c>
      <c r="N244" s="267">
        <f>资产负债表!AJ49</f>
        <v>0</v>
      </c>
      <c r="O244" s="267">
        <f>资产负债表!AK49</f>
        <v>0</v>
      </c>
      <c r="P244" s="306">
        <f t="shared" ref="P244:Y244" si="92">IF(ISERROR(P241+P242+P243),0,P241+P242+P243)</f>
        <v>0</v>
      </c>
      <c r="Q244" s="306">
        <f t="shared" si="92"/>
        <v>0</v>
      </c>
      <c r="R244" s="306">
        <f t="shared" si="92"/>
        <v>0</v>
      </c>
      <c r="S244" s="306">
        <f t="shared" si="92"/>
        <v>0</v>
      </c>
      <c r="T244" s="306">
        <f t="shared" si="92"/>
        <v>0</v>
      </c>
      <c r="U244" s="306">
        <f t="shared" si="92"/>
        <v>0</v>
      </c>
      <c r="V244" s="306">
        <f t="shared" si="92"/>
        <v>0</v>
      </c>
      <c r="W244" s="306">
        <f t="shared" si="92"/>
        <v>0</v>
      </c>
      <c r="X244" s="306">
        <f t="shared" si="92"/>
        <v>0</v>
      </c>
      <c r="Y244" s="306">
        <f t="shared" si="92"/>
        <v>0</v>
      </c>
    </row>
    <row r="245" spans="1:25" ht="14.15">
      <c r="B245" s="319"/>
      <c r="C245" s="334"/>
      <c r="D245" s="329"/>
      <c r="E245" s="329"/>
      <c r="F245" s="329"/>
      <c r="G245" s="334"/>
      <c r="H245" s="329"/>
      <c r="I245" s="267"/>
      <c r="J245" s="267"/>
      <c r="K245" s="267"/>
      <c r="L245" s="267"/>
      <c r="M245" s="267"/>
      <c r="N245" s="267"/>
      <c r="O245" s="267"/>
      <c r="P245" s="306"/>
      <c r="Q245" s="306"/>
      <c r="R245" s="306"/>
      <c r="S245" s="306"/>
      <c r="T245" s="306"/>
      <c r="U245" s="306"/>
      <c r="V245" s="306"/>
      <c r="W245" s="306"/>
      <c r="X245" s="306"/>
      <c r="Y245" s="306"/>
    </row>
    <row r="246" spans="1:25" s="264" customFormat="1" ht="13.75">
      <c r="A246" s="750"/>
      <c r="B246" s="262"/>
      <c r="C246" s="358"/>
      <c r="D246" s="329"/>
      <c r="E246" s="329"/>
      <c r="F246" s="329"/>
      <c r="G246" s="358"/>
      <c r="H246" s="329"/>
      <c r="I246" s="321"/>
      <c r="J246" s="352"/>
      <c r="K246" s="352"/>
      <c r="L246" s="318"/>
      <c r="M246" s="318"/>
      <c r="N246" s="318"/>
      <c r="O246" s="318"/>
      <c r="P246" s="318"/>
      <c r="Q246" s="374"/>
      <c r="R246" s="374"/>
      <c r="S246" s="374"/>
      <c r="T246" s="374"/>
      <c r="U246" s="374"/>
      <c r="V246" s="374"/>
      <c r="W246" s="374"/>
      <c r="X246" s="374"/>
      <c r="Y246" s="374"/>
    </row>
    <row r="247" spans="1:25" ht="14.15">
      <c r="B247" s="564" t="s">
        <v>1091</v>
      </c>
      <c r="C247" s="334"/>
      <c r="D247" s="330"/>
      <c r="E247" s="742"/>
      <c r="F247" s="330"/>
      <c r="G247" s="334"/>
      <c r="H247" s="330"/>
      <c r="I247" s="267">
        <f>利润表!Y31</f>
        <v>0</v>
      </c>
      <c r="J247" s="361">
        <f>利润表!AC31</f>
        <v>0</v>
      </c>
      <c r="K247" s="361">
        <f>利润表!AG31</f>
        <v>0</v>
      </c>
      <c r="L247" s="361">
        <f>利润表!AH31</f>
        <v>0</v>
      </c>
      <c r="M247" s="361">
        <f>利润表!AI31</f>
        <v>0</v>
      </c>
      <c r="N247" s="361">
        <f>利润表!AJ31</f>
        <v>0</v>
      </c>
      <c r="O247" s="361">
        <f>利润表!AK31</f>
        <v>0</v>
      </c>
      <c r="P247" s="306">
        <f>IF(ISERROR((P241+P244)*0.5*P248+(P197+P200+P204+P206)*0.5*P249),0,(P241+P244)*0.5*P248+(P197+P200+P204+P206)*0.5*P249)</f>
        <v>0</v>
      </c>
      <c r="Q247" s="306">
        <f t="shared" ref="Q247:Y247" si="93">IF(ISERROR((Q241+Q244)*0.5*Q248+(Q197+Q200+Q204+Q206)*0.5*Q249),0,(Q241+Q244)*0.5*Q248+(Q197+Q200+Q204+Q206)*0.5*Q249)</f>
        <v>0</v>
      </c>
      <c r="R247" s="306">
        <f t="shared" si="93"/>
        <v>0</v>
      </c>
      <c r="S247" s="306">
        <f t="shared" si="93"/>
        <v>0</v>
      </c>
      <c r="T247" s="306">
        <f t="shared" si="93"/>
        <v>0</v>
      </c>
      <c r="U247" s="306">
        <f t="shared" si="93"/>
        <v>0</v>
      </c>
      <c r="V247" s="306">
        <f t="shared" si="93"/>
        <v>0</v>
      </c>
      <c r="W247" s="306">
        <f t="shared" si="93"/>
        <v>0</v>
      </c>
      <c r="X247" s="306">
        <f t="shared" si="93"/>
        <v>0</v>
      </c>
      <c r="Y247" s="306">
        <f t="shared" si="93"/>
        <v>0</v>
      </c>
    </row>
    <row r="248" spans="1:25" s="264" customFormat="1" ht="14.15">
      <c r="A248" s="750"/>
      <c r="C248" s="564" t="s">
        <v>1089</v>
      </c>
      <c r="D248" s="126">
        <v>0</v>
      </c>
      <c r="E248" s="744"/>
      <c r="F248" s="278"/>
      <c r="G248" s="310"/>
      <c r="H248" s="161"/>
      <c r="I248" s="321"/>
      <c r="J248" s="352"/>
      <c r="K248" s="352"/>
      <c r="L248" s="336"/>
      <c r="M248" s="336"/>
      <c r="N248" s="336"/>
      <c r="O248" s="336"/>
      <c r="P248" s="181">
        <f>$D$248</f>
        <v>0</v>
      </c>
      <c r="Q248" s="181">
        <f>$D$248</f>
        <v>0</v>
      </c>
      <c r="R248" s="181">
        <f>$D$248</f>
        <v>0</v>
      </c>
      <c r="S248" s="181">
        <f t="shared" ref="S248:Y248" si="94">$D$248</f>
        <v>0</v>
      </c>
      <c r="T248" s="181">
        <f t="shared" si="94"/>
        <v>0</v>
      </c>
      <c r="U248" s="181">
        <f t="shared" si="94"/>
        <v>0</v>
      </c>
      <c r="V248" s="181">
        <f t="shared" si="94"/>
        <v>0</v>
      </c>
      <c r="W248" s="181">
        <f t="shared" si="94"/>
        <v>0</v>
      </c>
      <c r="X248" s="181">
        <f t="shared" si="94"/>
        <v>0</v>
      </c>
      <c r="Y248" s="181">
        <f t="shared" si="94"/>
        <v>0</v>
      </c>
    </row>
    <row r="249" spans="1:25" ht="14.15">
      <c r="B249" s="564"/>
      <c r="C249" s="731" t="s">
        <v>1239</v>
      </c>
      <c r="D249" s="126">
        <v>0</v>
      </c>
      <c r="E249" s="742"/>
      <c r="F249" s="330"/>
      <c r="G249" s="334"/>
      <c r="H249" s="330"/>
      <c r="I249" s="267"/>
      <c r="J249" s="361"/>
      <c r="K249" s="361"/>
      <c r="L249" s="306"/>
      <c r="M249" s="306"/>
      <c r="N249" s="306"/>
      <c r="O249" s="306"/>
      <c r="P249" s="181">
        <f>$D$249</f>
        <v>0</v>
      </c>
      <c r="Q249" s="181">
        <f>$D$249</f>
        <v>0</v>
      </c>
      <c r="R249" s="181">
        <f>$D$249</f>
        <v>0</v>
      </c>
      <c r="S249" s="181">
        <f t="shared" ref="S249:Y249" si="95">$D$249</f>
        <v>0</v>
      </c>
      <c r="T249" s="181">
        <f t="shared" si="95"/>
        <v>0</v>
      </c>
      <c r="U249" s="181">
        <f t="shared" si="95"/>
        <v>0</v>
      </c>
      <c r="V249" s="181">
        <f t="shared" si="95"/>
        <v>0</v>
      </c>
      <c r="W249" s="181">
        <f t="shared" si="95"/>
        <v>0</v>
      </c>
      <c r="X249" s="181">
        <f t="shared" si="95"/>
        <v>0</v>
      </c>
      <c r="Y249" s="181">
        <f t="shared" si="95"/>
        <v>0</v>
      </c>
    </row>
    <row r="250" spans="1:25" ht="14.15">
      <c r="B250" s="564"/>
      <c r="C250" s="731"/>
      <c r="D250" s="351"/>
      <c r="E250" s="742"/>
      <c r="F250" s="330"/>
      <c r="G250" s="334"/>
      <c r="H250" s="330"/>
      <c r="I250" s="267"/>
      <c r="J250" s="361"/>
      <c r="K250" s="361"/>
      <c r="L250" s="306"/>
      <c r="M250" s="306"/>
      <c r="N250" s="306"/>
      <c r="O250" s="306"/>
      <c r="P250" s="734"/>
      <c r="Q250" s="734"/>
      <c r="R250" s="734"/>
      <c r="S250" s="734"/>
      <c r="T250" s="734"/>
      <c r="U250" s="734"/>
      <c r="V250" s="734"/>
      <c r="W250" s="734"/>
      <c r="X250" s="734"/>
      <c r="Y250" s="734"/>
    </row>
    <row r="251" spans="1:25" ht="14.15">
      <c r="B251" s="564" t="s">
        <v>1092</v>
      </c>
      <c r="C251" s="334"/>
      <c r="D251" s="330"/>
      <c r="E251" s="742"/>
      <c r="F251" s="330"/>
      <c r="G251" s="334"/>
      <c r="H251" s="330"/>
      <c r="I251" s="267">
        <f>利润表!Y32</f>
        <v>0</v>
      </c>
      <c r="J251" s="361">
        <f>利润表!AC32</f>
        <v>0</v>
      </c>
      <c r="K251" s="361">
        <f>利润表!AG32</f>
        <v>0</v>
      </c>
      <c r="L251" s="361">
        <f>利润表!AH32</f>
        <v>0</v>
      </c>
      <c r="M251" s="361">
        <f>利润表!AI32</f>
        <v>0</v>
      </c>
      <c r="N251" s="361">
        <f>利润表!AJ32</f>
        <v>0</v>
      </c>
      <c r="O251" s="361">
        <f>利润表!AK32</f>
        <v>0</v>
      </c>
      <c r="P251" s="306">
        <f>IF(ISERROR((P257+P258)*0.5*P252),0,(P257+P258)*0.5*P252)</f>
        <v>0</v>
      </c>
      <c r="Q251" s="306">
        <f t="shared" ref="Q251:W251" si="96">IF(ISERROR((Q257+Q258)*0.5*Q252),0,(Q257+Q258)*0.5*Q252)</f>
        <v>0</v>
      </c>
      <c r="R251" s="306">
        <f t="shared" si="96"/>
        <v>0</v>
      </c>
      <c r="S251" s="306">
        <f t="shared" si="96"/>
        <v>0</v>
      </c>
      <c r="T251" s="306">
        <f t="shared" si="96"/>
        <v>0</v>
      </c>
      <c r="U251" s="306">
        <f t="shared" si="96"/>
        <v>0</v>
      </c>
      <c r="V251" s="306">
        <f t="shared" si="96"/>
        <v>0</v>
      </c>
      <c r="W251" s="306">
        <f t="shared" si="96"/>
        <v>0</v>
      </c>
      <c r="X251" s="306" t="str">
        <f>IF(ISERROR((X257+X258)*0.5*X252),"0",(X257+X258)*0.5*X252)</f>
        <v>0</v>
      </c>
      <c r="Y251" s="306" t="str">
        <f>IF(ISERROR((Y257+Y258)*0.5*Y252),"0",(Y257+Y258)*0.5*Y252)</f>
        <v>0</v>
      </c>
    </row>
    <row r="252" spans="1:25" ht="14.15">
      <c r="B252" s="564"/>
      <c r="C252" s="579" t="s">
        <v>1090</v>
      </c>
      <c r="D252" s="126">
        <v>0</v>
      </c>
      <c r="E252" s="744"/>
      <c r="F252" s="278"/>
      <c r="G252" s="310"/>
      <c r="H252" s="161"/>
      <c r="I252" s="331"/>
      <c r="J252" s="267"/>
      <c r="K252" s="267"/>
      <c r="L252" s="336"/>
      <c r="M252" s="336"/>
      <c r="N252" s="336"/>
      <c r="O252" s="336"/>
      <c r="P252" s="181">
        <f>$D$252</f>
        <v>0</v>
      </c>
      <c r="Q252" s="181">
        <f>$D$252</f>
        <v>0</v>
      </c>
      <c r="R252" s="181">
        <f>$D$252</f>
        <v>0</v>
      </c>
      <c r="S252" s="181">
        <f t="shared" ref="S252:Y252" si="97">$D$252</f>
        <v>0</v>
      </c>
      <c r="T252" s="181">
        <f t="shared" si="97"/>
        <v>0</v>
      </c>
      <c r="U252" s="181">
        <f t="shared" si="97"/>
        <v>0</v>
      </c>
      <c r="V252" s="181">
        <f t="shared" si="97"/>
        <v>0</v>
      </c>
      <c r="W252" s="181">
        <f t="shared" si="97"/>
        <v>0</v>
      </c>
      <c r="X252" s="181">
        <f t="shared" si="97"/>
        <v>0</v>
      </c>
      <c r="Y252" s="181">
        <f t="shared" si="97"/>
        <v>0</v>
      </c>
    </row>
    <row r="253" spans="1:25" ht="14.15">
      <c r="B253" s="261"/>
      <c r="C253" s="334"/>
      <c r="D253" s="330"/>
      <c r="E253" s="742"/>
      <c r="F253" s="330"/>
      <c r="G253" s="334"/>
      <c r="H253" s="330"/>
      <c r="I253" s="267"/>
      <c r="J253" s="361"/>
      <c r="K253" s="361"/>
      <c r="L253" s="306"/>
      <c r="M253" s="306"/>
      <c r="N253" s="306"/>
      <c r="O253" s="306"/>
      <c r="P253" s="306"/>
      <c r="Q253" s="306"/>
      <c r="R253" s="306"/>
      <c r="S253" s="306"/>
      <c r="T253" s="306"/>
      <c r="U253" s="306"/>
      <c r="V253" s="306"/>
      <c r="W253" s="306"/>
      <c r="X253" s="306"/>
      <c r="Y253" s="306"/>
    </row>
    <row r="254" spans="1:25" ht="14.15">
      <c r="A254" s="751" t="s">
        <v>699</v>
      </c>
      <c r="B254" s="581" t="s">
        <v>995</v>
      </c>
      <c r="D254" s="745"/>
      <c r="F254" s="330"/>
      <c r="G254" s="334"/>
      <c r="H254" s="330"/>
      <c r="I254" s="267"/>
      <c r="J254" s="361"/>
      <c r="K254" s="361"/>
      <c r="L254" s="306"/>
      <c r="M254" s="306"/>
      <c r="N254" s="306"/>
      <c r="O254" s="306"/>
      <c r="P254" s="472">
        <v>0</v>
      </c>
      <c r="Q254" s="472">
        <v>0</v>
      </c>
      <c r="R254" s="472">
        <v>0</v>
      </c>
      <c r="S254" s="591">
        <v>0</v>
      </c>
      <c r="T254" s="591">
        <v>0</v>
      </c>
      <c r="U254" s="591">
        <v>0</v>
      </c>
      <c r="V254" s="591">
        <v>0</v>
      </c>
      <c r="W254" s="591">
        <v>0</v>
      </c>
      <c r="X254" s="591">
        <v>0</v>
      </c>
      <c r="Y254" s="591">
        <v>0</v>
      </c>
    </row>
    <row r="255" spans="1:25" ht="14.15">
      <c r="B255" s="581"/>
      <c r="C255" s="579" t="s">
        <v>1093</v>
      </c>
      <c r="D255" s="330"/>
      <c r="E255" s="742"/>
      <c r="F255" s="330"/>
      <c r="G255" s="334"/>
      <c r="H255" s="330"/>
      <c r="I255" s="267">
        <f>利润表!Y29</f>
        <v>0</v>
      </c>
      <c r="J255" s="361">
        <f>利润表!AC29</f>
        <v>0</v>
      </c>
      <c r="K255" s="361">
        <f>利润表!AG29</f>
        <v>0</v>
      </c>
      <c r="L255" s="306"/>
      <c r="M255" s="306"/>
      <c r="N255" s="306"/>
      <c r="O255" s="306"/>
      <c r="P255" s="306">
        <f>P247-P251+P254</f>
        <v>0</v>
      </c>
      <c r="Q255" s="306">
        <f t="shared" ref="Q255:Y255" si="98">Q247-Q251+Q254</f>
        <v>0</v>
      </c>
      <c r="R255" s="306">
        <f t="shared" si="98"/>
        <v>0</v>
      </c>
      <c r="S255" s="306">
        <f t="shared" si="98"/>
        <v>0</v>
      </c>
      <c r="T255" s="306">
        <f t="shared" si="98"/>
        <v>0</v>
      </c>
      <c r="U255" s="306">
        <f t="shared" si="98"/>
        <v>0</v>
      </c>
      <c r="V255" s="306">
        <f t="shared" si="98"/>
        <v>0</v>
      </c>
      <c r="W255" s="306">
        <f t="shared" si="98"/>
        <v>0</v>
      </c>
      <c r="X255" s="306">
        <f t="shared" si="98"/>
        <v>0</v>
      </c>
      <c r="Y255" s="306">
        <f t="shared" si="98"/>
        <v>0</v>
      </c>
    </row>
    <row r="256" spans="1:25" s="264" customFormat="1" ht="13.75">
      <c r="A256" s="750"/>
      <c r="B256" s="266"/>
      <c r="C256" s="334"/>
      <c r="D256" s="329"/>
      <c r="E256" s="329"/>
      <c r="F256" s="329"/>
      <c r="G256" s="334"/>
      <c r="H256" s="329"/>
      <c r="I256" s="263"/>
      <c r="J256" s="359"/>
      <c r="K256" s="359"/>
      <c r="L256" s="370"/>
      <c r="M256" s="370"/>
      <c r="N256" s="370"/>
      <c r="O256" s="370"/>
      <c r="P256" s="370"/>
      <c r="Q256" s="371"/>
      <c r="R256" s="371"/>
      <c r="S256" s="371"/>
      <c r="T256" s="371"/>
      <c r="U256" s="371"/>
      <c r="V256" s="371"/>
      <c r="W256" s="371"/>
      <c r="X256" s="371"/>
      <c r="Y256" s="371"/>
    </row>
    <row r="257" spans="1:25" ht="14.15">
      <c r="B257" s="261" t="s">
        <v>776</v>
      </c>
      <c r="C257" s="334"/>
      <c r="D257" s="329"/>
      <c r="E257" s="329"/>
      <c r="F257" s="329"/>
      <c r="G257" s="334"/>
      <c r="H257" s="329"/>
      <c r="I257" s="306">
        <f>资产负债表!U8</f>
        <v>0</v>
      </c>
      <c r="J257" s="306">
        <f>IF(ISERROR(资产负债表!Y8),0,资产负债表!Y8)</f>
        <v>0</v>
      </c>
      <c r="K257" s="306">
        <f>IF(ISERROR(资产负债表!AC8),0,资产负债表!AC8)</f>
        <v>0</v>
      </c>
      <c r="L257" s="306">
        <f>IF(ISERROR(资产负债表!AG8),0,资产负债表!AG8)</f>
        <v>0</v>
      </c>
      <c r="M257" s="306">
        <f>IF(ISERROR(资产负债表!AH8),0,资产负债表!AH8)</f>
        <v>0</v>
      </c>
      <c r="N257" s="306">
        <f>IF(ISERROR(资产负债表!AI8),0,资产负债表!AI8)</f>
        <v>0</v>
      </c>
      <c r="O257" s="306">
        <f>IF(ISERROR(资产负债表!AJ8),0,资产负债表!AJ8)</f>
        <v>0</v>
      </c>
      <c r="P257" s="306">
        <f>资产负债表!AG8</f>
        <v>0</v>
      </c>
      <c r="Q257" s="362" t="str">
        <f>资产负债表!AL8</f>
        <v>—</v>
      </c>
      <c r="R257" s="362" t="str">
        <f>资产负债表!AM8</f>
        <v>—</v>
      </c>
      <c r="S257" s="362" t="str">
        <f>资产负债表!AN8</f>
        <v>—</v>
      </c>
      <c r="T257" s="362" t="str">
        <f>资产负债表!AO8</f>
        <v>—</v>
      </c>
      <c r="U257" s="362" t="str">
        <f>资产负债表!AP8</f>
        <v>—</v>
      </c>
      <c r="V257" s="362" t="str">
        <f>资产负债表!AQ8</f>
        <v>—</v>
      </c>
      <c r="W257" s="362" t="str">
        <f>资产负债表!AR8</f>
        <v>—</v>
      </c>
      <c r="X257" s="362" t="str">
        <f>资产负债表!AS8</f>
        <v>—</v>
      </c>
      <c r="Y257" s="362" t="str">
        <f>资产负债表!AT8</f>
        <v>—</v>
      </c>
    </row>
    <row r="258" spans="1:25" ht="14.15">
      <c r="B258" s="261" t="s">
        <v>777</v>
      </c>
      <c r="C258" s="334"/>
      <c r="D258" s="329"/>
      <c r="E258" s="329"/>
      <c r="F258" s="329"/>
      <c r="G258" s="334"/>
      <c r="H258" s="329"/>
      <c r="I258" s="267">
        <f>资产负债表!Y8</f>
        <v>0</v>
      </c>
      <c r="J258" s="267">
        <f>资产负债表!AC8</f>
        <v>0</v>
      </c>
      <c r="K258" s="267">
        <f>资产负债表!AG8</f>
        <v>0</v>
      </c>
      <c r="L258" s="267">
        <f>资产负债表!AH8</f>
        <v>0</v>
      </c>
      <c r="M258" s="267">
        <f>资产负债表!AI8</f>
        <v>0</v>
      </c>
      <c r="N258" s="267">
        <f>资产负债表!AJ8</f>
        <v>0</v>
      </c>
      <c r="O258" s="267">
        <f>资产负债表!AK8</f>
        <v>0</v>
      </c>
      <c r="P258" s="306">
        <f t="shared" ref="P258:Y258" si="99">IF(ISERROR(IF(P238&gt;P241,P238-P241+P236,P236)),0,IF(P238&gt;P241,P238-P241+P236,P236))</f>
        <v>14961.347017712371</v>
      </c>
      <c r="Q258" s="306">
        <f t="shared" si="99"/>
        <v>20906.523039917025</v>
      </c>
      <c r="R258" s="306">
        <f t="shared" si="99"/>
        <v>28051.096250680763</v>
      </c>
      <c r="S258" s="306">
        <f t="shared" si="99"/>
        <v>23745.229786203643</v>
      </c>
      <c r="T258" s="306">
        <f t="shared" si="99"/>
        <v>23745.229786203643</v>
      </c>
      <c r="U258" s="306">
        <f t="shared" si="99"/>
        <v>23745.229786203643</v>
      </c>
      <c r="V258" s="306">
        <f t="shared" si="99"/>
        <v>23745.229786203643</v>
      </c>
      <c r="W258" s="306">
        <f t="shared" si="99"/>
        <v>23745.229786203643</v>
      </c>
      <c r="X258" s="306">
        <f t="shared" si="99"/>
        <v>23745.229786203643</v>
      </c>
      <c r="Y258" s="306">
        <f t="shared" si="99"/>
        <v>23745.229786203643</v>
      </c>
    </row>
    <row r="259" spans="1:25" ht="13.75">
      <c r="B259" s="261"/>
      <c r="C259" s="310"/>
      <c r="G259" s="310"/>
      <c r="I259" s="267"/>
      <c r="J259" s="267"/>
      <c r="K259" s="267"/>
      <c r="L259" s="306"/>
      <c r="M259" s="306"/>
      <c r="N259" s="306"/>
      <c r="O259" s="306"/>
      <c r="P259" s="306"/>
      <c r="Q259" s="306"/>
      <c r="R259" s="306"/>
      <c r="S259" s="306"/>
      <c r="T259" s="306"/>
      <c r="U259" s="306"/>
      <c r="V259" s="306"/>
      <c r="W259" s="306"/>
      <c r="X259" s="306"/>
      <c r="Y259" s="306"/>
    </row>
    <row r="260" spans="1:25" s="264" customFormat="1" ht="14.15">
      <c r="A260" s="750"/>
      <c r="B260" s="266"/>
      <c r="C260" s="310"/>
      <c r="G260" s="310"/>
      <c r="I260" s="267"/>
      <c r="J260" s="267"/>
      <c r="K260" s="267"/>
      <c r="L260" s="267"/>
      <c r="M260" s="267"/>
      <c r="N260" s="267"/>
      <c r="O260" s="267"/>
      <c r="P260" s="267"/>
      <c r="Q260" s="267"/>
      <c r="R260" s="267"/>
      <c r="S260" s="267"/>
      <c r="T260" s="267"/>
      <c r="U260" s="267"/>
      <c r="V260" s="267"/>
      <c r="W260" s="267"/>
      <c r="X260" s="267"/>
      <c r="Y260" s="267"/>
    </row>
    <row r="261" spans="1:25" s="295" customFormat="1" ht="14.15">
      <c r="A261" s="746"/>
      <c r="B261" s="153" t="s">
        <v>778</v>
      </c>
      <c r="C261" s="154"/>
      <c r="D261" s="155"/>
      <c r="E261" s="739"/>
      <c r="F261" s="155"/>
      <c r="G261" s="154"/>
      <c r="H261" s="155"/>
      <c r="I261" s="155"/>
      <c r="J261" s="155"/>
      <c r="K261" s="155"/>
      <c r="L261" s="155"/>
      <c r="M261" s="155"/>
      <c r="N261" s="155"/>
      <c r="O261" s="155"/>
      <c r="P261" s="155"/>
      <c r="Q261" s="155"/>
      <c r="R261" s="155"/>
      <c r="S261" s="155"/>
      <c r="T261" s="155"/>
      <c r="U261" s="155"/>
      <c r="V261" s="155"/>
      <c r="W261" s="155"/>
      <c r="X261" s="155"/>
      <c r="Y261" s="155"/>
    </row>
    <row r="262" spans="1:25" ht="13.75">
      <c r="B262" s="296" t="str">
        <f>"单位："&amp;目录!D5</f>
        <v>单位：港元</v>
      </c>
      <c r="C262" s="297"/>
      <c r="D262" s="297"/>
      <c r="F262" s="297"/>
      <c r="G262" s="297"/>
      <c r="H262" s="297"/>
    </row>
    <row r="263" spans="1:25" s="291" customFormat="1" ht="14.6" thickBot="1">
      <c r="A263" s="748"/>
      <c r="B263" s="298" t="s">
        <v>719</v>
      </c>
      <c r="C263" s="299"/>
      <c r="D263" s="299"/>
      <c r="E263" s="299"/>
      <c r="F263" s="299"/>
      <c r="G263" s="299"/>
      <c r="H263" s="299"/>
      <c r="I263" s="300">
        <f t="shared" ref="I263:Y263" si="100">I4</f>
        <v>2021</v>
      </c>
      <c r="J263" s="300">
        <f t="shared" si="100"/>
        <v>2022</v>
      </c>
      <c r="K263" s="300">
        <f t="shared" si="100"/>
        <v>2023</v>
      </c>
      <c r="L263" s="301" t="str">
        <f t="shared" si="100"/>
        <v>1Q23</v>
      </c>
      <c r="M263" s="301" t="str">
        <f t="shared" si="100"/>
        <v>1H21</v>
      </c>
      <c r="N263" s="301" t="str">
        <f t="shared" si="100"/>
        <v>3Q21</v>
      </c>
      <c r="O263" s="301" t="str">
        <f t="shared" si="100"/>
        <v>-</v>
      </c>
      <c r="P263" s="301" t="str">
        <f t="shared" si="100"/>
        <v>-E</v>
      </c>
      <c r="Q263" s="302" t="e">
        <f t="shared" si="100"/>
        <v>#VALUE!</v>
      </c>
      <c r="R263" s="302" t="e">
        <f t="shared" si="100"/>
        <v>#VALUE!</v>
      </c>
      <c r="S263" s="302" t="e">
        <f t="shared" si="100"/>
        <v>#VALUE!</v>
      </c>
      <c r="T263" s="302" t="e">
        <f t="shared" si="100"/>
        <v>#VALUE!</v>
      </c>
      <c r="U263" s="302" t="e">
        <f t="shared" si="100"/>
        <v>#VALUE!</v>
      </c>
      <c r="V263" s="302" t="e">
        <f t="shared" si="100"/>
        <v>#VALUE!</v>
      </c>
      <c r="W263" s="302" t="e">
        <f t="shared" si="100"/>
        <v>#VALUE!</v>
      </c>
      <c r="X263" s="302" t="e">
        <f t="shared" si="100"/>
        <v>#VALUE!</v>
      </c>
      <c r="Y263" s="302" t="e">
        <f t="shared" si="100"/>
        <v>#VALUE!</v>
      </c>
    </row>
    <row r="264" spans="1:25" s="303" customFormat="1" ht="14.15" thickTop="1">
      <c r="A264" s="746"/>
      <c r="B264" s="261"/>
    </row>
    <row r="265" spans="1:25" ht="13.75">
      <c r="B265" s="648" t="s">
        <v>1199</v>
      </c>
      <c r="G265" s="262"/>
      <c r="I265" s="267">
        <f>利润表!Y58</f>
        <v>0</v>
      </c>
      <c r="J265" s="361">
        <f>利润表!AC58</f>
        <v>0</v>
      </c>
      <c r="K265" s="361">
        <f>利润表!AG58</f>
        <v>0</v>
      </c>
      <c r="L265" s="361">
        <f>利润表!AH58</f>
        <v>0</v>
      </c>
      <c r="M265" s="361">
        <f>利润表!AI58</f>
        <v>0</v>
      </c>
      <c r="N265" s="361">
        <f>利润表!AJ58</f>
        <v>0</v>
      </c>
      <c r="O265" s="361">
        <f>利润表!AK58</f>
        <v>0</v>
      </c>
      <c r="P265" s="362">
        <f t="shared" ref="P265:Y265" si="101">P266+P180</f>
        <v>0</v>
      </c>
      <c r="Q265" s="362">
        <f t="shared" si="101"/>
        <v>0</v>
      </c>
      <c r="R265" s="362">
        <f t="shared" si="101"/>
        <v>0</v>
      </c>
      <c r="S265" s="362">
        <f t="shared" si="101"/>
        <v>0</v>
      </c>
      <c r="T265" s="362">
        <f t="shared" si="101"/>
        <v>0</v>
      </c>
      <c r="U265" s="362">
        <f t="shared" si="101"/>
        <v>0</v>
      </c>
      <c r="V265" s="362">
        <f t="shared" si="101"/>
        <v>0</v>
      </c>
      <c r="W265" s="362">
        <f t="shared" si="101"/>
        <v>0</v>
      </c>
      <c r="X265" s="362">
        <f t="shared" si="101"/>
        <v>0</v>
      </c>
      <c r="Y265" s="362">
        <f t="shared" si="101"/>
        <v>0</v>
      </c>
    </row>
    <row r="266" spans="1:25" s="264" customFormat="1" ht="14.15">
      <c r="A266" s="750"/>
      <c r="B266" s="564" t="s">
        <v>1094</v>
      </c>
      <c r="G266" s="307"/>
      <c r="I266" s="352"/>
      <c r="J266" s="352"/>
      <c r="K266" s="374"/>
      <c r="L266" s="374"/>
      <c r="M266" s="374"/>
      <c r="N266" s="374"/>
      <c r="O266" s="374"/>
      <c r="P266" s="362">
        <f>SUM(P268:P276)</f>
        <v>0</v>
      </c>
      <c r="Q266" s="362">
        <f t="shared" ref="Q266:Y266" si="102">SUM(Q268:Q276)</f>
        <v>0</v>
      </c>
      <c r="R266" s="362">
        <f t="shared" si="102"/>
        <v>0</v>
      </c>
      <c r="S266" s="362">
        <f t="shared" si="102"/>
        <v>0</v>
      </c>
      <c r="T266" s="362">
        <f t="shared" si="102"/>
        <v>0</v>
      </c>
      <c r="U266" s="362">
        <f t="shared" si="102"/>
        <v>0</v>
      </c>
      <c r="V266" s="362">
        <f t="shared" si="102"/>
        <v>0</v>
      </c>
      <c r="W266" s="362">
        <f t="shared" si="102"/>
        <v>0</v>
      </c>
      <c r="X266" s="362">
        <f t="shared" si="102"/>
        <v>0</v>
      </c>
      <c r="Y266" s="362">
        <f t="shared" si="102"/>
        <v>0</v>
      </c>
    </row>
    <row r="267" spans="1:25" s="264" customFormat="1" ht="14.15">
      <c r="A267" s="750"/>
      <c r="B267" s="564" t="s">
        <v>1101</v>
      </c>
      <c r="C267" s="564"/>
      <c r="G267" s="307"/>
      <c r="I267" s="352"/>
      <c r="J267" s="352"/>
      <c r="K267" s="374"/>
      <c r="L267" s="374"/>
      <c r="M267" s="374"/>
      <c r="N267" s="374"/>
      <c r="O267" s="374"/>
      <c r="P267" s="374"/>
      <c r="Q267" s="374"/>
      <c r="R267" s="374"/>
      <c r="S267" s="374"/>
      <c r="T267" s="374"/>
      <c r="U267" s="374"/>
      <c r="V267" s="374"/>
      <c r="W267" s="374"/>
      <c r="X267" s="374"/>
      <c r="Y267" s="374"/>
    </row>
    <row r="268" spans="1:25" s="264" customFormat="1" ht="14.25" customHeight="1">
      <c r="A268" s="751" t="s">
        <v>699</v>
      </c>
      <c r="B268" s="262"/>
      <c r="C268" s="564" t="s">
        <v>1095</v>
      </c>
      <c r="D268" s="745"/>
      <c r="G268" s="307"/>
      <c r="I268" s="352"/>
      <c r="J268" s="352"/>
      <c r="K268" s="374"/>
      <c r="L268" s="374"/>
      <c r="M268" s="374"/>
      <c r="N268" s="374"/>
      <c r="O268" s="374"/>
      <c r="P268" s="591">
        <v>0</v>
      </c>
      <c r="Q268" s="591">
        <v>0</v>
      </c>
      <c r="R268" s="591">
        <v>0</v>
      </c>
      <c r="S268" s="591">
        <v>0</v>
      </c>
      <c r="T268" s="591">
        <v>0</v>
      </c>
      <c r="U268" s="591">
        <v>0</v>
      </c>
      <c r="V268" s="591">
        <v>0</v>
      </c>
      <c r="W268" s="591">
        <v>0</v>
      </c>
      <c r="X268" s="591">
        <v>0</v>
      </c>
      <c r="Y268" s="591">
        <v>0</v>
      </c>
    </row>
    <row r="269" spans="1:25" s="264" customFormat="1" ht="14.15">
      <c r="A269" s="751" t="s">
        <v>699</v>
      </c>
      <c r="B269" s="262"/>
      <c r="C269" s="564" t="s">
        <v>1096</v>
      </c>
      <c r="D269" s="745"/>
      <c r="G269" s="307"/>
      <c r="I269" s="352"/>
      <c r="J269" s="352"/>
      <c r="K269" s="374"/>
      <c r="L269" s="374"/>
      <c r="M269" s="374"/>
      <c r="N269" s="374"/>
      <c r="O269" s="374"/>
      <c r="P269" s="591">
        <v>0</v>
      </c>
      <c r="Q269" s="591">
        <v>0</v>
      </c>
      <c r="R269" s="591">
        <v>0</v>
      </c>
      <c r="S269" s="591">
        <v>0</v>
      </c>
      <c r="T269" s="591">
        <v>0</v>
      </c>
      <c r="U269" s="591">
        <v>0</v>
      </c>
      <c r="V269" s="591">
        <v>0</v>
      </c>
      <c r="W269" s="591">
        <v>0</v>
      </c>
      <c r="X269" s="591">
        <v>0</v>
      </c>
      <c r="Y269" s="591">
        <v>0</v>
      </c>
    </row>
    <row r="270" spans="1:25" s="264" customFormat="1" ht="14.15">
      <c r="A270" s="751" t="s">
        <v>1235</v>
      </c>
      <c r="B270" s="262"/>
      <c r="C270" s="330" t="s">
        <v>726</v>
      </c>
      <c r="D270" s="745"/>
      <c r="G270" s="307"/>
      <c r="I270" s="352"/>
      <c r="J270" s="352"/>
      <c r="K270" s="374"/>
      <c r="L270" s="374"/>
      <c r="M270" s="374"/>
      <c r="N270" s="374"/>
      <c r="O270" s="374"/>
      <c r="P270" s="591">
        <v>0</v>
      </c>
      <c r="Q270" s="591">
        <v>0</v>
      </c>
      <c r="R270" s="591">
        <v>0</v>
      </c>
      <c r="S270" s="591">
        <v>0</v>
      </c>
      <c r="T270" s="591">
        <v>0</v>
      </c>
      <c r="U270" s="591">
        <v>0</v>
      </c>
      <c r="V270" s="591">
        <v>0</v>
      </c>
      <c r="W270" s="591">
        <v>0</v>
      </c>
      <c r="X270" s="591">
        <v>0</v>
      </c>
      <c r="Y270" s="591">
        <v>0</v>
      </c>
    </row>
    <row r="271" spans="1:25" s="264" customFormat="1" ht="14.15">
      <c r="A271" s="751" t="s">
        <v>1235</v>
      </c>
      <c r="B271" s="262"/>
      <c r="C271" s="330" t="s">
        <v>422</v>
      </c>
      <c r="D271" s="745"/>
      <c r="G271" s="307"/>
      <c r="I271" s="352"/>
      <c r="J271" s="352"/>
      <c r="K271" s="374"/>
      <c r="L271" s="374"/>
      <c r="M271" s="374"/>
      <c r="N271" s="374"/>
      <c r="O271" s="374"/>
      <c r="P271" s="591">
        <v>0</v>
      </c>
      <c r="Q271" s="591">
        <v>0</v>
      </c>
      <c r="R271" s="591">
        <v>0</v>
      </c>
      <c r="S271" s="591">
        <v>0</v>
      </c>
      <c r="T271" s="591">
        <v>0</v>
      </c>
      <c r="U271" s="591">
        <v>0</v>
      </c>
      <c r="V271" s="591">
        <v>0</v>
      </c>
      <c r="W271" s="591">
        <v>0</v>
      </c>
      <c r="X271" s="591">
        <v>0</v>
      </c>
      <c r="Y271" s="591">
        <v>0</v>
      </c>
    </row>
    <row r="272" spans="1:25" s="264" customFormat="1" ht="14.15">
      <c r="A272" s="751" t="s">
        <v>1235</v>
      </c>
      <c r="B272" s="262"/>
      <c r="C272" s="342" t="s">
        <v>872</v>
      </c>
      <c r="D272" s="745"/>
      <c r="G272" s="307"/>
      <c r="I272" s="352"/>
      <c r="J272" s="352"/>
      <c r="K272" s="374"/>
      <c r="L272" s="374"/>
      <c r="M272" s="374"/>
      <c r="N272" s="374"/>
      <c r="O272" s="374"/>
      <c r="P272" s="591">
        <v>0</v>
      </c>
      <c r="Q272" s="591">
        <v>0</v>
      </c>
      <c r="R272" s="591">
        <v>0</v>
      </c>
      <c r="S272" s="591">
        <v>0</v>
      </c>
      <c r="T272" s="591">
        <v>0</v>
      </c>
      <c r="U272" s="591">
        <v>0</v>
      </c>
      <c r="V272" s="591">
        <v>0</v>
      </c>
      <c r="W272" s="591">
        <v>0</v>
      </c>
      <c r="X272" s="591">
        <v>0</v>
      </c>
      <c r="Y272" s="591">
        <v>0</v>
      </c>
    </row>
    <row r="273" spans="1:25" s="264" customFormat="1" ht="14.15">
      <c r="A273" s="751" t="s">
        <v>1235</v>
      </c>
      <c r="B273" s="262"/>
      <c r="C273" s="342" t="s">
        <v>873</v>
      </c>
      <c r="D273" s="745"/>
      <c r="G273" s="307"/>
      <c r="I273" s="352"/>
      <c r="J273" s="352"/>
      <c r="K273" s="374"/>
      <c r="L273" s="374"/>
      <c r="M273" s="374"/>
      <c r="N273" s="374"/>
      <c r="O273" s="374"/>
      <c r="P273" s="591">
        <v>0</v>
      </c>
      <c r="Q273" s="591">
        <v>0</v>
      </c>
      <c r="R273" s="591">
        <v>0</v>
      </c>
      <c r="S273" s="591">
        <v>0</v>
      </c>
      <c r="T273" s="591">
        <v>0</v>
      </c>
      <c r="U273" s="591">
        <v>0</v>
      </c>
      <c r="V273" s="591">
        <v>0</v>
      </c>
      <c r="W273" s="591">
        <v>0</v>
      </c>
      <c r="X273" s="591">
        <v>0</v>
      </c>
      <c r="Y273" s="591">
        <v>0</v>
      </c>
    </row>
    <row r="274" spans="1:25" s="264" customFormat="1" ht="14.15">
      <c r="A274" s="751" t="s">
        <v>1235</v>
      </c>
      <c r="B274" s="262"/>
      <c r="C274" s="342" t="s">
        <v>533</v>
      </c>
      <c r="D274" s="745"/>
      <c r="G274" s="307"/>
      <c r="I274" s="352"/>
      <c r="J274" s="352"/>
      <c r="K274" s="374"/>
      <c r="L274" s="374"/>
      <c r="M274" s="374"/>
      <c r="N274" s="374"/>
      <c r="O274" s="374"/>
      <c r="P274" s="591">
        <v>0</v>
      </c>
      <c r="Q274" s="591">
        <v>0</v>
      </c>
      <c r="R274" s="591">
        <v>0</v>
      </c>
      <c r="S274" s="591">
        <v>0</v>
      </c>
      <c r="T274" s="591">
        <v>0</v>
      </c>
      <c r="U274" s="591">
        <v>0</v>
      </c>
      <c r="V274" s="591">
        <v>0</v>
      </c>
      <c r="W274" s="591">
        <v>0</v>
      </c>
      <c r="X274" s="591">
        <v>0</v>
      </c>
      <c r="Y274" s="591">
        <v>0</v>
      </c>
    </row>
    <row r="275" spans="1:25" s="264" customFormat="1" ht="14.15">
      <c r="A275" s="751" t="s">
        <v>1235</v>
      </c>
      <c r="B275" s="262"/>
      <c r="C275" s="342" t="s">
        <v>742</v>
      </c>
      <c r="D275" s="745"/>
      <c r="G275" s="307"/>
      <c r="I275" s="352"/>
      <c r="J275" s="352"/>
      <c r="K275" s="374"/>
      <c r="L275" s="374"/>
      <c r="M275" s="374"/>
      <c r="N275" s="374"/>
      <c r="O275" s="374"/>
      <c r="P275" s="591">
        <v>0</v>
      </c>
      <c r="Q275" s="591">
        <v>0</v>
      </c>
      <c r="R275" s="591">
        <v>0</v>
      </c>
      <c r="S275" s="591">
        <v>0</v>
      </c>
      <c r="T275" s="591">
        <v>0</v>
      </c>
      <c r="U275" s="591">
        <v>0</v>
      </c>
      <c r="V275" s="591">
        <v>0</v>
      </c>
      <c r="W275" s="591">
        <v>0</v>
      </c>
      <c r="X275" s="591">
        <v>0</v>
      </c>
      <c r="Y275" s="591">
        <v>0</v>
      </c>
    </row>
    <row r="276" spans="1:25" s="264" customFormat="1" ht="14.15">
      <c r="A276" s="751" t="s">
        <v>1235</v>
      </c>
      <c r="B276" s="262"/>
      <c r="C276" s="621" t="s">
        <v>1168</v>
      </c>
      <c r="D276" s="745"/>
      <c r="G276" s="307"/>
      <c r="I276" s="352"/>
      <c r="J276" s="352"/>
      <c r="K276" s="374"/>
      <c r="L276" s="374"/>
      <c r="M276" s="374"/>
      <c r="N276" s="374"/>
      <c r="O276" s="374"/>
      <c r="P276" s="591">
        <v>0</v>
      </c>
      <c r="Q276" s="591">
        <v>0</v>
      </c>
      <c r="R276" s="591">
        <v>0</v>
      </c>
      <c r="S276" s="591">
        <v>0</v>
      </c>
      <c r="T276" s="591">
        <v>0</v>
      </c>
      <c r="U276" s="591">
        <v>0</v>
      </c>
      <c r="V276" s="591">
        <v>0</v>
      </c>
      <c r="W276" s="591">
        <v>0</v>
      </c>
      <c r="X276" s="591">
        <v>0</v>
      </c>
      <c r="Y276" s="591">
        <v>0</v>
      </c>
    </row>
    <row r="277" spans="1:25" s="264" customFormat="1" ht="14.15">
      <c r="A277" s="750"/>
      <c r="B277" s="262"/>
      <c r="C277" s="590"/>
      <c r="G277" s="307"/>
      <c r="I277" s="352"/>
      <c r="J277" s="352"/>
      <c r="K277" s="374"/>
      <c r="L277" s="374"/>
      <c r="M277" s="374"/>
      <c r="N277" s="374"/>
      <c r="O277" s="374"/>
      <c r="P277" s="374"/>
      <c r="Q277" s="374"/>
      <c r="R277" s="374"/>
      <c r="S277" s="374"/>
      <c r="T277" s="374"/>
      <c r="U277" s="374"/>
      <c r="V277" s="374"/>
      <c r="W277" s="374"/>
      <c r="X277" s="374"/>
      <c r="Y277" s="374"/>
    </row>
    <row r="278" spans="1:25" s="332" customFormat="1" ht="14.15">
      <c r="A278" s="752"/>
      <c r="B278" s="564" t="s">
        <v>981</v>
      </c>
      <c r="C278" s="375"/>
      <c r="G278" s="375"/>
      <c r="P278" s="371"/>
      <c r="Q278" s="371"/>
      <c r="R278" s="371"/>
      <c r="S278" s="371"/>
      <c r="T278" s="371"/>
      <c r="U278" s="371"/>
      <c r="V278" s="371"/>
      <c r="W278" s="371"/>
      <c r="X278" s="371"/>
      <c r="Y278" s="371"/>
    </row>
    <row r="279" spans="1:25" s="264" customFormat="1" ht="14.15">
      <c r="A279" s="750"/>
      <c r="B279" s="564" t="s">
        <v>1100</v>
      </c>
      <c r="C279" s="266"/>
      <c r="G279" s="266"/>
      <c r="I279" s="267">
        <f>利润表!Y52</f>
        <v>0</v>
      </c>
      <c r="J279" s="361">
        <f>利润表!AC52</f>
        <v>0</v>
      </c>
      <c r="K279" s="361">
        <f>利润表!AG52</f>
        <v>0</v>
      </c>
      <c r="L279" s="361">
        <f>利润表!AH52</f>
        <v>0</v>
      </c>
      <c r="M279" s="361">
        <f>利润表!AI52</f>
        <v>0</v>
      </c>
      <c r="N279" s="361">
        <f>利润表!AJ52</f>
        <v>0</v>
      </c>
      <c r="O279" s="361">
        <f>利润表!AK52</f>
        <v>0</v>
      </c>
      <c r="P279" s="306">
        <f t="shared" ref="P279:Y279" si="103">P70+P74+P82+P86+P164+P280</f>
        <v>0</v>
      </c>
      <c r="Q279" s="306">
        <f t="shared" si="103"/>
        <v>0</v>
      </c>
      <c r="R279" s="306">
        <f t="shared" si="103"/>
        <v>0</v>
      </c>
      <c r="S279" s="306">
        <f t="shared" si="103"/>
        <v>0</v>
      </c>
      <c r="T279" s="306">
        <f t="shared" si="103"/>
        <v>0</v>
      </c>
      <c r="U279" s="306">
        <f t="shared" si="103"/>
        <v>0</v>
      </c>
      <c r="V279" s="306">
        <f t="shared" si="103"/>
        <v>0</v>
      </c>
      <c r="W279" s="306">
        <f t="shared" si="103"/>
        <v>0</v>
      </c>
      <c r="X279" s="306">
        <f t="shared" si="103"/>
        <v>0</v>
      </c>
      <c r="Y279" s="306">
        <f t="shared" si="103"/>
        <v>0</v>
      </c>
    </row>
    <row r="280" spans="1:25" ht="13.75">
      <c r="A280" s="751" t="s">
        <v>699</v>
      </c>
      <c r="B280" s="260"/>
      <c r="C280" s="261" t="s">
        <v>779</v>
      </c>
      <c r="D280" s="745"/>
      <c r="F280" s="308"/>
      <c r="I280" s="324"/>
      <c r="J280" s="324"/>
      <c r="K280" s="337"/>
      <c r="L280" s="306">
        <f>(P280)/4</f>
        <v>0</v>
      </c>
      <c r="M280" s="306">
        <f>(P280)/4</f>
        <v>0</v>
      </c>
      <c r="N280" s="306">
        <f>(P280)/4</f>
        <v>0</v>
      </c>
      <c r="O280" s="306">
        <f>(P280)/4</f>
        <v>0</v>
      </c>
      <c r="P280" s="591">
        <v>0</v>
      </c>
      <c r="Q280" s="591">
        <v>0</v>
      </c>
      <c r="R280" s="591">
        <v>0</v>
      </c>
      <c r="S280" s="591"/>
      <c r="T280" s="591"/>
      <c r="U280" s="591"/>
      <c r="V280" s="591"/>
      <c r="W280" s="591"/>
      <c r="X280" s="591"/>
      <c r="Y280" s="591"/>
    </row>
    <row r="281" spans="1:25" s="264" customFormat="1" ht="14.6" thickBot="1">
      <c r="A281" s="758"/>
      <c r="B281" s="563"/>
      <c r="C281" s="592"/>
      <c r="D281" s="400"/>
      <c r="E281" s="400"/>
      <c r="F281" s="400"/>
      <c r="G281" s="592"/>
      <c r="H281" s="400"/>
      <c r="I281" s="401"/>
      <c r="J281" s="401"/>
      <c r="K281" s="485"/>
      <c r="L281" s="485"/>
      <c r="M281" s="485"/>
      <c r="N281" s="485"/>
      <c r="O281" s="485"/>
      <c r="P281" s="485"/>
      <c r="Q281" s="485"/>
      <c r="R281" s="485"/>
      <c r="S281" s="485"/>
      <c r="T281" s="485"/>
      <c r="U281" s="485"/>
      <c r="V281" s="485"/>
      <c r="W281" s="485"/>
      <c r="X281" s="485"/>
      <c r="Y281" s="485"/>
    </row>
    <row r="282" spans="1:25" s="264" customFormat="1" ht="14.6" thickTop="1">
      <c r="A282" s="750"/>
      <c r="B282" s="262"/>
      <c r="C282" s="375"/>
      <c r="G282" s="375"/>
      <c r="I282" s="352"/>
      <c r="J282" s="352"/>
      <c r="K282" s="374"/>
      <c r="L282" s="374"/>
      <c r="M282" s="374"/>
      <c r="N282" s="374"/>
      <c r="O282" s="374"/>
      <c r="P282" s="374"/>
      <c r="Q282" s="374"/>
      <c r="R282" s="374"/>
      <c r="S282" s="374"/>
      <c r="T282" s="374"/>
      <c r="U282" s="374"/>
      <c r="V282" s="374"/>
      <c r="W282" s="374"/>
      <c r="X282" s="374"/>
      <c r="Y282" s="374"/>
    </row>
    <row r="283" spans="1:25" ht="13.75">
      <c r="C283" s="325"/>
      <c r="G283" s="325"/>
    </row>
  </sheetData>
  <protectedRanges>
    <protectedRange sqref="P252:Y252 P248:Y250" name="区域66"/>
    <protectedRange sqref="D252:E252" name="区域60"/>
    <protectedRange sqref="D248:F248 F252 D249:D250" name="区域59"/>
    <protectedRange sqref="P236:Y236" name="区域37"/>
    <protectedRange sqref="P209:Y209 P212:Y215 S210:Y211 P223:Y227 S221:Y222 S216:Y216 P217:Y220" name="区域35"/>
    <protectedRange sqref="S205:Y205" name="区域34"/>
    <protectedRange sqref="S198:Y199" name="区域33"/>
    <protectedRange sqref="P197 P204" name="区域32"/>
    <protectedRange sqref="S189:Y190" name="区域29"/>
    <protectedRange sqref="P163:Y164 P167:Y169 P174:Y176 P189:R190 P205:R205 P210:R211 P221:R222 P216:R216 P198:R199 P254:R254 P152:Y157" name="区域27"/>
    <protectedRange sqref="P145:Y145 S146:Y146" name="区域26"/>
    <protectedRange sqref="I142:K142 P140:Y143" name="区域25"/>
    <protectedRange sqref="P132:Y134" name="区域24"/>
    <protectedRange sqref="P115:Y115 P119:Y119" name="区域22"/>
    <protectedRange sqref="S106:Y106 P123:Y123 P98:Y98 P111:Y111 P125:Y125 S97:Y97" name="区域21"/>
    <protectedRange sqref="P101:Y101 S100:Y100" name="区域20"/>
    <protectedRange sqref="S103:Y103" name="区域16"/>
    <protectedRange sqref="L79:Y79 L80:O80 K79:K80" name="区域15"/>
    <protectedRange sqref="P83:Y83 S81:Y82" name="区域14"/>
    <protectedRange sqref="L101:O101 L82:O83 L142:O142 L98:O98 L110:O111 K81:O81 K109:O109 K174:O174 L198:O198 L132:O134 L156:O157 L205:O205 L242:O242 K69:Y71 K73:Y74 P81:R82 K85:Y87 K106:R106 K103:R103 K100:R100 K97:R97 K89:Y91 K77:Y78 P109:Y110" name="区域13"/>
    <protectedRange sqref="P56:Y56" name="区域12"/>
    <protectedRange sqref="P53:Y53" name="区域11"/>
    <protectedRange sqref="P50:Y50" name="区域10"/>
    <protectedRange sqref="P44:Y45" name="区域9"/>
    <protectedRange sqref="P47:Y47" name="区域8"/>
    <protectedRange sqref="P36:Y36 P40:Y40" name="区域7"/>
    <protectedRange sqref="P11:Y11 P15:Y15" name="区域1"/>
    <protectedRange sqref="P26:Y26" name="区域2"/>
    <protectedRange sqref="P19:Y20 P24:Y24" name="区域3"/>
    <protectedRange sqref="P30:Y30" name="区域4"/>
    <protectedRange sqref="P22:Y22" name="区域5"/>
    <protectedRange sqref="P280:Y280" name="区域55"/>
    <protectedRange sqref="H239" name="区域61"/>
    <protectedRange sqref="P238:Y238" name="区域62"/>
  </protectedRange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6764" r:id="rId4" name="Predict_Input_1">
          <controlPr defaultSize="0" autoLine="0" r:id="rId5">
            <anchor moveWithCells="1">
              <from>
                <xdr:col>6</xdr:col>
                <xdr:colOff>32657</xdr:colOff>
                <xdr:row>10</xdr:row>
                <xdr:rowOff>21771</xdr:rowOff>
              </from>
              <to>
                <xdr:col>6</xdr:col>
                <xdr:colOff>1344386</xdr:colOff>
                <xdr:row>11</xdr:row>
                <xdr:rowOff>65314</xdr:rowOff>
              </to>
            </anchor>
          </controlPr>
        </control>
      </mc:Choice>
      <mc:Fallback>
        <control shapeId="6764" r:id="rId4" name="Predict_Input_1"/>
      </mc:Fallback>
    </mc:AlternateContent>
    <mc:AlternateContent xmlns:mc="http://schemas.openxmlformats.org/markup-compatibility/2006">
      <mc:Choice Requires="x14">
        <control shapeId="6765" r:id="rId6" name="Predict_Input_3">
          <controlPr defaultSize="0" autoLine="0" r:id="rId7">
            <anchor moveWithCells="1">
              <from>
                <xdr:col>6</xdr:col>
                <xdr:colOff>0</xdr:colOff>
                <xdr:row>18</xdr:row>
                <xdr:rowOff>0</xdr:rowOff>
              </from>
              <to>
                <xdr:col>6</xdr:col>
                <xdr:colOff>1311729</xdr:colOff>
                <xdr:row>19</xdr:row>
                <xdr:rowOff>21771</xdr:rowOff>
              </to>
            </anchor>
          </controlPr>
        </control>
      </mc:Choice>
      <mc:Fallback>
        <control shapeId="6765" r:id="rId6" name="Predict_Input_3"/>
      </mc:Fallback>
    </mc:AlternateContent>
    <mc:AlternateContent xmlns:mc="http://schemas.openxmlformats.org/markup-compatibility/2006">
      <mc:Choice Requires="x14">
        <control shapeId="6766" r:id="rId8" name="Predict_Input_4">
          <controlPr defaultSize="0" autoLine="0" r:id="rId9">
            <anchor moveWithCells="1">
              <from>
                <xdr:col>6</xdr:col>
                <xdr:colOff>0</xdr:colOff>
                <xdr:row>21</xdr:row>
                <xdr:rowOff>0</xdr:rowOff>
              </from>
              <to>
                <xdr:col>6</xdr:col>
                <xdr:colOff>1306286</xdr:colOff>
                <xdr:row>22</xdr:row>
                <xdr:rowOff>27214</xdr:rowOff>
              </to>
            </anchor>
          </controlPr>
        </control>
      </mc:Choice>
      <mc:Fallback>
        <control shapeId="6766" r:id="rId8" name="Predict_Input_4"/>
      </mc:Fallback>
    </mc:AlternateContent>
    <mc:AlternateContent xmlns:mc="http://schemas.openxmlformats.org/markup-compatibility/2006">
      <mc:Choice Requires="x14">
        <control shapeId="6767" r:id="rId10" name="Predict_Input_5">
          <controlPr defaultSize="0" autoLine="0" r:id="rId7">
            <anchor moveWithCells="1">
              <from>
                <xdr:col>6</xdr:col>
                <xdr:colOff>0</xdr:colOff>
                <xdr:row>25</xdr:row>
                <xdr:rowOff>0</xdr:rowOff>
              </from>
              <to>
                <xdr:col>6</xdr:col>
                <xdr:colOff>1311729</xdr:colOff>
                <xdr:row>26</xdr:row>
                <xdr:rowOff>21771</xdr:rowOff>
              </to>
            </anchor>
          </controlPr>
        </control>
      </mc:Choice>
      <mc:Fallback>
        <control shapeId="6767" r:id="rId10" name="Predict_Input_5"/>
      </mc:Fallback>
    </mc:AlternateContent>
    <mc:AlternateContent xmlns:mc="http://schemas.openxmlformats.org/markup-compatibility/2006">
      <mc:Choice Requires="x14">
        <control shapeId="6768" r:id="rId11" name="Predict_Input_6">
          <controlPr defaultSize="0" autoLine="0" r:id="rId9">
            <anchor moveWithCells="1">
              <from>
                <xdr:col>6</xdr:col>
                <xdr:colOff>0</xdr:colOff>
                <xdr:row>29</xdr:row>
                <xdr:rowOff>0</xdr:rowOff>
              </from>
              <to>
                <xdr:col>6</xdr:col>
                <xdr:colOff>1306286</xdr:colOff>
                <xdr:row>30</xdr:row>
                <xdr:rowOff>27214</xdr:rowOff>
              </to>
            </anchor>
          </controlPr>
        </control>
      </mc:Choice>
      <mc:Fallback>
        <control shapeId="6768" r:id="rId11" name="Predict_Input_6"/>
      </mc:Fallback>
    </mc:AlternateContent>
    <mc:AlternateContent xmlns:mc="http://schemas.openxmlformats.org/markup-compatibility/2006">
      <mc:Choice Requires="x14">
        <control shapeId="6772" r:id="rId12" name="Predict_Input_7">
          <controlPr defaultSize="0" autoLine="0" r:id="rId9">
            <anchor moveWithCells="1">
              <from>
                <xdr:col>6</xdr:col>
                <xdr:colOff>0</xdr:colOff>
                <xdr:row>35</xdr:row>
                <xdr:rowOff>0</xdr:rowOff>
              </from>
              <to>
                <xdr:col>6</xdr:col>
                <xdr:colOff>1306286</xdr:colOff>
                <xdr:row>36</xdr:row>
                <xdr:rowOff>27214</xdr:rowOff>
              </to>
            </anchor>
          </controlPr>
        </control>
      </mc:Choice>
      <mc:Fallback>
        <control shapeId="6772" r:id="rId12" name="Predict_Input_7"/>
      </mc:Fallback>
    </mc:AlternateContent>
    <mc:AlternateContent xmlns:mc="http://schemas.openxmlformats.org/markup-compatibility/2006">
      <mc:Choice Requires="x14">
        <control shapeId="6773" r:id="rId13" name="Predict_Input_8">
          <controlPr defaultSize="0" autoLine="0" r:id="rId14">
            <anchor moveWithCells="1">
              <from>
                <xdr:col>6</xdr:col>
                <xdr:colOff>0</xdr:colOff>
                <xdr:row>39</xdr:row>
                <xdr:rowOff>0</xdr:rowOff>
              </from>
              <to>
                <xdr:col>6</xdr:col>
                <xdr:colOff>1311729</xdr:colOff>
                <xdr:row>40</xdr:row>
                <xdr:rowOff>10886</xdr:rowOff>
              </to>
            </anchor>
          </controlPr>
        </control>
      </mc:Choice>
      <mc:Fallback>
        <control shapeId="6773" r:id="rId13" name="Predict_Input_8"/>
      </mc:Fallback>
    </mc:AlternateContent>
    <mc:AlternateContent xmlns:mc="http://schemas.openxmlformats.org/markup-compatibility/2006">
      <mc:Choice Requires="x14">
        <control shapeId="6774" r:id="rId15" name="Predict_Input_9">
          <controlPr defaultSize="0" autoLine="0" r:id="rId7">
            <anchor moveWithCells="1">
              <from>
                <xdr:col>6</xdr:col>
                <xdr:colOff>0</xdr:colOff>
                <xdr:row>43</xdr:row>
                <xdr:rowOff>0</xdr:rowOff>
              </from>
              <to>
                <xdr:col>6</xdr:col>
                <xdr:colOff>1311729</xdr:colOff>
                <xdr:row>44</xdr:row>
                <xdr:rowOff>21771</xdr:rowOff>
              </to>
            </anchor>
          </controlPr>
        </control>
      </mc:Choice>
      <mc:Fallback>
        <control shapeId="6774" r:id="rId15" name="Predict_Input_9"/>
      </mc:Fallback>
    </mc:AlternateContent>
    <mc:AlternateContent xmlns:mc="http://schemas.openxmlformats.org/markup-compatibility/2006">
      <mc:Choice Requires="x14">
        <control shapeId="6775" r:id="rId16" name="Predict_Input_10">
          <controlPr defaultSize="0" autoLine="0" r:id="rId17">
            <anchor moveWithCells="1">
              <from>
                <xdr:col>6</xdr:col>
                <xdr:colOff>0</xdr:colOff>
                <xdr:row>46</xdr:row>
                <xdr:rowOff>0</xdr:rowOff>
              </from>
              <to>
                <xdr:col>6</xdr:col>
                <xdr:colOff>1306286</xdr:colOff>
                <xdr:row>47</xdr:row>
                <xdr:rowOff>21771</xdr:rowOff>
              </to>
            </anchor>
          </controlPr>
        </control>
      </mc:Choice>
      <mc:Fallback>
        <control shapeId="6775" r:id="rId16" name="Predict_Input_10"/>
      </mc:Fallback>
    </mc:AlternateContent>
    <mc:AlternateContent xmlns:mc="http://schemas.openxmlformats.org/markup-compatibility/2006">
      <mc:Choice Requires="x14">
        <control shapeId="6776" r:id="rId18" name="Predict_Input_11">
          <controlPr defaultSize="0" autoLine="0" r:id="rId7">
            <anchor moveWithCells="1">
              <from>
                <xdr:col>6</xdr:col>
                <xdr:colOff>0</xdr:colOff>
                <xdr:row>49</xdr:row>
                <xdr:rowOff>0</xdr:rowOff>
              </from>
              <to>
                <xdr:col>6</xdr:col>
                <xdr:colOff>1311729</xdr:colOff>
                <xdr:row>50</xdr:row>
                <xdr:rowOff>21771</xdr:rowOff>
              </to>
            </anchor>
          </controlPr>
        </control>
      </mc:Choice>
      <mc:Fallback>
        <control shapeId="6776" r:id="rId18" name="Predict_Input_11"/>
      </mc:Fallback>
    </mc:AlternateContent>
    <mc:AlternateContent xmlns:mc="http://schemas.openxmlformats.org/markup-compatibility/2006">
      <mc:Choice Requires="x14">
        <control shapeId="6777" r:id="rId19" name="Predict_Input_12">
          <controlPr defaultSize="0" autoLine="0" r:id="rId7">
            <anchor moveWithCells="1">
              <from>
                <xdr:col>6</xdr:col>
                <xdr:colOff>0</xdr:colOff>
                <xdr:row>52</xdr:row>
                <xdr:rowOff>0</xdr:rowOff>
              </from>
              <to>
                <xdr:col>6</xdr:col>
                <xdr:colOff>1311729</xdr:colOff>
                <xdr:row>53</xdr:row>
                <xdr:rowOff>21771</xdr:rowOff>
              </to>
            </anchor>
          </controlPr>
        </control>
      </mc:Choice>
      <mc:Fallback>
        <control shapeId="6777" r:id="rId19" name="Predict_Input_12"/>
      </mc:Fallback>
    </mc:AlternateContent>
    <mc:AlternateContent xmlns:mc="http://schemas.openxmlformats.org/markup-compatibility/2006">
      <mc:Choice Requires="x14">
        <control shapeId="6778" r:id="rId20" name="Predict_Input_14">
          <controlPr defaultSize="0" autoLine="0" r:id="rId21">
            <anchor moveWithCells="1">
              <from>
                <xdr:col>6</xdr:col>
                <xdr:colOff>48986</xdr:colOff>
                <xdr:row>114</xdr:row>
                <xdr:rowOff>0</xdr:rowOff>
              </from>
              <to>
                <xdr:col>6</xdr:col>
                <xdr:colOff>1360714</xdr:colOff>
                <xdr:row>115</xdr:row>
                <xdr:rowOff>32657</xdr:rowOff>
              </to>
            </anchor>
          </controlPr>
        </control>
      </mc:Choice>
      <mc:Fallback>
        <control shapeId="6778" r:id="rId20" name="Predict_Input_14"/>
      </mc:Fallback>
    </mc:AlternateContent>
    <mc:AlternateContent xmlns:mc="http://schemas.openxmlformats.org/markup-compatibility/2006">
      <mc:Choice Requires="x14">
        <control shapeId="6779" r:id="rId22" name="Predict_Input_15">
          <controlPr defaultSize="0" autoLine="0" r:id="rId23">
            <anchor moveWithCells="1">
              <from>
                <xdr:col>6</xdr:col>
                <xdr:colOff>0</xdr:colOff>
                <xdr:row>118</xdr:row>
                <xdr:rowOff>0</xdr:rowOff>
              </from>
              <to>
                <xdr:col>6</xdr:col>
                <xdr:colOff>1322614</xdr:colOff>
                <xdr:row>119</xdr:row>
                <xdr:rowOff>27214</xdr:rowOff>
              </to>
            </anchor>
          </controlPr>
        </control>
      </mc:Choice>
      <mc:Fallback>
        <control shapeId="6779" r:id="rId22" name="Predict_Input_15"/>
      </mc:Fallback>
    </mc:AlternateContent>
    <mc:AlternateContent xmlns:mc="http://schemas.openxmlformats.org/markup-compatibility/2006">
      <mc:Choice Requires="x14">
        <control shapeId="6780" r:id="rId24" name="Predict_Input_17">
          <controlPr defaultSize="0" autoLine="0" r:id="rId21">
            <anchor moveWithCells="1">
              <from>
                <xdr:col>6</xdr:col>
                <xdr:colOff>48986</xdr:colOff>
                <xdr:row>131</xdr:row>
                <xdr:rowOff>0</xdr:rowOff>
              </from>
              <to>
                <xdr:col>6</xdr:col>
                <xdr:colOff>1360714</xdr:colOff>
                <xdr:row>132</xdr:row>
                <xdr:rowOff>32657</xdr:rowOff>
              </to>
            </anchor>
          </controlPr>
        </control>
      </mc:Choice>
      <mc:Fallback>
        <control shapeId="6780" r:id="rId24" name="Predict_Input_17"/>
      </mc:Fallback>
    </mc:AlternateContent>
    <mc:AlternateContent xmlns:mc="http://schemas.openxmlformats.org/markup-compatibility/2006">
      <mc:Choice Requires="x14">
        <control shapeId="6781" r:id="rId25" name="Predict_Input_18">
          <controlPr defaultSize="0" autoLine="0" r:id="rId7">
            <anchor moveWithCells="1">
              <from>
                <xdr:col>6</xdr:col>
                <xdr:colOff>48986</xdr:colOff>
                <xdr:row>139</xdr:row>
                <xdr:rowOff>0</xdr:rowOff>
              </from>
              <to>
                <xdr:col>6</xdr:col>
                <xdr:colOff>1360714</xdr:colOff>
                <xdr:row>140</xdr:row>
                <xdr:rowOff>27214</xdr:rowOff>
              </to>
            </anchor>
          </controlPr>
        </control>
      </mc:Choice>
      <mc:Fallback>
        <control shapeId="6781" r:id="rId25" name="Predict_Input_18"/>
      </mc:Fallback>
    </mc:AlternateContent>
    <mc:AlternateContent xmlns:mc="http://schemas.openxmlformats.org/markup-compatibility/2006">
      <mc:Choice Requires="x14">
        <control shapeId="6782" r:id="rId26" name="Predict_Input_21">
          <controlPr defaultSize="0" autoLine="0" r:id="rId17">
            <anchor moveWithCells="1">
              <from>
                <xdr:col>6</xdr:col>
                <xdr:colOff>0</xdr:colOff>
                <xdr:row>151</xdr:row>
                <xdr:rowOff>0</xdr:rowOff>
              </from>
              <to>
                <xdr:col>6</xdr:col>
                <xdr:colOff>1306286</xdr:colOff>
                <xdr:row>152</xdr:row>
                <xdr:rowOff>21771</xdr:rowOff>
              </to>
            </anchor>
          </controlPr>
        </control>
      </mc:Choice>
      <mc:Fallback>
        <control shapeId="6782" r:id="rId26" name="Predict_Input_21"/>
      </mc:Fallback>
    </mc:AlternateContent>
    <mc:AlternateContent xmlns:mc="http://schemas.openxmlformats.org/markup-compatibility/2006">
      <mc:Choice Requires="x14">
        <control shapeId="1425498" r:id="rId27" name="Predict_Input_19">
          <controlPr defaultSize="0" autoLine="0" r:id="rId28">
            <anchor moveWithCells="1">
              <from>
                <xdr:col>6</xdr:col>
                <xdr:colOff>0</xdr:colOff>
                <xdr:row>143</xdr:row>
                <xdr:rowOff>0</xdr:rowOff>
              </from>
              <to>
                <xdr:col>6</xdr:col>
                <xdr:colOff>1322614</xdr:colOff>
                <xdr:row>144</xdr:row>
                <xdr:rowOff>21771</xdr:rowOff>
              </to>
            </anchor>
          </controlPr>
        </control>
      </mc:Choice>
      <mc:Fallback>
        <control shapeId="1425498" r:id="rId27" name="Predict_Input_19"/>
      </mc:Fallback>
    </mc:AlternateContent>
    <mc:AlternateContent xmlns:mc="http://schemas.openxmlformats.org/markup-compatibility/2006">
      <mc:Choice Requires="x14">
        <control shapeId="64743424" r:id="rId29" name="Predict_Input_2">
          <controlPr defaultSize="0" autoLine="0" r:id="rId30">
            <anchor moveWithCells="1">
              <from>
                <xdr:col>6</xdr:col>
                <xdr:colOff>32657</xdr:colOff>
                <xdr:row>14</xdr:row>
                <xdr:rowOff>0</xdr:rowOff>
              </from>
              <to>
                <xdr:col>6</xdr:col>
                <xdr:colOff>1344386</xdr:colOff>
                <xdr:row>15</xdr:row>
                <xdr:rowOff>54429</xdr:rowOff>
              </to>
            </anchor>
          </controlPr>
        </control>
      </mc:Choice>
      <mc:Fallback>
        <control shapeId="64743424" r:id="rId29" name="Predict_Input_2"/>
      </mc:Fallback>
    </mc:AlternateContent>
    <mc:AlternateContent xmlns:mc="http://schemas.openxmlformats.org/markup-compatibility/2006">
      <mc:Choice Requires="x14">
        <control shapeId="64743427" r:id="rId31" name="Predict_Input_13">
          <controlPr defaultSize="0" autoLine="0" r:id="rId7">
            <anchor moveWithCells="1">
              <from>
                <xdr:col>6</xdr:col>
                <xdr:colOff>0</xdr:colOff>
                <xdr:row>55</xdr:row>
                <xdr:rowOff>16329</xdr:rowOff>
              </from>
              <to>
                <xdr:col>6</xdr:col>
                <xdr:colOff>1311729</xdr:colOff>
                <xdr:row>56</xdr:row>
                <xdr:rowOff>38100</xdr:rowOff>
              </to>
            </anchor>
          </controlPr>
        </control>
      </mc:Choice>
      <mc:Fallback>
        <control shapeId="64743427" r:id="rId31" name="Predict_Input_13"/>
      </mc:Fallback>
    </mc:AlternateContent>
    <mc:AlternateContent xmlns:mc="http://schemas.openxmlformats.org/markup-compatibility/2006">
      <mc:Choice Requires="x14">
        <control shapeId="64743447" r:id="rId32" name="Predict_Input_16">
          <controlPr defaultSize="0" autoLine="0" r:id="rId23">
            <anchor moveWithCells="1">
              <from>
                <xdr:col>6</xdr:col>
                <xdr:colOff>0</xdr:colOff>
                <xdr:row>122</xdr:row>
                <xdr:rowOff>0</xdr:rowOff>
              </from>
              <to>
                <xdr:col>6</xdr:col>
                <xdr:colOff>1322614</xdr:colOff>
                <xdr:row>123</xdr:row>
                <xdr:rowOff>32657</xdr:rowOff>
              </to>
            </anchor>
          </controlPr>
        </control>
      </mc:Choice>
      <mc:Fallback>
        <control shapeId="64743447" r:id="rId32" name="Predict_Input_16"/>
      </mc:Fallback>
    </mc:AlternateContent>
    <mc:AlternateContent xmlns:mc="http://schemas.openxmlformats.org/markup-compatibility/2006">
      <mc:Choice Requires="x14">
        <control shapeId="64743449" r:id="rId33" name="Predict_Input_20">
          <controlPr defaultSize="0" autoLine="0" r:id="rId28">
            <anchor moveWithCells="1">
              <from>
                <xdr:col>6</xdr:col>
                <xdr:colOff>0</xdr:colOff>
                <xdr:row>147</xdr:row>
                <xdr:rowOff>0</xdr:rowOff>
              </from>
              <to>
                <xdr:col>6</xdr:col>
                <xdr:colOff>1322614</xdr:colOff>
                <xdr:row>148</xdr:row>
                <xdr:rowOff>27214</xdr:rowOff>
              </to>
            </anchor>
          </controlPr>
        </control>
      </mc:Choice>
      <mc:Fallback>
        <control shapeId="64743449" r:id="rId33" name="Predict_Input_20"/>
      </mc:Fallback>
    </mc:AlternateContent>
    <mc:AlternateContent xmlns:mc="http://schemas.openxmlformats.org/markup-compatibility/2006">
      <mc:Choice Requires="x14">
        <control shapeId="64743451" r:id="rId34" name="Predict_Input_22">
          <controlPr defaultSize="0" autoLine="0" r:id="rId17">
            <anchor moveWithCells="1">
              <from>
                <xdr:col>6</xdr:col>
                <xdr:colOff>0</xdr:colOff>
                <xdr:row>167</xdr:row>
                <xdr:rowOff>0</xdr:rowOff>
              </from>
              <to>
                <xdr:col>6</xdr:col>
                <xdr:colOff>1306286</xdr:colOff>
                <xdr:row>168</xdr:row>
                <xdr:rowOff>21771</xdr:rowOff>
              </to>
            </anchor>
          </controlPr>
        </control>
      </mc:Choice>
      <mc:Fallback>
        <control shapeId="64743451" r:id="rId34" name="Predict_Input_2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92D050"/>
  </sheetPr>
  <dimension ref="A2:R133"/>
  <sheetViews>
    <sheetView workbookViewId="0">
      <selection activeCell="G9" sqref="G9"/>
    </sheetView>
  </sheetViews>
  <sheetFormatPr defaultRowHeight="15"/>
  <cols>
    <col min="2" max="2" width="39.35546875" customWidth="1"/>
    <col min="3" max="3" width="11.0703125" bestFit="1" customWidth="1"/>
    <col min="4" max="4" width="20.0703125" bestFit="1" customWidth="1"/>
    <col min="5" max="5" width="11.5703125" customWidth="1"/>
    <col min="6" max="6" width="13.140625" bestFit="1" customWidth="1"/>
    <col min="7" max="7" width="13.140625" customWidth="1"/>
    <col min="8" max="8" width="8" customWidth="1"/>
    <col min="9" max="9" width="16.35546875" bestFit="1" customWidth="1"/>
    <col min="11" max="11" width="13.140625" bestFit="1" customWidth="1"/>
    <col min="12" max="12" width="17.42578125" bestFit="1" customWidth="1"/>
    <col min="14" max="14" width="14.140625" bestFit="1" customWidth="1"/>
  </cols>
  <sheetData>
    <row r="2" spans="1:9">
      <c r="A2" s="763" t="s">
        <v>149</v>
      </c>
      <c r="B2" t="s">
        <v>1277</v>
      </c>
      <c r="C2" t="s">
        <v>1270</v>
      </c>
      <c r="D2" t="s">
        <v>1271</v>
      </c>
      <c r="E2" t="s">
        <v>1272</v>
      </c>
      <c r="F2" t="s">
        <v>1273</v>
      </c>
      <c r="G2" t="s">
        <v>1274</v>
      </c>
      <c r="H2" t="s">
        <v>1275</v>
      </c>
    </row>
    <row r="3" spans="1:9">
      <c r="B3" t="s">
        <v>1278</v>
      </c>
    </row>
    <row r="4" spans="1:9">
      <c r="B4" t="s">
        <v>1279</v>
      </c>
      <c r="C4" s="760"/>
      <c r="D4" s="760"/>
      <c r="E4" s="760"/>
      <c r="F4" s="760"/>
      <c r="G4" s="760"/>
      <c r="H4" s="760"/>
    </row>
    <row r="5" spans="1:9">
      <c r="B5" t="s">
        <v>1280</v>
      </c>
      <c r="C5" s="760"/>
      <c r="D5" s="760"/>
      <c r="E5" s="760"/>
      <c r="F5" s="760"/>
      <c r="G5" s="760"/>
      <c r="H5" s="760"/>
    </row>
    <row r="6" spans="1:9">
      <c r="B6" t="s">
        <v>1281</v>
      </c>
      <c r="C6" s="760"/>
      <c r="D6" s="760"/>
      <c r="E6" s="760"/>
      <c r="F6" s="760"/>
      <c r="G6" s="760"/>
      <c r="H6" s="760"/>
    </row>
    <row r="7" spans="1:9">
      <c r="B7" s="460" t="s">
        <v>1276</v>
      </c>
      <c r="C7" s="760"/>
      <c r="D7" s="760"/>
      <c r="E7" s="760"/>
      <c r="F7" s="760"/>
      <c r="G7" s="760"/>
      <c r="H7" s="760"/>
    </row>
    <row r="8" spans="1:9">
      <c r="B8" s="460" t="s">
        <v>1282</v>
      </c>
    </row>
    <row r="9" spans="1:9">
      <c r="B9" t="s">
        <v>1283</v>
      </c>
      <c r="G9" s="760"/>
      <c r="H9" s="760"/>
    </row>
    <row r="10" spans="1:9">
      <c r="B10" t="s">
        <v>1284</v>
      </c>
      <c r="C10" s="760"/>
      <c r="D10" s="760"/>
      <c r="E10" s="760"/>
      <c r="G10" s="760"/>
    </row>
    <row r="11" spans="1:9">
      <c r="B11" s="460" t="s">
        <v>1303</v>
      </c>
      <c r="E11" s="760"/>
      <c r="H11" s="760"/>
    </row>
    <row r="12" spans="1:9">
      <c r="B12" t="s">
        <v>1285</v>
      </c>
      <c r="C12" s="760"/>
      <c r="D12" s="760"/>
      <c r="E12" s="760"/>
      <c r="F12" s="760"/>
      <c r="G12" s="760"/>
      <c r="H12" s="760"/>
    </row>
    <row r="13" spans="1:9">
      <c r="B13" t="s">
        <v>1286</v>
      </c>
      <c r="C13" s="760"/>
      <c r="D13" s="760"/>
      <c r="E13" s="760"/>
      <c r="F13" s="760"/>
      <c r="G13" s="760"/>
      <c r="H13" s="760"/>
    </row>
    <row r="14" spans="1:9">
      <c r="B14" t="s">
        <v>1287</v>
      </c>
      <c r="C14" s="760"/>
      <c r="D14" s="760"/>
      <c r="E14" s="760"/>
      <c r="G14" s="760"/>
      <c r="H14" s="760"/>
    </row>
    <row r="15" spans="1:9">
      <c r="B15" t="s">
        <v>1288</v>
      </c>
      <c r="G15" s="760"/>
      <c r="H15" s="760"/>
    </row>
    <row r="16" spans="1:9">
      <c r="B16" t="s">
        <v>1289</v>
      </c>
      <c r="C16" s="760"/>
      <c r="D16" s="760"/>
      <c r="E16" s="760"/>
      <c r="F16" s="760"/>
      <c r="G16" s="760"/>
      <c r="H16" s="760"/>
      <c r="I16" s="762"/>
    </row>
    <row r="17" spans="2:9">
      <c r="C17" s="760"/>
      <c r="D17" s="760"/>
      <c r="E17" s="760"/>
      <c r="F17" s="760"/>
      <c r="G17" s="760"/>
      <c r="H17" s="760"/>
    </row>
    <row r="18" spans="2:9">
      <c r="B18" t="s">
        <v>1290</v>
      </c>
    </row>
    <row r="19" spans="2:9">
      <c r="B19" t="s">
        <v>1279</v>
      </c>
      <c r="C19" s="760"/>
      <c r="D19" s="760"/>
      <c r="E19" s="760"/>
      <c r="F19" s="760"/>
      <c r="G19" s="760"/>
      <c r="H19" s="760"/>
    </row>
    <row r="20" spans="2:9">
      <c r="B20" t="s">
        <v>1280</v>
      </c>
      <c r="C20" s="760"/>
      <c r="D20" s="760"/>
      <c r="E20" s="760"/>
      <c r="F20" s="760"/>
      <c r="G20" s="760"/>
      <c r="H20" s="760"/>
    </row>
    <row r="21" spans="2:9">
      <c r="B21" t="s">
        <v>1291</v>
      </c>
      <c r="C21" s="760"/>
      <c r="D21" s="760"/>
      <c r="E21" s="760"/>
      <c r="F21" s="760"/>
      <c r="G21" s="760"/>
      <c r="H21" s="760"/>
      <c r="I21" s="781"/>
    </row>
    <row r="22" spans="2:9">
      <c r="B22" t="s">
        <v>1292</v>
      </c>
      <c r="G22" s="760"/>
      <c r="H22" s="760"/>
    </row>
    <row r="23" spans="2:9">
      <c r="B23" t="s">
        <v>1293</v>
      </c>
      <c r="C23" s="760"/>
      <c r="D23" s="760"/>
      <c r="E23" s="760"/>
      <c r="G23" s="760"/>
    </row>
    <row r="24" spans="2:9">
      <c r="B24" t="s">
        <v>1294</v>
      </c>
      <c r="E24" s="760"/>
      <c r="H24" s="760"/>
    </row>
    <row r="25" spans="2:9">
      <c r="B25" t="s">
        <v>1285</v>
      </c>
      <c r="C25" s="760"/>
      <c r="D25" s="760"/>
      <c r="E25" s="760"/>
      <c r="F25" s="760"/>
      <c r="G25" s="760"/>
      <c r="H25" s="760"/>
    </row>
    <row r="26" spans="2:9">
      <c r="B26" t="s">
        <v>1286</v>
      </c>
      <c r="C26" s="760"/>
      <c r="D26" s="760"/>
      <c r="E26" s="760"/>
      <c r="F26" s="760"/>
      <c r="G26" s="760"/>
      <c r="H26" s="760"/>
    </row>
    <row r="27" spans="2:9">
      <c r="B27" t="s">
        <v>1295</v>
      </c>
      <c r="C27" s="760"/>
      <c r="D27" s="760"/>
      <c r="E27" s="760"/>
      <c r="G27" s="760"/>
      <c r="H27" s="760"/>
    </row>
    <row r="28" spans="2:9">
      <c r="B28" t="s">
        <v>1296</v>
      </c>
      <c r="G28" s="760"/>
      <c r="H28" s="760"/>
    </row>
    <row r="29" spans="2:9">
      <c r="B29" t="s">
        <v>1289</v>
      </c>
      <c r="C29" s="760"/>
      <c r="D29" s="760"/>
      <c r="E29" s="760"/>
      <c r="F29" s="760"/>
      <c r="G29" s="760"/>
      <c r="H29" s="760"/>
    </row>
    <row r="30" spans="2:9">
      <c r="C30" s="760"/>
      <c r="D30" s="760"/>
      <c r="E30" s="760"/>
      <c r="F30" s="760"/>
      <c r="G30" s="760"/>
      <c r="H30" s="760"/>
    </row>
    <row r="31" spans="2:9">
      <c r="B31" t="s">
        <v>1297</v>
      </c>
    </row>
    <row r="32" spans="2:9">
      <c r="B32" t="s">
        <v>1279</v>
      </c>
      <c r="C32" s="760"/>
      <c r="H32" s="760"/>
    </row>
    <row r="33" spans="1:8">
      <c r="B33" t="s">
        <v>1280</v>
      </c>
    </row>
    <row r="34" spans="1:8">
      <c r="B34" t="s">
        <v>1291</v>
      </c>
    </row>
    <row r="35" spans="1:8">
      <c r="B35" t="s">
        <v>1285</v>
      </c>
    </row>
    <row r="36" spans="1:8">
      <c r="B36" t="s">
        <v>1286</v>
      </c>
    </row>
    <row r="37" spans="1:8">
      <c r="B37" t="s">
        <v>1289</v>
      </c>
      <c r="C37" s="760"/>
      <c r="H37" s="760"/>
    </row>
    <row r="38" spans="1:8">
      <c r="C38" s="760"/>
      <c r="H38" s="760"/>
    </row>
    <row r="39" spans="1:8">
      <c r="B39" t="s">
        <v>1298</v>
      </c>
    </row>
    <row r="40" spans="1:8">
      <c r="B40" t="s">
        <v>1299</v>
      </c>
      <c r="C40" s="760"/>
      <c r="D40" s="760"/>
      <c r="E40" s="760"/>
      <c r="F40" s="760"/>
      <c r="G40" s="760"/>
      <c r="H40" s="760"/>
    </row>
    <row r="41" spans="1:8">
      <c r="B41" t="s">
        <v>1300</v>
      </c>
      <c r="C41" s="760"/>
      <c r="D41" s="760"/>
      <c r="E41" s="760"/>
      <c r="F41" s="760"/>
      <c r="G41" s="760"/>
      <c r="H41" s="760"/>
    </row>
    <row r="42" spans="1:8">
      <c r="B42" t="s">
        <v>1277</v>
      </c>
    </row>
    <row r="43" spans="1:8">
      <c r="B43" t="s">
        <v>1301</v>
      </c>
    </row>
    <row r="44" spans="1:8">
      <c r="B44" t="s">
        <v>1302</v>
      </c>
    </row>
    <row r="47" spans="1:8">
      <c r="A47" s="763" t="s">
        <v>958</v>
      </c>
      <c r="B47" t="s">
        <v>1269</v>
      </c>
      <c r="C47" t="s">
        <v>1304</v>
      </c>
      <c r="D47" t="s">
        <v>1305</v>
      </c>
    </row>
    <row r="48" spans="1:8">
      <c r="B48" t="s">
        <v>544</v>
      </c>
      <c r="C48" s="760"/>
      <c r="D48" s="760"/>
    </row>
    <row r="49" spans="2:18">
      <c r="B49" t="s">
        <v>1275</v>
      </c>
      <c r="C49" s="760"/>
      <c r="D49" s="760"/>
    </row>
    <row r="52" spans="2:18">
      <c r="B52" t="s">
        <v>1269</v>
      </c>
    </row>
    <row r="54" spans="2:18">
      <c r="B54" t="s">
        <v>1317</v>
      </c>
    </row>
    <row r="55" spans="2:18">
      <c r="B55" t="s">
        <v>1318</v>
      </c>
    </row>
    <row r="56" spans="2:18">
      <c r="B56" t="s">
        <v>1319</v>
      </c>
    </row>
    <row r="57" spans="2:18">
      <c r="B57" t="s">
        <v>1320</v>
      </c>
    </row>
    <row r="58" spans="2:18">
      <c r="B58" t="s">
        <v>1321</v>
      </c>
    </row>
    <row r="59" spans="2:18">
      <c r="B59" t="s">
        <v>1322</v>
      </c>
    </row>
    <row r="60" spans="2:18">
      <c r="B60" t="s">
        <v>1324</v>
      </c>
    </row>
    <row r="61" spans="2:18">
      <c r="B61" t="s">
        <v>1323</v>
      </c>
    </row>
    <row r="64" spans="2:18" s="764" customFormat="1" ht="30">
      <c r="B64" s="766" t="s">
        <v>1307</v>
      </c>
      <c r="C64" s="767" t="s">
        <v>1306</v>
      </c>
      <c r="D64" s="766" t="s">
        <v>761</v>
      </c>
      <c r="E64" s="766" t="s">
        <v>1308</v>
      </c>
      <c r="F64" s="766" t="s">
        <v>1309</v>
      </c>
      <c r="G64" s="766" t="s">
        <v>1310</v>
      </c>
      <c r="H64" s="766" t="s">
        <v>762</v>
      </c>
      <c r="I64" s="766" t="s">
        <v>1311</v>
      </c>
      <c r="J64" s="766" t="s">
        <v>1312</v>
      </c>
      <c r="K64" s="766" t="s">
        <v>1313</v>
      </c>
      <c r="L64" s="766" t="s">
        <v>1314</v>
      </c>
      <c r="M64" s="766" t="s">
        <v>1315</v>
      </c>
      <c r="N64" s="766" t="s">
        <v>1316</v>
      </c>
      <c r="O64" s="765" t="s">
        <v>1340</v>
      </c>
      <c r="P64" s="765"/>
      <c r="Q64" s="765"/>
      <c r="R64" s="765"/>
    </row>
    <row r="65" spans="2:15">
      <c r="B65" s="236"/>
      <c r="C65" s="769"/>
      <c r="D65" s="769"/>
      <c r="E65" s="769"/>
      <c r="F65" s="769"/>
      <c r="G65" s="769"/>
      <c r="H65" s="769"/>
      <c r="I65" s="770"/>
      <c r="J65" s="770"/>
      <c r="K65" s="769"/>
      <c r="L65" s="769"/>
      <c r="M65" s="770"/>
      <c r="N65" s="772" t="s">
        <v>1333</v>
      </c>
      <c r="O65" s="777" t="e">
        <f t="shared" ref="O65:O70" si="0">E65/C65</f>
        <v>#DIV/0!</v>
      </c>
    </row>
    <row r="66" spans="2:15">
      <c r="B66" s="236"/>
      <c r="C66" s="769"/>
      <c r="D66" s="769"/>
      <c r="E66" s="769"/>
      <c r="F66" s="768"/>
      <c r="G66" s="768"/>
      <c r="H66" s="769"/>
      <c r="I66" s="770"/>
      <c r="J66" s="770"/>
      <c r="K66" s="768"/>
      <c r="L66" s="768"/>
      <c r="M66" s="768"/>
      <c r="N66" s="768" t="s">
        <v>147</v>
      </c>
      <c r="O66" s="777" t="e">
        <f t="shared" si="0"/>
        <v>#DIV/0!</v>
      </c>
    </row>
    <row r="67" spans="2:15">
      <c r="B67" s="236"/>
      <c r="C67" s="769"/>
      <c r="D67" s="769"/>
      <c r="E67" s="769"/>
      <c r="F67" s="769"/>
      <c r="G67" s="769"/>
      <c r="H67" s="769"/>
      <c r="I67" s="770"/>
      <c r="J67" s="770"/>
      <c r="K67" s="768"/>
      <c r="L67" s="768"/>
      <c r="M67" s="768"/>
      <c r="N67" s="768" t="s">
        <v>147</v>
      </c>
      <c r="O67" s="777" t="e">
        <f t="shared" si="0"/>
        <v>#DIV/0!</v>
      </c>
    </row>
    <row r="68" spans="2:15">
      <c r="B68" s="236"/>
      <c r="C68" s="769"/>
      <c r="D68" s="769"/>
      <c r="E68" s="769"/>
      <c r="F68" s="769"/>
      <c r="G68" s="769"/>
      <c r="H68" s="769"/>
      <c r="I68" s="770"/>
      <c r="J68" s="770"/>
      <c r="K68" s="768"/>
      <c r="L68" s="768"/>
      <c r="M68" s="768"/>
      <c r="N68" s="768" t="s">
        <v>147</v>
      </c>
      <c r="O68" s="777" t="e">
        <f t="shared" si="0"/>
        <v>#DIV/0!</v>
      </c>
    </row>
    <row r="69" spans="2:15">
      <c r="B69" s="236"/>
      <c r="C69" s="769"/>
      <c r="D69" s="769"/>
      <c r="E69" s="769"/>
      <c r="F69" s="768"/>
      <c r="G69" s="768"/>
      <c r="H69" s="769"/>
      <c r="I69" s="770"/>
      <c r="J69" s="770"/>
      <c r="K69" s="768"/>
      <c r="L69" s="768"/>
      <c r="M69" s="768"/>
      <c r="N69" s="768" t="s">
        <v>147</v>
      </c>
      <c r="O69" s="777" t="e">
        <f t="shared" si="0"/>
        <v>#DIV/0!</v>
      </c>
    </row>
    <row r="70" spans="2:15">
      <c r="B70" s="236"/>
      <c r="C70" s="769"/>
      <c r="D70" s="769"/>
      <c r="E70" s="769"/>
      <c r="F70" s="768"/>
      <c r="G70" s="768"/>
      <c r="H70" s="769"/>
      <c r="I70" s="770"/>
      <c r="J70" s="770"/>
      <c r="K70" s="768"/>
      <c r="L70" s="768"/>
      <c r="M70" s="768"/>
      <c r="N70" s="768" t="s">
        <v>147</v>
      </c>
      <c r="O70" s="777" t="e">
        <f t="shared" si="0"/>
        <v>#DIV/0!</v>
      </c>
    </row>
    <row r="71" spans="2:15">
      <c r="B71" s="771" t="s">
        <v>1323</v>
      </c>
      <c r="C71" s="769"/>
      <c r="D71" s="769"/>
      <c r="E71" s="769"/>
      <c r="F71" s="769"/>
      <c r="G71" s="769"/>
      <c r="H71" s="769"/>
      <c r="I71" s="768"/>
      <c r="J71" s="768"/>
      <c r="K71" s="769"/>
      <c r="L71" s="769"/>
      <c r="M71" s="770"/>
      <c r="N71" s="768"/>
    </row>
    <row r="74" spans="2:15">
      <c r="C74" s="768">
        <v>2020</v>
      </c>
      <c r="D74" s="772" t="s">
        <v>1326</v>
      </c>
      <c r="E74" s="772" t="s">
        <v>1267</v>
      </c>
      <c r="F74" s="772" t="s">
        <v>1268</v>
      </c>
      <c r="G74" s="772" t="s">
        <v>1327</v>
      </c>
      <c r="H74" s="772" t="s">
        <v>1328</v>
      </c>
    </row>
    <row r="75" spans="2:15">
      <c r="B75" s="460" t="s">
        <v>1325</v>
      </c>
      <c r="D75" s="760">
        <f>H40</f>
        <v>0</v>
      </c>
      <c r="E75" s="760">
        <f>D78</f>
        <v>0</v>
      </c>
      <c r="F75" s="760">
        <f>E78</f>
        <v>0</v>
      </c>
      <c r="G75" s="760">
        <f>F78</f>
        <v>0</v>
      </c>
      <c r="H75" s="760">
        <f>G78</f>
        <v>0</v>
      </c>
    </row>
    <row r="76" spans="2:15">
      <c r="B76" s="460" t="s">
        <v>1069</v>
      </c>
      <c r="D76" s="760">
        <f>D91</f>
        <v>0</v>
      </c>
      <c r="E76" s="760">
        <f>E91</f>
        <v>0</v>
      </c>
      <c r="F76" s="760">
        <f>F91</f>
        <v>0</v>
      </c>
      <c r="G76" s="760">
        <f>G91</f>
        <v>0</v>
      </c>
      <c r="H76" s="760">
        <f>H91</f>
        <v>0</v>
      </c>
    </row>
    <row r="77" spans="2:15">
      <c r="B77" s="460" t="s">
        <v>1344</v>
      </c>
      <c r="D77" s="760">
        <f>D75*0.1</f>
        <v>0</v>
      </c>
      <c r="E77" s="760">
        <f>E75*0.1</f>
        <v>0</v>
      </c>
      <c r="F77" s="760">
        <f>F75*0.1</f>
        <v>0</v>
      </c>
      <c r="G77" s="760">
        <f>G75*0.1</f>
        <v>0</v>
      </c>
      <c r="H77" s="760">
        <f>H75*0.1</f>
        <v>0</v>
      </c>
    </row>
    <row r="78" spans="2:15">
      <c r="B78" s="460" t="s">
        <v>1341</v>
      </c>
      <c r="D78" s="760">
        <f>D75+D76-D77</f>
        <v>0</v>
      </c>
      <c r="E78" s="760">
        <f>E75+E76-E77</f>
        <v>0</v>
      </c>
      <c r="F78" s="760">
        <f>F75+F76-F77</f>
        <v>0</v>
      </c>
      <c r="G78" s="760">
        <f>G75+G76-G77</f>
        <v>0</v>
      </c>
      <c r="H78" s="760">
        <f>H75+H76-H77</f>
        <v>0</v>
      </c>
    </row>
    <row r="79" spans="2:15">
      <c r="B79" s="460" t="s">
        <v>1343</v>
      </c>
      <c r="D79" s="760">
        <f>D78-D75</f>
        <v>0</v>
      </c>
      <c r="E79" s="760">
        <f>E78-E75</f>
        <v>0</v>
      </c>
      <c r="F79" s="760">
        <f>F78-F75</f>
        <v>0</v>
      </c>
      <c r="G79" s="760">
        <f>G78-G75</f>
        <v>0</v>
      </c>
      <c r="H79" s="760">
        <f>H78-H75</f>
        <v>0</v>
      </c>
    </row>
    <row r="82" spans="2:9">
      <c r="C82" s="768">
        <v>2020</v>
      </c>
      <c r="D82" s="772" t="s">
        <v>1326</v>
      </c>
      <c r="E82" s="772" t="s">
        <v>1267</v>
      </c>
      <c r="F82" s="772" t="s">
        <v>1268</v>
      </c>
      <c r="G82" s="772" t="s">
        <v>1327</v>
      </c>
      <c r="H82" s="772" t="s">
        <v>1328</v>
      </c>
    </row>
    <row r="83" spans="2:9">
      <c r="B83" s="460" t="s">
        <v>1329</v>
      </c>
      <c r="D83" s="760">
        <f>C48</f>
        <v>0</v>
      </c>
      <c r="E83" s="761">
        <f>D92</f>
        <v>0</v>
      </c>
      <c r="F83" s="761">
        <f>E92</f>
        <v>0</v>
      </c>
      <c r="G83" s="761">
        <f>F92</f>
        <v>0</v>
      </c>
      <c r="H83" s="761">
        <f>G92</f>
        <v>0</v>
      </c>
    </row>
    <row r="84" spans="2:9">
      <c r="B84" s="773" t="s">
        <v>1330</v>
      </c>
      <c r="D84" s="776">
        <f>SUM(D85:D90)</f>
        <v>0</v>
      </c>
      <c r="E84" s="776">
        <f>SUM(E85:E90)</f>
        <v>0</v>
      </c>
      <c r="F84" s="776">
        <f>SUM(F85:F90)</f>
        <v>0</v>
      </c>
      <c r="G84" s="776">
        <f>SUM(G85:G90)</f>
        <v>0</v>
      </c>
      <c r="H84" s="776">
        <f>SUM(H85:H90)</f>
        <v>0</v>
      </c>
      <c r="I84" s="776">
        <f>SUM(D84:H84)</f>
        <v>0</v>
      </c>
    </row>
    <row r="85" spans="2:9">
      <c r="B85" s="774" t="s">
        <v>1334</v>
      </c>
      <c r="D85" s="776">
        <f>C65*(1-I65)</f>
        <v>0</v>
      </c>
      <c r="E85">
        <v>0</v>
      </c>
      <c r="F85">
        <v>0</v>
      </c>
      <c r="G85">
        <v>0</v>
      </c>
      <c r="H85">
        <v>0</v>
      </c>
    </row>
    <row r="86" spans="2:9">
      <c r="B86" s="779" t="s">
        <v>1335</v>
      </c>
      <c r="D86" s="776">
        <f>C66*0.25</f>
        <v>0</v>
      </c>
      <c r="E86" s="776">
        <f>C66*0.25</f>
        <v>0</v>
      </c>
      <c r="F86" s="778">
        <f>C66*(1-I66)-D86-E86</f>
        <v>0</v>
      </c>
      <c r="G86">
        <v>0</v>
      </c>
      <c r="H86">
        <v>0</v>
      </c>
    </row>
    <row r="87" spans="2:9">
      <c r="B87" s="774" t="s">
        <v>1336</v>
      </c>
      <c r="D87" s="776">
        <f>C67*(1-I67)</f>
        <v>0</v>
      </c>
      <c r="E87">
        <v>0</v>
      </c>
      <c r="F87">
        <v>0</v>
      </c>
      <c r="G87">
        <v>0</v>
      </c>
      <c r="H87">
        <v>0</v>
      </c>
    </row>
    <row r="88" spans="2:9">
      <c r="B88" s="774" t="s">
        <v>1337</v>
      </c>
      <c r="D88" s="776">
        <f>C68*(1-I68)</f>
        <v>0</v>
      </c>
      <c r="E88">
        <v>0</v>
      </c>
      <c r="F88">
        <v>0</v>
      </c>
      <c r="G88">
        <v>0</v>
      </c>
      <c r="H88">
        <v>0</v>
      </c>
    </row>
    <row r="89" spans="2:9">
      <c r="B89" s="779" t="s">
        <v>1338</v>
      </c>
      <c r="D89" s="776">
        <f>C69*(1-I69)/4</f>
        <v>0</v>
      </c>
      <c r="E89" s="776">
        <v>0</v>
      </c>
      <c r="F89" s="776">
        <v>0</v>
      </c>
      <c r="G89" s="776">
        <v>0</v>
      </c>
      <c r="H89" s="776">
        <v>0</v>
      </c>
    </row>
    <row r="90" spans="2:9">
      <c r="B90" s="774" t="s">
        <v>1339</v>
      </c>
      <c r="D90" s="775">
        <f>C70*(1-I70)</f>
        <v>0</v>
      </c>
      <c r="E90">
        <v>0</v>
      </c>
      <c r="F90">
        <v>0</v>
      </c>
      <c r="G90">
        <v>0</v>
      </c>
      <c r="H90">
        <v>0</v>
      </c>
    </row>
    <row r="91" spans="2:9">
      <c r="B91" s="773" t="s">
        <v>1331</v>
      </c>
      <c r="D91" s="778">
        <f>D85+D87+D88+D90</f>
        <v>0</v>
      </c>
      <c r="E91">
        <v>0</v>
      </c>
      <c r="F91" s="776">
        <f>SUM(D86:F86)</f>
        <v>0</v>
      </c>
      <c r="G91">
        <v>0</v>
      </c>
      <c r="H91" s="776">
        <f>SUM(D89:H89)</f>
        <v>0</v>
      </c>
      <c r="I91" s="776"/>
    </row>
    <row r="92" spans="2:9">
      <c r="B92" s="460" t="s">
        <v>1332</v>
      </c>
      <c r="D92" s="780">
        <f>D83+D84-D91</f>
        <v>0</v>
      </c>
      <c r="E92" s="761">
        <f>E83+E84-E91</f>
        <v>0</v>
      </c>
      <c r="F92" s="761">
        <f>F83+F84-F91</f>
        <v>0</v>
      </c>
      <c r="G92" s="761">
        <f>G83+G84-G91</f>
        <v>0</v>
      </c>
      <c r="H92" s="761">
        <f>H83+H84-H91</f>
        <v>0</v>
      </c>
    </row>
    <row r="93" spans="2:9">
      <c r="B93" s="460" t="s">
        <v>1342</v>
      </c>
      <c r="D93" s="780">
        <f>D92-D83</f>
        <v>0</v>
      </c>
      <c r="E93" s="780">
        <f>E92-E83</f>
        <v>0</v>
      </c>
      <c r="F93" s="780">
        <f>F92-F83</f>
        <v>0</v>
      </c>
      <c r="G93" s="780">
        <f>G92-G83</f>
        <v>0</v>
      </c>
      <c r="H93" s="761">
        <f>H92-H83</f>
        <v>0</v>
      </c>
    </row>
    <row r="100" spans="1:8">
      <c r="A100" s="763" t="s">
        <v>150</v>
      </c>
      <c r="B100" t="s">
        <v>1277</v>
      </c>
      <c r="C100" t="s">
        <v>1345</v>
      </c>
      <c r="D100" t="s">
        <v>1346</v>
      </c>
      <c r="E100" t="s">
        <v>1347</v>
      </c>
      <c r="F100" t="s">
        <v>1348</v>
      </c>
      <c r="G100" t="s">
        <v>1349</v>
      </c>
      <c r="H100" t="s">
        <v>1275</v>
      </c>
    </row>
    <row r="101" spans="1:8">
      <c r="B101" t="s">
        <v>1350</v>
      </c>
    </row>
    <row r="102" spans="1:8">
      <c r="B102" t="s">
        <v>1279</v>
      </c>
      <c r="C102" s="760"/>
      <c r="D102" s="760"/>
      <c r="F102" s="760"/>
      <c r="G102" s="760"/>
      <c r="H102" s="760"/>
    </row>
    <row r="103" spans="1:8">
      <c r="B103" t="s">
        <v>1280</v>
      </c>
      <c r="C103" s="760"/>
      <c r="F103" s="760"/>
      <c r="H103" s="760"/>
    </row>
    <row r="104" spans="1:8">
      <c r="B104" t="s">
        <v>1281</v>
      </c>
      <c r="C104" s="760"/>
      <c r="F104" s="760"/>
      <c r="H104" s="760"/>
    </row>
    <row r="105" spans="1:8">
      <c r="B105" t="s">
        <v>1352</v>
      </c>
    </row>
    <row r="106" spans="1:8">
      <c r="B106" t="s">
        <v>1282</v>
      </c>
    </row>
    <row r="107" spans="1:8">
      <c r="B107" s="460" t="s">
        <v>1353</v>
      </c>
      <c r="C107" s="760"/>
      <c r="F107" s="760"/>
      <c r="H107" s="760"/>
    </row>
    <row r="108" spans="1:8">
      <c r="B108" s="460" t="s">
        <v>1354</v>
      </c>
      <c r="F108" s="760"/>
      <c r="H108" s="760"/>
    </row>
    <row r="109" spans="1:8">
      <c r="B109" t="s">
        <v>1285</v>
      </c>
      <c r="F109" s="760"/>
      <c r="H109" s="760"/>
    </row>
    <row r="110" spans="1:8">
      <c r="B110" t="s">
        <v>1355</v>
      </c>
    </row>
    <row r="111" spans="1:8">
      <c r="B111" s="460" t="s">
        <v>1356</v>
      </c>
      <c r="F111" s="760"/>
      <c r="H111" s="760"/>
    </row>
    <row r="112" spans="1:8">
      <c r="B112" t="s">
        <v>1289</v>
      </c>
      <c r="C112" s="760"/>
      <c r="D112" s="760"/>
      <c r="F112" s="760"/>
      <c r="G112" s="760"/>
      <c r="H112" s="760"/>
    </row>
    <row r="113" spans="2:8">
      <c r="B113" t="s">
        <v>1351</v>
      </c>
    </row>
    <row r="114" spans="2:8">
      <c r="B114" t="s">
        <v>1279</v>
      </c>
      <c r="C114" s="760"/>
      <c r="D114" s="760"/>
      <c r="F114" s="760"/>
      <c r="G114" s="760"/>
      <c r="H114" s="760"/>
    </row>
    <row r="115" spans="2:8">
      <c r="B115" t="s">
        <v>1280</v>
      </c>
      <c r="C115" s="760"/>
      <c r="D115" s="760"/>
      <c r="F115" s="760"/>
      <c r="G115" s="760"/>
      <c r="H115" s="760"/>
    </row>
    <row r="116" spans="2:8">
      <c r="B116" t="s">
        <v>1291</v>
      </c>
      <c r="C116" s="760"/>
      <c r="D116" s="760"/>
      <c r="F116" s="760"/>
      <c r="G116" s="760"/>
      <c r="H116" s="760"/>
    </row>
    <row r="117" spans="2:8">
      <c r="B117" t="s">
        <v>1357</v>
      </c>
      <c r="F117" s="760"/>
      <c r="H117" s="760"/>
    </row>
    <row r="118" spans="2:8">
      <c r="B118" t="s">
        <v>1285</v>
      </c>
      <c r="F118" s="760"/>
      <c r="H118" s="760"/>
    </row>
    <row r="119" spans="2:8">
      <c r="B119" t="s">
        <v>1355</v>
      </c>
    </row>
    <row r="120" spans="2:8">
      <c r="B120" t="s">
        <v>1356</v>
      </c>
      <c r="F120" s="760"/>
      <c r="H120" s="760"/>
    </row>
    <row r="121" spans="2:8">
      <c r="B121" t="s">
        <v>1289</v>
      </c>
      <c r="C121" s="760"/>
      <c r="D121" s="760"/>
      <c r="F121" s="760"/>
      <c r="G121" s="760"/>
      <c r="H121" s="760"/>
    </row>
    <row r="122" spans="2:8">
      <c r="B122" t="s">
        <v>1297</v>
      </c>
    </row>
    <row r="123" spans="2:8">
      <c r="B123" t="s">
        <v>1279</v>
      </c>
    </row>
    <row r="124" spans="2:8">
      <c r="B124" t="s">
        <v>1280</v>
      </c>
    </row>
    <row r="125" spans="2:8">
      <c r="B125" t="s">
        <v>1291</v>
      </c>
    </row>
    <row r="127" spans="2:8">
      <c r="B127" t="s">
        <v>1285</v>
      </c>
    </row>
    <row r="128" spans="2:8">
      <c r="B128" t="s">
        <v>1355</v>
      </c>
    </row>
    <row r="130" spans="2:8">
      <c r="B130" t="s">
        <v>1289</v>
      </c>
    </row>
    <row r="131" spans="2:8">
      <c r="B131" t="s">
        <v>1298</v>
      </c>
    </row>
    <row r="132" spans="2:8">
      <c r="B132" t="s">
        <v>1299</v>
      </c>
      <c r="C132" s="760"/>
      <c r="D132" s="760"/>
      <c r="F132" s="760"/>
      <c r="G132" s="760"/>
      <c r="H132" s="760"/>
    </row>
    <row r="133" spans="2:8">
      <c r="B133" t="s">
        <v>1300</v>
      </c>
      <c r="C133" s="760"/>
      <c r="D133" s="760"/>
      <c r="F133" s="760"/>
      <c r="G133" s="760"/>
      <c r="H133" s="760"/>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92D050"/>
  </sheetPr>
  <dimension ref="A1:AY118"/>
  <sheetViews>
    <sheetView topLeftCell="AG1" workbookViewId="0">
      <selection activeCell="AN89" sqref="AN89"/>
    </sheetView>
  </sheetViews>
  <sheetFormatPr defaultColWidth="9" defaultRowHeight="13.3" outlineLevelCol="2"/>
  <cols>
    <col min="1" max="1" width="3.5" style="1" customWidth="1"/>
    <col min="2" max="3" width="15.5703125" style="1" customWidth="1"/>
    <col min="4" max="4" width="15.5703125" style="23" customWidth="1"/>
    <col min="5" max="5" width="15.5703125" style="29" customWidth="1" outlineLevel="1" collapsed="1"/>
    <col min="6" max="6" width="15.5703125" style="29" customWidth="1" outlineLevel="1"/>
    <col min="7" max="8" width="15.5703125" style="29" customWidth="1" outlineLevel="2"/>
    <col min="9" max="10" width="15.5703125" style="29" customWidth="1" outlineLevel="1"/>
    <col min="11" max="12" width="15.5703125" style="29" customWidth="1" outlineLevel="2"/>
    <col min="13" max="16" width="15.5703125" style="29" customWidth="1" outlineLevel="1"/>
    <col min="17" max="17" width="15.5703125" style="29" customWidth="1"/>
    <col min="18" max="18" width="15.5703125" style="29" customWidth="1" outlineLevel="1"/>
    <col min="19" max="19" width="15.5703125" style="1" customWidth="1" outlineLevel="1"/>
    <col min="20" max="20" width="15.5703125" style="2" customWidth="1" outlineLevel="1"/>
    <col min="21" max="21" width="15.5703125" style="2" customWidth="1"/>
    <col min="22" max="24" width="15.5703125" style="2" customWidth="1" outlineLevel="1"/>
    <col min="25" max="25" width="15.5703125" style="2" customWidth="1"/>
    <col min="26" max="28" width="15.5703125" style="2" customWidth="1" outlineLevel="1"/>
    <col min="29" max="29" width="15.5703125" style="2" customWidth="1"/>
    <col min="30" max="32" width="15.5703125" style="2" customWidth="1" outlineLevel="1"/>
    <col min="33" max="33" width="15.5703125" style="2" customWidth="1"/>
    <col min="34" max="34" width="15.5703125" style="260" customWidth="1" outlineLevel="2"/>
    <col min="35" max="35" width="15.5703125" style="260" customWidth="1" outlineLevel="1"/>
    <col min="36" max="37" width="15.5703125" style="260" customWidth="1"/>
    <col min="38" max="40" width="15.5703125" style="2" customWidth="1"/>
    <col min="41" max="41" width="15.5703125" style="66" hidden="1" customWidth="1"/>
    <col min="42" max="43" width="15.640625" style="2" hidden="1" customWidth="1"/>
    <col min="44" max="44" width="15.640625" style="66" hidden="1" customWidth="1"/>
    <col min="45" max="46" width="15.640625" style="2" hidden="1" customWidth="1"/>
    <col min="47" max="47" width="15.640625" style="66" hidden="1" customWidth="1"/>
    <col min="48" max="48" width="9" style="2" hidden="1" customWidth="1"/>
    <col min="49" max="49" width="9.5703125" style="2" hidden="1" customWidth="1"/>
    <col min="50" max="51" width="9" style="2" hidden="1" customWidth="1"/>
    <col min="52" max="16384" width="9" style="2"/>
  </cols>
  <sheetData>
    <row r="1" spans="1:49">
      <c r="E1" s="1"/>
      <c r="F1" s="1"/>
      <c r="G1" s="1"/>
      <c r="H1" s="1"/>
      <c r="I1" s="1"/>
      <c r="J1" s="1"/>
      <c r="K1" s="1"/>
      <c r="L1" s="1"/>
      <c r="M1" s="1"/>
      <c r="N1" s="1"/>
      <c r="O1" s="1"/>
      <c r="P1" s="1"/>
      <c r="Q1" s="1"/>
      <c r="R1" s="1"/>
      <c r="T1" s="1"/>
      <c r="U1" s="1"/>
      <c r="V1" s="1"/>
      <c r="W1" s="1"/>
      <c r="X1" s="1"/>
      <c r="Y1" s="1"/>
      <c r="Z1" s="1"/>
      <c r="AA1" s="1"/>
      <c r="AB1" s="1"/>
      <c r="AC1" s="1"/>
      <c r="AD1" s="1"/>
      <c r="AE1" s="1"/>
      <c r="AF1" s="1"/>
      <c r="AG1" s="1"/>
      <c r="AH1" s="262"/>
      <c r="AI1" s="262"/>
      <c r="AJ1" s="262"/>
      <c r="AK1" s="262"/>
      <c r="AL1" s="1"/>
      <c r="AM1" s="1"/>
      <c r="AN1" s="1"/>
    </row>
    <row r="2" spans="1:49" s="27" customFormat="1" ht="14.15">
      <c r="B2" s="156"/>
      <c r="C2" s="157" t="s">
        <v>44</v>
      </c>
      <c r="D2" s="155"/>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73"/>
    </row>
    <row r="3" spans="1:49" ht="13.75">
      <c r="B3" s="28"/>
      <c r="E3" s="30"/>
      <c r="F3" s="30"/>
      <c r="G3" s="30"/>
      <c r="H3" s="30"/>
      <c r="I3" s="30"/>
      <c r="J3" s="30"/>
      <c r="K3" s="30"/>
      <c r="L3" s="30"/>
      <c r="M3" s="30"/>
      <c r="N3" s="30"/>
      <c r="O3" s="30"/>
      <c r="AO3" s="2"/>
      <c r="AR3" s="2"/>
      <c r="AU3" s="2"/>
    </row>
    <row r="4" spans="1:49" ht="14.15" thickBot="1">
      <c r="A4" s="2"/>
      <c r="B4" s="31" t="s">
        <v>45</v>
      </c>
      <c r="C4" s="32"/>
      <c r="D4" s="279"/>
      <c r="E4" s="33">
        <f>财务基础数据!J5</f>
        <v>2013</v>
      </c>
      <c r="F4" s="33" t="str">
        <f>财务基础数据!K5</f>
        <v>1Q14</v>
      </c>
      <c r="G4" s="33" t="str">
        <f>财务基础数据!L5</f>
        <v>1H14</v>
      </c>
      <c r="H4" s="33" t="str">
        <f>财务基础数据!M5</f>
        <v>3Q14</v>
      </c>
      <c r="I4" s="33">
        <f>财务基础数据!N5</f>
        <v>2014</v>
      </c>
      <c r="J4" s="33" t="str">
        <f>财务基础数据!O5</f>
        <v>1Q15</v>
      </c>
      <c r="K4" s="33" t="str">
        <f>财务基础数据!P5</f>
        <v>1H15</v>
      </c>
      <c r="L4" s="33" t="str">
        <f>财务基础数据!Q5</f>
        <v>3Q15</v>
      </c>
      <c r="M4" s="33">
        <f>财务基础数据!R5</f>
        <v>2015</v>
      </c>
      <c r="N4" s="33" t="str">
        <f>财务基础数据!S5</f>
        <v>1Q16</v>
      </c>
      <c r="O4" s="33" t="str">
        <f>财务基础数据!T5</f>
        <v>1H16</v>
      </c>
      <c r="P4" s="33" t="str">
        <f>财务基础数据!U5</f>
        <v>3Q16</v>
      </c>
      <c r="Q4" s="33">
        <f>财务基础数据!V5</f>
        <v>2016</v>
      </c>
      <c r="R4" s="33" t="str">
        <f>财务基础数据!W5</f>
        <v>1Q17</v>
      </c>
      <c r="S4" s="33" t="str">
        <f>财务基础数据!X5</f>
        <v>1H17</v>
      </c>
      <c r="T4" s="33" t="str">
        <f>财务基础数据!Y5</f>
        <v>3Q17</v>
      </c>
      <c r="U4" s="33">
        <f>财务基础数据!Z5</f>
        <v>2017</v>
      </c>
      <c r="V4" s="33" t="str">
        <f>财务基础数据!AA5</f>
        <v>1Q18</v>
      </c>
      <c r="W4" s="33" t="str">
        <f>财务基础数据!AB5</f>
        <v>1H18</v>
      </c>
      <c r="X4" s="33" t="str">
        <f>财务基础数据!AC5</f>
        <v>3Q18</v>
      </c>
      <c r="Y4" s="33">
        <f>财务基础数据!AD5</f>
        <v>2021</v>
      </c>
      <c r="Z4" s="33" t="str">
        <f>财务基础数据!AE5</f>
        <v>1Q19</v>
      </c>
      <c r="AA4" s="33" t="str">
        <f>财务基础数据!AF5</f>
        <v>1H19</v>
      </c>
      <c r="AB4" s="33" t="str">
        <f>财务基础数据!AG5</f>
        <v>3Q19</v>
      </c>
      <c r="AC4" s="33">
        <f>财务基础数据!AH5</f>
        <v>2022</v>
      </c>
      <c r="AD4" s="33" t="str">
        <f>财务基础数据!AI5</f>
        <v>1Q20</v>
      </c>
      <c r="AE4" s="33" t="str">
        <f>财务基础数据!AJ5</f>
        <v>1H20</v>
      </c>
      <c r="AF4" s="33" t="str">
        <f>财务基础数据!AK5</f>
        <v>3Q20</v>
      </c>
      <c r="AG4" s="33">
        <f>财务基础数据!AL5</f>
        <v>2023</v>
      </c>
      <c r="AH4" s="300" t="str">
        <f>财务基础数据!AM5</f>
        <v>1Q23</v>
      </c>
      <c r="AI4" s="300" t="str">
        <f>财务基础数据!AN5</f>
        <v>1H21</v>
      </c>
      <c r="AJ4" s="300" t="str">
        <f>财务基础数据!AO5</f>
        <v>3Q21</v>
      </c>
      <c r="AK4" s="300" t="str">
        <f>财务基础数据!AP5</f>
        <v>-</v>
      </c>
      <c r="AL4" s="116" t="str">
        <f>财务基础数据!AP5&amp;"E"</f>
        <v>-E</v>
      </c>
      <c r="AM4" s="115" t="e">
        <f>AK4+1</f>
        <v>#VALUE!</v>
      </c>
      <c r="AN4" s="115" t="e">
        <f t="shared" ref="AN4:AU4" si="0">AM4+1</f>
        <v>#VALUE!</v>
      </c>
      <c r="AO4" s="115" t="e">
        <f t="shared" si="0"/>
        <v>#VALUE!</v>
      </c>
      <c r="AP4" s="115" t="e">
        <f t="shared" si="0"/>
        <v>#VALUE!</v>
      </c>
      <c r="AQ4" s="115" t="e">
        <f t="shared" si="0"/>
        <v>#VALUE!</v>
      </c>
      <c r="AR4" s="115" t="e">
        <f t="shared" si="0"/>
        <v>#VALUE!</v>
      </c>
      <c r="AS4" s="115" t="e">
        <f t="shared" si="0"/>
        <v>#VALUE!</v>
      </c>
      <c r="AT4" s="115" t="e">
        <f t="shared" si="0"/>
        <v>#VALUE!</v>
      </c>
      <c r="AU4" s="115" t="e">
        <f t="shared" si="0"/>
        <v>#VALUE!</v>
      </c>
    </row>
    <row r="5" spans="1:49" ht="14.6" thickTop="1">
      <c r="B5" s="34" t="str">
        <f>"单位："&amp;目录!$D$5</f>
        <v>单位：港元</v>
      </c>
      <c r="E5" s="35"/>
      <c r="F5" s="35"/>
      <c r="G5" s="35"/>
      <c r="H5" s="35"/>
      <c r="I5" s="35"/>
      <c r="J5" s="35"/>
      <c r="K5" s="35"/>
      <c r="L5" s="35"/>
      <c r="M5" s="35"/>
      <c r="N5" s="35"/>
      <c r="O5" s="35"/>
      <c r="P5" s="35"/>
      <c r="Q5" s="35"/>
      <c r="R5" s="35"/>
      <c r="S5" s="36"/>
      <c r="T5" s="36"/>
      <c r="U5" s="36"/>
      <c r="V5" s="36"/>
      <c r="W5" s="36"/>
      <c r="X5" s="36"/>
      <c r="Y5" s="36"/>
      <c r="Z5" s="36"/>
      <c r="AA5" s="36"/>
      <c r="AB5" s="36"/>
      <c r="AC5" s="36"/>
      <c r="AD5" s="36"/>
      <c r="AE5" s="36"/>
      <c r="AF5" s="36"/>
      <c r="AG5" s="36"/>
      <c r="AH5" s="463"/>
      <c r="AI5" s="463"/>
      <c r="AJ5" s="463"/>
      <c r="AK5" s="463"/>
      <c r="AL5" s="36"/>
      <c r="AM5" s="36"/>
      <c r="AN5" s="36"/>
      <c r="AO5" s="36"/>
      <c r="AP5" s="36"/>
      <c r="AQ5" s="36"/>
      <c r="AR5" s="36"/>
      <c r="AS5" s="36"/>
      <c r="AT5" s="36"/>
      <c r="AU5" s="36"/>
    </row>
    <row r="6" spans="1:49" ht="13.75">
      <c r="B6" s="38" t="s">
        <v>231</v>
      </c>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463"/>
      <c r="AI6" s="463"/>
      <c r="AJ6" s="463"/>
      <c r="AK6" s="463"/>
      <c r="AL6" s="36"/>
      <c r="AM6" s="36"/>
      <c r="AN6" s="36"/>
      <c r="AO6" s="36"/>
      <c r="AP6" s="36"/>
      <c r="AQ6" s="36"/>
      <c r="AR6" s="36"/>
      <c r="AS6" s="36"/>
      <c r="AT6" s="36"/>
      <c r="AU6" s="36"/>
    </row>
    <row r="7" spans="1:49" ht="13.75">
      <c r="B7" s="39"/>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463"/>
      <c r="AI7" s="463"/>
      <c r="AJ7" s="463"/>
      <c r="AK7" s="463"/>
      <c r="AL7" s="36"/>
      <c r="AM7" s="36"/>
      <c r="AN7" s="36"/>
      <c r="AO7" s="36"/>
      <c r="AP7" s="36"/>
      <c r="AQ7" s="36"/>
      <c r="AR7" s="36"/>
      <c r="AS7" s="36"/>
      <c r="AT7" s="36"/>
      <c r="AU7" s="36"/>
    </row>
    <row r="8" spans="1:49" ht="13.75">
      <c r="B8" s="587" t="s">
        <v>232</v>
      </c>
      <c r="D8" s="280"/>
      <c r="E8" s="40">
        <f>财务基础数据!J82*目录!$D$6</f>
        <v>0</v>
      </c>
      <c r="F8" s="40">
        <f>财务基础数据!K82*目录!$D$6</f>
        <v>0</v>
      </c>
      <c r="G8" s="40">
        <f>财务基础数据!L82*目录!$D$6</f>
        <v>0</v>
      </c>
      <c r="H8" s="40">
        <f>财务基础数据!M82*目录!$D$6</f>
        <v>0</v>
      </c>
      <c r="I8" s="40">
        <f>财务基础数据!N82*目录!$D$6</f>
        <v>0</v>
      </c>
      <c r="J8" s="40">
        <f>财务基础数据!O82*目录!$D$6</f>
        <v>0</v>
      </c>
      <c r="K8" s="40">
        <f>财务基础数据!P82*目录!$D$6</f>
        <v>0</v>
      </c>
      <c r="L8" s="40">
        <f>财务基础数据!Q82*目录!$D$6</f>
        <v>0</v>
      </c>
      <c r="M8" s="40">
        <f>财务基础数据!R82*目录!$D$6</f>
        <v>0</v>
      </c>
      <c r="N8" s="40">
        <f>财务基础数据!S82*目录!$D$6</f>
        <v>0</v>
      </c>
      <c r="O8" s="40">
        <f>财务基础数据!T82*目录!$D$6</f>
        <v>0</v>
      </c>
      <c r="P8" s="40">
        <f>财务基础数据!U82*目录!$D$6</f>
        <v>0</v>
      </c>
      <c r="Q8" s="40">
        <f>财务基础数据!V82*目录!$D$6</f>
        <v>0</v>
      </c>
      <c r="R8" s="40">
        <f>财务基础数据!W82*目录!$D$6</f>
        <v>0</v>
      </c>
      <c r="S8" s="40">
        <f>财务基础数据!X82*目录!$D$6</f>
        <v>0</v>
      </c>
      <c r="T8" s="40">
        <f>财务基础数据!Y82*目录!$D$6</f>
        <v>0</v>
      </c>
      <c r="U8" s="40">
        <f>财务基础数据!Z82*目录!$D$6</f>
        <v>0</v>
      </c>
      <c r="V8" s="40">
        <f>财务基础数据!AA82*目录!$D$6</f>
        <v>0</v>
      </c>
      <c r="W8" s="40">
        <f>财务基础数据!AB82*目录!$D$6</f>
        <v>0</v>
      </c>
      <c r="X8" s="40">
        <f>财务基础数据!AC82*目录!$D$6</f>
        <v>0</v>
      </c>
      <c r="Y8" s="40">
        <f>财务基础数据!AD82*目录!$D$6</f>
        <v>0</v>
      </c>
      <c r="Z8" s="40">
        <f>财务基础数据!AE82*目录!$D$6</f>
        <v>0</v>
      </c>
      <c r="AA8" s="40">
        <f>财务基础数据!AF82*目录!$D$6</f>
        <v>0</v>
      </c>
      <c r="AB8" s="40">
        <f>财务基础数据!AG82*目录!$D$6</f>
        <v>0</v>
      </c>
      <c r="AC8" s="40">
        <f>财务基础数据!AH82*目录!$D$6</f>
        <v>0</v>
      </c>
      <c r="AD8" s="40">
        <f>财务基础数据!AI82*目录!$D$6</f>
        <v>0</v>
      </c>
      <c r="AE8" s="40">
        <f>财务基础数据!AJ82*目录!$D$6</f>
        <v>0</v>
      </c>
      <c r="AF8" s="40">
        <f>财务基础数据!AK82*目录!$D$6</f>
        <v>0</v>
      </c>
      <c r="AG8" s="40">
        <f>财务基础数据!AL82*目录!$D$6</f>
        <v>0</v>
      </c>
      <c r="AH8" s="491">
        <f>财务基础数据!AM82*目录!$D$6</f>
        <v>0</v>
      </c>
      <c r="AI8" s="491">
        <f>财务基础数据!AN82*目录!$D$6</f>
        <v>0</v>
      </c>
      <c r="AJ8" s="491">
        <f>财务基础数据!AO82*目录!$D$6</f>
        <v>0</v>
      </c>
      <c r="AK8" s="491">
        <f>财务基础数据!AP82*目录!$D$6</f>
        <v>0</v>
      </c>
      <c r="AL8" s="620" t="str">
        <f>IF(ISERROR(现金流量表!AL87),"0.00",现金流量表!AL87)</f>
        <v>—</v>
      </c>
      <c r="AM8" s="620" t="str">
        <f>IF(ISERROR(现金流量表!AM87),"0.00",现金流量表!AM87)</f>
        <v>—</v>
      </c>
      <c r="AN8" s="620" t="str">
        <f>IF(ISERROR(现金流量表!AN87),"0.00",现金流量表!AN87)</f>
        <v>—</v>
      </c>
      <c r="AO8" s="620" t="str">
        <f>IF(ISERROR(现金流量表!AO87),"0.00",现金流量表!AO87)</f>
        <v>—</v>
      </c>
      <c r="AP8" s="620" t="str">
        <f>IF(ISERROR(现金流量表!AP87),"0.00",现金流量表!AP87)</f>
        <v>—</v>
      </c>
      <c r="AQ8" s="620" t="str">
        <f>IF(ISERROR(现金流量表!AQ87),"0.00",现金流量表!AQ87)</f>
        <v>—</v>
      </c>
      <c r="AR8" s="620" t="str">
        <f>IF(ISERROR(现金流量表!AR87),"0.00",现金流量表!AR87)</f>
        <v>—</v>
      </c>
      <c r="AS8" s="620" t="str">
        <f>IF(ISERROR(现金流量表!AS87),"0.00",现金流量表!AS87)</f>
        <v>—</v>
      </c>
      <c r="AT8" s="620" t="str">
        <f>IF(ISERROR(现金流量表!AT87),"0.00",现金流量表!AT87)</f>
        <v>—</v>
      </c>
      <c r="AU8" s="620" t="str">
        <f>IF(ISERROR(现金流量表!AU87),"0.00",现金流量表!AU87)</f>
        <v>—</v>
      </c>
      <c r="AW8" s="4"/>
    </row>
    <row r="9" spans="1:49" ht="13.5" customHeight="1">
      <c r="B9" s="659" t="s">
        <v>1027</v>
      </c>
      <c r="D9" s="280"/>
      <c r="E9" s="40">
        <f>(财务基础数据!J83+财务基础数据!J86)*目录!$D$6</f>
        <v>0</v>
      </c>
      <c r="F9" s="40">
        <f>(财务基础数据!K83+财务基础数据!K86)*目录!$D$6</f>
        <v>0</v>
      </c>
      <c r="G9" s="40">
        <f>(财务基础数据!L83+财务基础数据!L86)*目录!$D$6</f>
        <v>0</v>
      </c>
      <c r="H9" s="40">
        <f>(财务基础数据!M83+财务基础数据!M86)*目录!$D$6</f>
        <v>0</v>
      </c>
      <c r="I9" s="40">
        <f>(财务基础数据!N83+财务基础数据!N86)*目录!$D$6</f>
        <v>0</v>
      </c>
      <c r="J9" s="40">
        <f>(财务基础数据!O83+财务基础数据!O86)*目录!$D$6</f>
        <v>0</v>
      </c>
      <c r="K9" s="40">
        <f>(财务基础数据!P83+财务基础数据!P86)*目录!$D$6</f>
        <v>0</v>
      </c>
      <c r="L9" s="40">
        <f>(财务基础数据!Q83+财务基础数据!Q86)*目录!$D$6</f>
        <v>0</v>
      </c>
      <c r="M9" s="40">
        <f>(财务基础数据!R83+财务基础数据!R86)*目录!$D$6</f>
        <v>0</v>
      </c>
      <c r="N9" s="40">
        <f>(财务基础数据!S83+财务基础数据!S86)*目录!$D$6</f>
        <v>0</v>
      </c>
      <c r="O9" s="40">
        <f>(财务基础数据!T83+财务基础数据!T86)*目录!$D$6</f>
        <v>0</v>
      </c>
      <c r="P9" s="40">
        <f>(财务基础数据!U83+财务基础数据!U86)*目录!$D$6</f>
        <v>0</v>
      </c>
      <c r="Q9" s="40">
        <f>(财务基础数据!V83+财务基础数据!V86)*目录!$D$6</f>
        <v>0</v>
      </c>
      <c r="R9" s="40">
        <f>(财务基础数据!W83+财务基础数据!W86)*目录!$D$6</f>
        <v>0</v>
      </c>
      <c r="S9" s="40">
        <f>(财务基础数据!X83+财务基础数据!X86)*目录!$D$6</f>
        <v>0</v>
      </c>
      <c r="T9" s="40">
        <f>(财务基础数据!Y83+财务基础数据!Y86)*目录!$D$6</f>
        <v>0</v>
      </c>
      <c r="U9" s="40">
        <f>(财务基础数据!Z83+财务基础数据!Z86)*目录!$D$6</f>
        <v>0</v>
      </c>
      <c r="V9" s="40">
        <f>(财务基础数据!AA83+财务基础数据!AA86)*目录!$D$6</f>
        <v>0</v>
      </c>
      <c r="W9" s="40">
        <f>(财务基础数据!AB83+财务基础数据!AB86)*目录!$D$6</f>
        <v>0</v>
      </c>
      <c r="X9" s="40">
        <f>(财务基础数据!AC83+财务基础数据!AC86)*目录!$D$6</f>
        <v>0</v>
      </c>
      <c r="Y9" s="40">
        <f>(财务基础数据!AD83+财务基础数据!AD86)*目录!$D$6</f>
        <v>0</v>
      </c>
      <c r="Z9" s="40">
        <f>(财务基础数据!AE83+财务基础数据!AE86)*目录!$D$6</f>
        <v>0</v>
      </c>
      <c r="AA9" s="40">
        <f>(财务基础数据!AF83+财务基础数据!AF86)*目录!$D$6</f>
        <v>0</v>
      </c>
      <c r="AB9" s="40">
        <f>(财务基础数据!AG83+财务基础数据!AG86)*目录!$D$6</f>
        <v>0</v>
      </c>
      <c r="AC9" s="40">
        <f>(财务基础数据!AH83+财务基础数据!AH86)*目录!$D$6</f>
        <v>0</v>
      </c>
      <c r="AD9" s="40">
        <f>(财务基础数据!AI83+财务基础数据!AI86)*目录!$D$6</f>
        <v>0</v>
      </c>
      <c r="AE9" s="40">
        <f>(财务基础数据!AJ83+财务基础数据!AJ86)*目录!$D$6</f>
        <v>0</v>
      </c>
      <c r="AF9" s="40">
        <f>(财务基础数据!AK83+财务基础数据!AK86)*目录!$D$6</f>
        <v>0</v>
      </c>
      <c r="AG9" s="40">
        <f>(财务基础数据!AL83+财务基础数据!AL86)*目录!$D$6</f>
        <v>0</v>
      </c>
      <c r="AH9" s="491">
        <f>(财务基础数据!AM83+财务基础数据!AM86)*目录!$D$6</f>
        <v>0</v>
      </c>
      <c r="AI9" s="491">
        <f>(财务基础数据!AN83+财务基础数据!AN86)*目录!$D$6</f>
        <v>0</v>
      </c>
      <c r="AJ9" s="491">
        <f>(财务基础数据!AO83+财务基础数据!AO86)*目录!$D$6</f>
        <v>0</v>
      </c>
      <c r="AK9" s="491">
        <f>(财务基础数据!AP83+财务基础数据!AP86)*目录!$D$6</f>
        <v>0</v>
      </c>
      <c r="AL9" s="41">
        <f>IF(ISERROR(资产预测!P68),"0",资产预测!P68)</f>
        <v>0</v>
      </c>
      <c r="AM9" s="41">
        <f>IF(ISERROR(资产预测!Q68),"0",资产预测!Q68)</f>
        <v>0</v>
      </c>
      <c r="AN9" s="41">
        <f>IF(ISERROR(资产预测!R68),"0",资产预测!R68)</f>
        <v>0</v>
      </c>
      <c r="AO9" s="41">
        <f>IF(ISERROR(资产预测!S68),"0",资产预测!S68)</f>
        <v>0</v>
      </c>
      <c r="AP9" s="41">
        <f>IF(ISERROR(资产预测!T68),"0",资产预测!T68)</f>
        <v>0</v>
      </c>
      <c r="AQ9" s="41">
        <f>IF(ISERROR(资产预测!U68),"0",资产预测!U68)</f>
        <v>0</v>
      </c>
      <c r="AR9" s="41">
        <f>IF(ISERROR(资产预测!V68),"0",资产预测!V68)</f>
        <v>0</v>
      </c>
      <c r="AS9" s="41">
        <f>IF(ISERROR(资产预测!W68),"0",资产预测!W68)</f>
        <v>0</v>
      </c>
      <c r="AT9" s="41">
        <f>IF(ISERROR(资产预测!X68),"0",资产预测!X68)</f>
        <v>0</v>
      </c>
      <c r="AU9" s="41">
        <f>IF(ISERROR(资产预测!Y68),"0",资产预测!Y68)</f>
        <v>0</v>
      </c>
      <c r="AW9" s="4"/>
    </row>
    <row r="10" spans="1:49" ht="13.75">
      <c r="B10" s="330" t="s">
        <v>870</v>
      </c>
      <c r="D10" s="28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91"/>
      <c r="AI10" s="491"/>
      <c r="AJ10" s="491"/>
      <c r="AK10" s="491">
        <f>财务基础数据!AP234*目录!$D$6</f>
        <v>0</v>
      </c>
      <c r="AL10" s="41">
        <f>IF(ISERROR(资产预测!P72),0,资产预测!P72)</f>
        <v>0</v>
      </c>
      <c r="AM10" s="41">
        <f>IF(ISERROR(资产预测!Q72),0,资产预测!Q72)</f>
        <v>0</v>
      </c>
      <c r="AN10" s="41">
        <f>IF(ISERROR(资产预测!R72),0,资产预测!R72)</f>
        <v>0</v>
      </c>
      <c r="AO10" s="41">
        <f>IF(ISERROR(资产预测!S72),0,资产预测!S72)</f>
        <v>0</v>
      </c>
      <c r="AP10" s="41">
        <f>IF(ISERROR(资产预测!T72),0,资产预测!T72)</f>
        <v>0</v>
      </c>
      <c r="AQ10" s="41">
        <f>IF(ISERROR(资产预测!U72),0,资产预测!U72)</f>
        <v>0</v>
      </c>
      <c r="AR10" s="41">
        <f>IF(ISERROR(资产预测!V72),0,资产预测!V72)</f>
        <v>0</v>
      </c>
      <c r="AS10" s="41">
        <f>IF(ISERROR(资产预测!W72),0,资产预测!W72)</f>
        <v>0</v>
      </c>
      <c r="AT10" s="41">
        <f>IF(ISERROR(资产预测!X72),0,资产预测!X72)</f>
        <v>0</v>
      </c>
      <c r="AU10" s="41">
        <f>IF(ISERROR(资产预测!Y72),0,资产预测!Y72)</f>
        <v>0</v>
      </c>
      <c r="AW10" s="4"/>
    </row>
    <row r="11" spans="1:49" ht="13.75">
      <c r="B11" s="558" t="s">
        <v>1016</v>
      </c>
      <c r="E11" s="40">
        <f>(财务基础数据!J87)*目录!$D$6</f>
        <v>0</v>
      </c>
      <c r="F11" s="40">
        <f>(财务基础数据!K87)*目录!$D$6</f>
        <v>0</v>
      </c>
      <c r="G11" s="40">
        <f>(财务基础数据!L87)*目录!$D$6</f>
        <v>0</v>
      </c>
      <c r="H11" s="40">
        <f>(财务基础数据!M87)*目录!$D$6</f>
        <v>0</v>
      </c>
      <c r="I11" s="40">
        <f>(财务基础数据!N87)*目录!$D$6</f>
        <v>0</v>
      </c>
      <c r="J11" s="40">
        <f>(财务基础数据!O87)*目录!$D$6</f>
        <v>0</v>
      </c>
      <c r="K11" s="40">
        <f>(财务基础数据!P87)*目录!$D$6</f>
        <v>0</v>
      </c>
      <c r="L11" s="40">
        <f>(财务基础数据!Q87)*目录!$D$6</f>
        <v>0</v>
      </c>
      <c r="M11" s="40">
        <f>(财务基础数据!R87)*目录!$D$6</f>
        <v>0</v>
      </c>
      <c r="N11" s="40">
        <f>(财务基础数据!S87)*目录!$D$6</f>
        <v>0</v>
      </c>
      <c r="O11" s="40">
        <f>(财务基础数据!T87)*目录!$D$6</f>
        <v>0</v>
      </c>
      <c r="P11" s="40">
        <f>(财务基础数据!U87)*目录!$D$6</f>
        <v>0</v>
      </c>
      <c r="Q11" s="40">
        <f>(财务基础数据!V87)*目录!$D$6</f>
        <v>0</v>
      </c>
      <c r="R11" s="40">
        <f>(财务基础数据!W87)*目录!$D$6</f>
        <v>0</v>
      </c>
      <c r="S11" s="40">
        <f>(财务基础数据!X87)*目录!$D$6</f>
        <v>0</v>
      </c>
      <c r="T11" s="40">
        <f>(财务基础数据!Y87)*目录!$D$6</f>
        <v>0</v>
      </c>
      <c r="U11" s="40">
        <f>(财务基础数据!Z87)*目录!$D$6</f>
        <v>0</v>
      </c>
      <c r="V11" s="40">
        <f>(财务基础数据!AA87)*目录!$D$6</f>
        <v>0</v>
      </c>
      <c r="W11" s="40">
        <f>(财务基础数据!AB87)*目录!$D$6</f>
        <v>0</v>
      </c>
      <c r="X11" s="40">
        <f>(财务基础数据!AC87)*目录!$D$6</f>
        <v>0</v>
      </c>
      <c r="Y11" s="40">
        <f>(财务基础数据!AD87)*目录!$D$6</f>
        <v>0</v>
      </c>
      <c r="Z11" s="40">
        <f>(财务基础数据!AE87)*目录!$D$6</f>
        <v>0</v>
      </c>
      <c r="AA11" s="40">
        <f>(财务基础数据!AF87)*目录!$D$6</f>
        <v>0</v>
      </c>
      <c r="AB11" s="40">
        <f>(财务基础数据!AG87)*目录!$D$6</f>
        <v>0</v>
      </c>
      <c r="AC11" s="491">
        <f>(财务基础数据!AH87)*目录!$D$6</f>
        <v>0</v>
      </c>
      <c r="AD11" s="491">
        <f>(财务基础数据!AI87)*目录!$D$6</f>
        <v>0</v>
      </c>
      <c r="AE11" s="491">
        <f>IF(财务基础数据!AJ231=0,财务基础数据!AJ87*目录!$D$6,0)</f>
        <v>0</v>
      </c>
      <c r="AF11" s="491">
        <f>(财务基础数据!AK87)*目录!$D$6</f>
        <v>0</v>
      </c>
      <c r="AG11" s="491">
        <f>(财务基础数据!AL87)*目录!$D$6</f>
        <v>0</v>
      </c>
      <c r="AH11" s="491">
        <f>(财务基础数据!AM87)*目录!$D$6</f>
        <v>0</v>
      </c>
      <c r="AI11" s="491">
        <f>(财务基础数据!AN87)*目录!$D$6</f>
        <v>0</v>
      </c>
      <c r="AJ11" s="491">
        <f>(财务基础数据!AO87)*目录!$D$6</f>
        <v>0</v>
      </c>
      <c r="AK11" s="491">
        <f>(财务基础数据!AP87)*目录!$D$6</f>
        <v>0</v>
      </c>
      <c r="AL11" s="41">
        <f>IF(ISERROR(资产预测!P10),"0",资产预测!P10)</f>
        <v>0</v>
      </c>
      <c r="AM11" s="41">
        <f>IF(ISERROR(资产预测!Q10),"0",资产预测!Q10)</f>
        <v>0</v>
      </c>
      <c r="AN11" s="41">
        <f>IF(ISERROR(资产预测!R10),"0",资产预测!R10)</f>
        <v>0</v>
      </c>
      <c r="AO11" s="41">
        <f>IF(ISERROR(资产预测!S10),"0",资产预测!S10)</f>
        <v>0</v>
      </c>
      <c r="AP11" s="41">
        <f>IF(ISERROR(资产预测!T10),"0",资产预测!T10)</f>
        <v>0</v>
      </c>
      <c r="AQ11" s="41">
        <f>IF(ISERROR(资产预测!U10),"0",资产预测!U10)</f>
        <v>0</v>
      </c>
      <c r="AR11" s="41">
        <f>IF(ISERROR(资产预测!V10),"0",资产预测!V10)</f>
        <v>0</v>
      </c>
      <c r="AS11" s="41">
        <f>IF(ISERROR(资产预测!W10),"0",资产预测!W10)</f>
        <v>0</v>
      </c>
      <c r="AT11" s="41">
        <f>IF(ISERROR(资产预测!X10),"0",资产预测!X10)</f>
        <v>0</v>
      </c>
      <c r="AU11" s="41">
        <f>IF(ISERROR(资产预测!Y10),"0",资产预测!Y10)</f>
        <v>0</v>
      </c>
      <c r="AW11" s="4"/>
    </row>
    <row r="12" spans="1:49" ht="13.75">
      <c r="B12" s="558" t="s">
        <v>1017</v>
      </c>
      <c r="E12" s="40">
        <f>(财务基础数据!J90)*目录!$D$6</f>
        <v>0</v>
      </c>
      <c r="F12" s="40">
        <f>(财务基础数据!K90)*目录!$D$6</f>
        <v>0</v>
      </c>
      <c r="G12" s="40">
        <f>(财务基础数据!L90)*目录!$D$6</f>
        <v>0</v>
      </c>
      <c r="H12" s="40">
        <f>(财务基础数据!M90)*目录!$D$6</f>
        <v>0</v>
      </c>
      <c r="I12" s="40">
        <f>(财务基础数据!N90)*目录!$D$6</f>
        <v>0</v>
      </c>
      <c r="J12" s="40">
        <f>(财务基础数据!O90)*目录!$D$6</f>
        <v>0</v>
      </c>
      <c r="K12" s="40">
        <f>(财务基础数据!P90)*目录!$D$6</f>
        <v>0</v>
      </c>
      <c r="L12" s="40">
        <f>(财务基础数据!Q90)*目录!$D$6</f>
        <v>0</v>
      </c>
      <c r="M12" s="40">
        <f>(财务基础数据!R90)*目录!$D$6</f>
        <v>0</v>
      </c>
      <c r="N12" s="40">
        <f>(财务基础数据!S90)*目录!$D$6</f>
        <v>0</v>
      </c>
      <c r="O12" s="40">
        <f>(财务基础数据!T90)*目录!$D$6</f>
        <v>0</v>
      </c>
      <c r="P12" s="40">
        <f>(财务基础数据!U90)*目录!$D$6</f>
        <v>0</v>
      </c>
      <c r="Q12" s="40">
        <f>(财务基础数据!V90)*目录!$D$6</f>
        <v>0</v>
      </c>
      <c r="R12" s="40">
        <f>(财务基础数据!W90)*目录!$D$6</f>
        <v>0</v>
      </c>
      <c r="S12" s="40">
        <f>(财务基础数据!X90)*目录!$D$6</f>
        <v>0</v>
      </c>
      <c r="T12" s="40">
        <f>(财务基础数据!Y90)*目录!$D$6</f>
        <v>0</v>
      </c>
      <c r="U12" s="40">
        <f>(财务基础数据!Z90)*目录!$D$6</f>
        <v>0</v>
      </c>
      <c r="V12" s="40">
        <f>(财务基础数据!AA90)*目录!$D$6</f>
        <v>0</v>
      </c>
      <c r="W12" s="40">
        <f>(财务基础数据!AB90)*目录!$D$6</f>
        <v>0</v>
      </c>
      <c r="X12" s="40">
        <f>(财务基础数据!AC90)*目录!$D$6</f>
        <v>0</v>
      </c>
      <c r="Y12" s="40">
        <f>(财务基础数据!AD90)*目录!$D$6</f>
        <v>0</v>
      </c>
      <c r="Z12" s="40">
        <f>(财务基础数据!AE90)*目录!$D$6</f>
        <v>0</v>
      </c>
      <c r="AA12" s="40">
        <f>(财务基础数据!AF90)*目录!$D$6</f>
        <v>0</v>
      </c>
      <c r="AB12" s="40">
        <f>(财务基础数据!AG90)*目录!$D$6</f>
        <v>0</v>
      </c>
      <c r="AC12" s="491">
        <f>(财务基础数据!AH90)*目录!$D$6</f>
        <v>0</v>
      </c>
      <c r="AD12" s="491">
        <f>(财务基础数据!AI90)*目录!$D$6</f>
        <v>0</v>
      </c>
      <c r="AE12" s="40">
        <f>(财务基础数据!AJ231)*目录!$D$6</f>
        <v>0</v>
      </c>
      <c r="AF12" s="491">
        <f>(财务基础数据!AK90)*目录!$D$6</f>
        <v>0</v>
      </c>
      <c r="AG12" s="491">
        <f>(财务基础数据!AL90)*目录!$D$6</f>
        <v>0</v>
      </c>
      <c r="AH12" s="491">
        <f>(财务基础数据!AM90)*目录!$D$6</f>
        <v>0</v>
      </c>
      <c r="AI12" s="491">
        <f>(财务基础数据!AN90)*目录!$D$6</f>
        <v>0</v>
      </c>
      <c r="AJ12" s="491">
        <f>(财务基础数据!AO90)*目录!$D$6</f>
        <v>0</v>
      </c>
      <c r="AK12" s="491">
        <f>(财务基础数据!AP90)*目录!$D$6</f>
        <v>0</v>
      </c>
      <c r="AL12" s="41">
        <f>IF(ISERROR(资产预测!P14),"0",资产预测!P14)</f>
        <v>0</v>
      </c>
      <c r="AM12" s="41">
        <f>IF(ISERROR(资产预测!Q14),"0",资产预测!Q14)</f>
        <v>0</v>
      </c>
      <c r="AN12" s="41">
        <f>IF(ISERROR(资产预测!R14),"0",资产预测!R14)</f>
        <v>0</v>
      </c>
      <c r="AO12" s="41">
        <f>IF(ISERROR(资产预测!S14),"0",资产预测!S14)</f>
        <v>0</v>
      </c>
      <c r="AP12" s="41">
        <f>IF(ISERROR(资产预测!T14),"0",资产预测!T14)</f>
        <v>0</v>
      </c>
      <c r="AQ12" s="41">
        <f>IF(ISERROR(资产预测!U14),"0",资产预测!U14)</f>
        <v>0</v>
      </c>
      <c r="AR12" s="41">
        <f>IF(ISERROR(资产预测!V14),"0",资产预测!V14)</f>
        <v>0</v>
      </c>
      <c r="AS12" s="41">
        <f>IF(ISERROR(资产预测!W14),"0",资产预测!W14)</f>
        <v>0</v>
      </c>
      <c r="AT12" s="41">
        <f>IF(ISERROR(资产预测!X14),"0",资产预测!X14)</f>
        <v>0</v>
      </c>
      <c r="AU12" s="41">
        <f>IF(ISERROR(资产预测!Y14),"0",资产预测!Y14)</f>
        <v>0</v>
      </c>
      <c r="AW12" s="4"/>
    </row>
    <row r="13" spans="1:49" ht="13.75">
      <c r="B13" s="558" t="s">
        <v>1018</v>
      </c>
      <c r="D13" s="23" t="s">
        <v>1258</v>
      </c>
      <c r="E13" s="40">
        <f>(财务基础数据!J247)*目录!$D$6</f>
        <v>0</v>
      </c>
      <c r="F13" s="40">
        <f>(财务基础数据!K247)*目录!$D$6</f>
        <v>0</v>
      </c>
      <c r="G13" s="40">
        <f>(财务基础数据!L247)*目录!$D$6</f>
        <v>0</v>
      </c>
      <c r="H13" s="40">
        <f>(财务基础数据!M247)*目录!$D$6</f>
        <v>0</v>
      </c>
      <c r="I13" s="40">
        <f>(财务基础数据!N247)*目录!$D$6</f>
        <v>0</v>
      </c>
      <c r="J13" s="40">
        <f>(财务基础数据!O247)*目录!$D$6</f>
        <v>0</v>
      </c>
      <c r="K13" s="40">
        <f>(财务基础数据!P247)*目录!$D$6</f>
        <v>0</v>
      </c>
      <c r="L13" s="40">
        <f>(财务基础数据!Q247)*目录!$D$6</f>
        <v>0</v>
      </c>
      <c r="M13" s="40">
        <f>(财务基础数据!R247)*目录!$D$6</f>
        <v>0</v>
      </c>
      <c r="N13" s="40">
        <f>(财务基础数据!S247)*目录!$D$6</f>
        <v>0</v>
      </c>
      <c r="O13" s="40">
        <f>(财务基础数据!T247)*目录!$D$6</f>
        <v>0</v>
      </c>
      <c r="P13" s="40">
        <f>(财务基础数据!U247)*目录!$D$6</f>
        <v>0</v>
      </c>
      <c r="Q13" s="40">
        <f>(财务基础数据!V247)*目录!$D$6</f>
        <v>0</v>
      </c>
      <c r="R13" s="40">
        <f>(财务基础数据!W247)*目录!$D$6</f>
        <v>0</v>
      </c>
      <c r="S13" s="40">
        <f>(财务基础数据!X247)*目录!$D$6</f>
        <v>0</v>
      </c>
      <c r="T13" s="40">
        <f>(财务基础数据!Y247)*目录!$D$6</f>
        <v>0</v>
      </c>
      <c r="U13" s="40">
        <f>(财务基础数据!Z247)*目录!$D$6</f>
        <v>0</v>
      </c>
      <c r="V13" s="40">
        <f>(财务基础数据!AA247)*目录!$D$6</f>
        <v>0</v>
      </c>
      <c r="W13" s="40">
        <f>(财务基础数据!AB247)*目录!$D$6</f>
        <v>0</v>
      </c>
      <c r="X13" s="40">
        <f>(财务基础数据!AC247)*目录!$D$6</f>
        <v>0</v>
      </c>
      <c r="Y13" s="40">
        <f>(财务基础数据!AD247)*目录!$D$6</f>
        <v>0</v>
      </c>
      <c r="Z13" s="40">
        <f>(财务基础数据!AE247)*目录!$D$6</f>
        <v>0</v>
      </c>
      <c r="AA13" s="40">
        <f>(财务基础数据!AF247)*目录!$D$6</f>
        <v>0</v>
      </c>
      <c r="AB13" s="40">
        <f>(财务基础数据!AG247)*目录!$D$6</f>
        <v>0</v>
      </c>
      <c r="AC13" s="491">
        <f>(财务基础数据!AH247)*目录!$D$6</f>
        <v>0</v>
      </c>
      <c r="AD13" s="491">
        <f>(财务基础数据!AI247)*目录!$D$6</f>
        <v>0</v>
      </c>
      <c r="AE13" s="491">
        <f>(财务基础数据!AJ247)*目录!$D$6</f>
        <v>0</v>
      </c>
      <c r="AF13" s="491">
        <f>(财务基础数据!AK247)*目录!$D$6</f>
        <v>0</v>
      </c>
      <c r="AG13" s="491">
        <f>(财务基础数据!AL247)*目录!$D$6</f>
        <v>0</v>
      </c>
      <c r="AH13" s="491">
        <f>(财务基础数据!AM247)*目录!$D$6</f>
        <v>0</v>
      </c>
      <c r="AI13" s="491">
        <f>(财务基础数据!AN247)*目录!$D$6</f>
        <v>0</v>
      </c>
      <c r="AJ13" s="491">
        <f>(财务基础数据!AO247)*目录!$D$6</f>
        <v>0</v>
      </c>
      <c r="AK13" s="491">
        <f>(财务基础数据!AP247)*目录!$D$6</f>
        <v>0</v>
      </c>
      <c r="AL13" s="108">
        <f>AG13</f>
        <v>0</v>
      </c>
      <c r="AM13" s="108">
        <f>AL13</f>
        <v>0</v>
      </c>
      <c r="AN13" s="108">
        <f>AM13</f>
        <v>0</v>
      </c>
      <c r="AO13" s="108">
        <f t="shared" ref="AO13:AU13" si="1">AN13</f>
        <v>0</v>
      </c>
      <c r="AP13" s="108">
        <f t="shared" si="1"/>
        <v>0</v>
      </c>
      <c r="AQ13" s="108">
        <f t="shared" si="1"/>
        <v>0</v>
      </c>
      <c r="AR13" s="108">
        <f t="shared" si="1"/>
        <v>0</v>
      </c>
      <c r="AS13" s="108">
        <f t="shared" si="1"/>
        <v>0</v>
      </c>
      <c r="AT13" s="108">
        <f t="shared" si="1"/>
        <v>0</v>
      </c>
      <c r="AU13" s="108">
        <f t="shared" si="1"/>
        <v>0</v>
      </c>
      <c r="AW13" s="4"/>
    </row>
    <row r="14" spans="1:49" ht="13.5" customHeight="1">
      <c r="B14" s="660" t="s">
        <v>233</v>
      </c>
      <c r="E14" s="40">
        <f>财务基础数据!J94*目录!$D$6</f>
        <v>0</v>
      </c>
      <c r="F14" s="40">
        <f>财务基础数据!K94*目录!$D$6</f>
        <v>0</v>
      </c>
      <c r="G14" s="40">
        <f>财务基础数据!L94*目录!$D$6</f>
        <v>0</v>
      </c>
      <c r="H14" s="40">
        <f>财务基础数据!M94*目录!$D$6</f>
        <v>0</v>
      </c>
      <c r="I14" s="40">
        <f>财务基础数据!N94*目录!$D$6</f>
        <v>0</v>
      </c>
      <c r="J14" s="40">
        <f>财务基础数据!O94*目录!$D$6</f>
        <v>0</v>
      </c>
      <c r="K14" s="40">
        <f>财务基础数据!P94*目录!$D$6</f>
        <v>0</v>
      </c>
      <c r="L14" s="40">
        <f>财务基础数据!Q94*目录!$D$6</f>
        <v>0</v>
      </c>
      <c r="M14" s="40">
        <f>财务基础数据!R94*目录!$D$6</f>
        <v>0</v>
      </c>
      <c r="N14" s="40">
        <f>财务基础数据!S94*目录!$D$6</f>
        <v>0</v>
      </c>
      <c r="O14" s="40">
        <f>财务基础数据!T94*目录!$D$6</f>
        <v>0</v>
      </c>
      <c r="P14" s="40">
        <f>财务基础数据!U94*目录!$D$6</f>
        <v>0</v>
      </c>
      <c r="Q14" s="40">
        <f>财务基础数据!V94*目录!$D$6</f>
        <v>0</v>
      </c>
      <c r="R14" s="40">
        <f>财务基础数据!W94*目录!$D$6</f>
        <v>0</v>
      </c>
      <c r="S14" s="40">
        <f>财务基础数据!X94*目录!$D$6</f>
        <v>0</v>
      </c>
      <c r="T14" s="40">
        <f>财务基础数据!Y94*目录!$D$6</f>
        <v>0</v>
      </c>
      <c r="U14" s="40">
        <f>财务基础数据!Z94*目录!$D$6</f>
        <v>0</v>
      </c>
      <c r="V14" s="40">
        <f>财务基础数据!AA94*目录!$D$6</f>
        <v>0</v>
      </c>
      <c r="W14" s="40">
        <f>财务基础数据!AB94*目录!$D$6</f>
        <v>0</v>
      </c>
      <c r="X14" s="40">
        <f>财务基础数据!AC94*目录!$D$6</f>
        <v>0</v>
      </c>
      <c r="Y14" s="40">
        <f>财务基础数据!AD94*目录!$D$6</f>
        <v>0</v>
      </c>
      <c r="Z14" s="40">
        <f>财务基础数据!AE94*目录!$D$6</f>
        <v>0</v>
      </c>
      <c r="AA14" s="40">
        <f>财务基础数据!AF94*目录!$D$6</f>
        <v>0</v>
      </c>
      <c r="AB14" s="40">
        <f>财务基础数据!AG94*目录!$D$6</f>
        <v>0</v>
      </c>
      <c r="AC14" s="491">
        <f>财务基础数据!AH94*目录!$D$6</f>
        <v>0</v>
      </c>
      <c r="AD14" s="491">
        <f>财务基础数据!AI94*目录!$D$6</f>
        <v>0</v>
      </c>
      <c r="AE14" s="491">
        <f>财务基础数据!AJ94*目录!$D$6</f>
        <v>0</v>
      </c>
      <c r="AF14" s="491">
        <f>财务基础数据!AK94*目录!$D$6</f>
        <v>0</v>
      </c>
      <c r="AG14" s="491">
        <f>财务基础数据!AL94*目录!$D$6</f>
        <v>0</v>
      </c>
      <c r="AH14" s="491">
        <f>财务基础数据!AM94*目录!$D$6</f>
        <v>0</v>
      </c>
      <c r="AI14" s="491">
        <f>财务基础数据!AN94*目录!$D$6</f>
        <v>0</v>
      </c>
      <c r="AJ14" s="491">
        <f>财务基础数据!AO94*目录!$D$6</f>
        <v>0</v>
      </c>
      <c r="AK14" s="491">
        <f>财务基础数据!AP94*目录!$D$6</f>
        <v>0</v>
      </c>
      <c r="AL14" s="41">
        <f>IF(ISERROR(资产预测!P18),0,资产预测!P18)</f>
        <v>0</v>
      </c>
      <c r="AM14" s="41">
        <f>IF(ISERROR(资产预测!Q18),0,资产预测!Q18)</f>
        <v>0</v>
      </c>
      <c r="AN14" s="41">
        <f>IF(ISERROR(资产预测!R18),0,资产预测!R18)</f>
        <v>0</v>
      </c>
      <c r="AO14" s="41">
        <f>IF(ISERROR(资产预测!S18),0,资产预测!S18)</f>
        <v>0</v>
      </c>
      <c r="AP14" s="41">
        <f>IF(ISERROR(资产预测!T18),0,资产预测!T18)</f>
        <v>0</v>
      </c>
      <c r="AQ14" s="41">
        <f>IF(ISERROR(资产预测!U18),0,资产预测!U18)</f>
        <v>0</v>
      </c>
      <c r="AR14" s="41">
        <f>IF(ISERROR(资产预测!V18),0,资产预测!V18)</f>
        <v>0</v>
      </c>
      <c r="AS14" s="41">
        <f>IF(ISERROR(资产预测!W18),0,资产预测!W18)</f>
        <v>0</v>
      </c>
      <c r="AT14" s="41">
        <f>IF(ISERROR(资产预测!X18),0,资产预测!X18)</f>
        <v>0</v>
      </c>
      <c r="AU14" s="41">
        <f>IF(ISERROR(资产预测!Y18),0,资产预测!Y18)</f>
        <v>0</v>
      </c>
      <c r="AW14" s="5"/>
    </row>
    <row r="15" spans="1:49" ht="13.75">
      <c r="B15" s="330" t="s">
        <v>970</v>
      </c>
      <c r="E15" s="40">
        <f>(财务基础数据!J237)*目录!$D$6</f>
        <v>0</v>
      </c>
      <c r="F15" s="40">
        <f>(财务基础数据!K237)*目录!$D$6</f>
        <v>0</v>
      </c>
      <c r="G15" s="40">
        <f>(财务基础数据!L237)*目录!$D$6</f>
        <v>0</v>
      </c>
      <c r="H15" s="40">
        <f>(财务基础数据!M237)*目录!$D$6</f>
        <v>0</v>
      </c>
      <c r="I15" s="40">
        <f>(财务基础数据!N237)*目录!$D$6</f>
        <v>0</v>
      </c>
      <c r="J15" s="40">
        <f>(财务基础数据!O237)*目录!$D$6</f>
        <v>0</v>
      </c>
      <c r="K15" s="40">
        <f>(财务基础数据!P237)*目录!$D$6</f>
        <v>0</v>
      </c>
      <c r="L15" s="40">
        <f>(财务基础数据!Q237)*目录!$D$6</f>
        <v>0</v>
      </c>
      <c r="M15" s="40">
        <f>(财务基础数据!R237)*目录!$D$6</f>
        <v>0</v>
      </c>
      <c r="N15" s="40">
        <f>(财务基础数据!S237)*目录!$D$6</f>
        <v>0</v>
      </c>
      <c r="O15" s="40">
        <f>(财务基础数据!T237)*目录!$D$6</f>
        <v>0</v>
      </c>
      <c r="P15" s="40">
        <f>(财务基础数据!U237)*目录!$D$6</f>
        <v>0</v>
      </c>
      <c r="Q15" s="40">
        <f>(财务基础数据!V237)*目录!$D$6</f>
        <v>0</v>
      </c>
      <c r="R15" s="40">
        <f>(财务基础数据!W237)*目录!$D$6</f>
        <v>0</v>
      </c>
      <c r="S15" s="40">
        <f>(财务基础数据!X237)*目录!$D$6</f>
        <v>0</v>
      </c>
      <c r="T15" s="40">
        <f>(财务基础数据!Y237)*目录!$D$6</f>
        <v>0</v>
      </c>
      <c r="U15" s="40">
        <f>(财务基础数据!Z237)*目录!$D$6</f>
        <v>0</v>
      </c>
      <c r="V15" s="40">
        <f>(财务基础数据!AA237)*目录!$D$6</f>
        <v>0</v>
      </c>
      <c r="W15" s="40">
        <f>(财务基础数据!AB237)*目录!$D$6</f>
        <v>0</v>
      </c>
      <c r="X15" s="40">
        <f>(财务基础数据!AC237)*目录!$D$6</f>
        <v>0</v>
      </c>
      <c r="Y15" s="40">
        <f>(财务基础数据!AD237)*目录!$D$6</f>
        <v>0</v>
      </c>
      <c r="Z15" s="40">
        <f>(财务基础数据!AE237)*目录!$D$6</f>
        <v>0</v>
      </c>
      <c r="AA15" s="40">
        <f>(财务基础数据!AF237)*目录!$D$6</f>
        <v>0</v>
      </c>
      <c r="AB15" s="40">
        <f>(财务基础数据!AG237)*目录!$D$6</f>
        <v>0</v>
      </c>
      <c r="AC15" s="491">
        <f>(财务基础数据!AH237)*目录!$D$6</f>
        <v>0</v>
      </c>
      <c r="AD15" s="491">
        <f>(财务基础数据!AI237)*目录!$D$6</f>
        <v>0</v>
      </c>
      <c r="AE15" s="491">
        <f>(财务基础数据!AJ237)*目录!$D$6</f>
        <v>0</v>
      </c>
      <c r="AF15" s="491">
        <f>(财务基础数据!AK237)*目录!$D$6</f>
        <v>0</v>
      </c>
      <c r="AG15" s="491">
        <f>(财务基础数据!AL237)*目录!$D$6</f>
        <v>0</v>
      </c>
      <c r="AH15" s="491">
        <f>(财务基础数据!AM237)*目录!$D$6</f>
        <v>0</v>
      </c>
      <c r="AI15" s="491">
        <f>(财务基础数据!AN237)*目录!$D$6</f>
        <v>0</v>
      </c>
      <c r="AJ15" s="491">
        <f>(财务基础数据!AO237)*目录!$D$6</f>
        <v>0</v>
      </c>
      <c r="AK15" s="491">
        <f>(财务基础数据!AP237)*目录!$D$6</f>
        <v>0</v>
      </c>
      <c r="AL15" s="41">
        <f>IF(ISERROR(资产预测!P21),0,资产预测!P21)</f>
        <v>0</v>
      </c>
      <c r="AM15" s="41">
        <f>IF(ISERROR(资产预测!Q21),0,资产预测!Q21)</f>
        <v>0</v>
      </c>
      <c r="AN15" s="41">
        <f>IF(ISERROR(资产预测!R21),0,资产预测!R21)</f>
        <v>0</v>
      </c>
      <c r="AO15" s="41">
        <f>IF(ISERROR(资产预测!S21),0,资产预测!S21)</f>
        <v>0</v>
      </c>
      <c r="AP15" s="41">
        <f>IF(ISERROR(资产预测!T21),0,资产预测!T21)</f>
        <v>0</v>
      </c>
      <c r="AQ15" s="41">
        <f>IF(ISERROR(资产预测!U21),0,资产预测!U21)</f>
        <v>0</v>
      </c>
      <c r="AR15" s="41">
        <f>IF(ISERROR(资产预测!V21),0,资产预测!V21)</f>
        <v>0</v>
      </c>
      <c r="AS15" s="41">
        <f>IF(ISERROR(资产预测!W21),0,资产预测!W21)</f>
        <v>0</v>
      </c>
      <c r="AT15" s="41">
        <f>IF(ISERROR(资产预测!X21),0,资产预测!X21)</f>
        <v>0</v>
      </c>
      <c r="AU15" s="41">
        <f>IF(ISERROR(资产预测!Y21),0,资产预测!Y21)</f>
        <v>0</v>
      </c>
      <c r="AW15" s="4"/>
    </row>
    <row r="16" spans="1:49" ht="13.75">
      <c r="B16" s="330" t="s">
        <v>422</v>
      </c>
      <c r="E16" s="40">
        <f>财务基础数据!J103*目录!$D$6</f>
        <v>0</v>
      </c>
      <c r="F16" s="40">
        <f>财务基础数据!K103*目录!$D$6</f>
        <v>0</v>
      </c>
      <c r="G16" s="40">
        <f>财务基础数据!L103*目录!$D$6</f>
        <v>0</v>
      </c>
      <c r="H16" s="40">
        <f>财务基础数据!M103*目录!$D$6</f>
        <v>0</v>
      </c>
      <c r="I16" s="40">
        <f>财务基础数据!N103*目录!$D$6</f>
        <v>0</v>
      </c>
      <c r="J16" s="40">
        <f>财务基础数据!O103*目录!$D$6</f>
        <v>0</v>
      </c>
      <c r="K16" s="40">
        <f>财务基础数据!P103*目录!$D$6</f>
        <v>0</v>
      </c>
      <c r="L16" s="40">
        <f>财务基础数据!Q103*目录!$D$6</f>
        <v>0</v>
      </c>
      <c r="M16" s="40">
        <f>财务基础数据!R103*目录!$D$6</f>
        <v>0</v>
      </c>
      <c r="N16" s="40">
        <f>财务基础数据!S103*目录!$D$6</f>
        <v>0</v>
      </c>
      <c r="O16" s="40">
        <f>财务基础数据!T103*目录!$D$6</f>
        <v>0</v>
      </c>
      <c r="P16" s="40">
        <f>财务基础数据!U103*目录!$D$6</f>
        <v>0</v>
      </c>
      <c r="Q16" s="40">
        <f>财务基础数据!V103*目录!$D$6</f>
        <v>0</v>
      </c>
      <c r="R16" s="40">
        <f>财务基础数据!W103*目录!$D$6</f>
        <v>0</v>
      </c>
      <c r="S16" s="40">
        <f>财务基础数据!X103*目录!$D$6</f>
        <v>0</v>
      </c>
      <c r="T16" s="40">
        <f>财务基础数据!Y103*目录!$D$6</f>
        <v>0</v>
      </c>
      <c r="U16" s="40">
        <f>财务基础数据!Z103*目录!$D$6</f>
        <v>0</v>
      </c>
      <c r="V16" s="40">
        <f>财务基础数据!AA103*目录!$D$6</f>
        <v>0</v>
      </c>
      <c r="W16" s="40">
        <f>财务基础数据!AB103*目录!$D$6</f>
        <v>0</v>
      </c>
      <c r="X16" s="40">
        <f>财务基础数据!AC103*目录!$D$6</f>
        <v>0</v>
      </c>
      <c r="Y16" s="40">
        <f>财务基础数据!AD103*目录!$D$6</f>
        <v>0</v>
      </c>
      <c r="Z16" s="40">
        <f>财务基础数据!AE103*目录!$D$6</f>
        <v>0</v>
      </c>
      <c r="AA16" s="40">
        <f>财务基础数据!AF103*目录!$D$6</f>
        <v>0</v>
      </c>
      <c r="AB16" s="40">
        <f>财务基础数据!AG103*目录!$D$6</f>
        <v>0</v>
      </c>
      <c r="AC16" s="491">
        <f>财务基础数据!AH103*目录!$D$6</f>
        <v>0</v>
      </c>
      <c r="AD16" s="491">
        <f>财务基础数据!AI103*目录!$D$6</f>
        <v>0</v>
      </c>
      <c r="AE16" s="491">
        <f>财务基础数据!AJ103*目录!$D$6</f>
        <v>0</v>
      </c>
      <c r="AF16" s="491">
        <f>财务基础数据!AK103*目录!$D$6</f>
        <v>0</v>
      </c>
      <c r="AG16" s="491">
        <f>财务基础数据!AL103*目录!$D$6</f>
        <v>0</v>
      </c>
      <c r="AH16" s="491">
        <f>财务基础数据!AM103*目录!$D$6</f>
        <v>0</v>
      </c>
      <c r="AI16" s="491">
        <f>财务基础数据!AN103*目录!$D$6</f>
        <v>0</v>
      </c>
      <c r="AJ16" s="491">
        <f>财务基础数据!AO103*目录!$D$6</f>
        <v>0</v>
      </c>
      <c r="AK16" s="491">
        <f>财务基础数据!AP103*目录!$D$6</f>
        <v>0</v>
      </c>
      <c r="AL16" s="41">
        <f>IF(ISERROR(资产预测!P25),0,资产预测!P25)</f>
        <v>0</v>
      </c>
      <c r="AM16" s="41">
        <f>IF(ISERROR(资产预测!Q25),0,资产预测!Q25)</f>
        <v>0</v>
      </c>
      <c r="AN16" s="41">
        <f>IF(ISERROR(资产预测!R25),0,资产预测!R25)</f>
        <v>0</v>
      </c>
      <c r="AO16" s="41">
        <f>IF(ISERROR(资产预测!S25),0,资产预测!S25)</f>
        <v>0</v>
      </c>
      <c r="AP16" s="41">
        <f>IF(ISERROR(资产预测!T25),0,资产预测!T25)</f>
        <v>0</v>
      </c>
      <c r="AQ16" s="41">
        <f>IF(ISERROR(资产预测!U25),0,资产预测!U25)</f>
        <v>0</v>
      </c>
      <c r="AR16" s="41">
        <f>IF(ISERROR(资产预测!V25),0,资产预测!V25)</f>
        <v>0</v>
      </c>
      <c r="AS16" s="41">
        <f>IF(ISERROR(资产预测!W25),0,资产预测!W25)</f>
        <v>0</v>
      </c>
      <c r="AT16" s="41">
        <f>IF(ISERROR(资产预测!X25),0,资产预测!X25)</f>
        <v>0</v>
      </c>
      <c r="AU16" s="41">
        <f>IF(ISERROR(资产预测!Y25),0,资产预测!Y25)</f>
        <v>0</v>
      </c>
      <c r="AW16" s="4"/>
    </row>
    <row r="17" spans="1:49" ht="13.75">
      <c r="B17" s="330" t="s">
        <v>860</v>
      </c>
      <c r="E17" s="40">
        <f>财务基础数据!J229*目录!$D$6</f>
        <v>0</v>
      </c>
      <c r="F17" s="40">
        <f>财务基础数据!K229*目录!$D$6</f>
        <v>0</v>
      </c>
      <c r="G17" s="40">
        <f>财务基础数据!L229*目录!$D$6</f>
        <v>0</v>
      </c>
      <c r="H17" s="40">
        <f>财务基础数据!M229*目录!$D$6</f>
        <v>0</v>
      </c>
      <c r="I17" s="40">
        <f>财务基础数据!N229*目录!$D$6</f>
        <v>0</v>
      </c>
      <c r="J17" s="40">
        <f>财务基础数据!O229*目录!$D$6</f>
        <v>0</v>
      </c>
      <c r="K17" s="40">
        <f>财务基础数据!P229*目录!$D$6</f>
        <v>0</v>
      </c>
      <c r="L17" s="40">
        <f>财务基础数据!Q229*目录!$D$6</f>
        <v>0</v>
      </c>
      <c r="M17" s="40">
        <f>财务基础数据!R229*目录!$D$6</f>
        <v>0</v>
      </c>
      <c r="N17" s="40">
        <f>财务基础数据!S229*目录!$D$6</f>
        <v>0</v>
      </c>
      <c r="O17" s="40">
        <f>财务基础数据!T229*目录!$D$6</f>
        <v>0</v>
      </c>
      <c r="P17" s="40">
        <f>财务基础数据!U229*目录!$D$6</f>
        <v>0</v>
      </c>
      <c r="Q17" s="40">
        <f>财务基础数据!V229*目录!$D$6</f>
        <v>0</v>
      </c>
      <c r="R17" s="40">
        <f>财务基础数据!W229*目录!$D$6</f>
        <v>0</v>
      </c>
      <c r="S17" s="40">
        <f>财务基础数据!X229*目录!$D$6</f>
        <v>0</v>
      </c>
      <c r="T17" s="40">
        <f>财务基础数据!Y229*目录!$D$6</f>
        <v>0</v>
      </c>
      <c r="U17" s="40">
        <f>财务基础数据!Z229*目录!$D$6</f>
        <v>0</v>
      </c>
      <c r="V17" s="40">
        <f>财务基础数据!AA229*目录!$D$6</f>
        <v>0</v>
      </c>
      <c r="W17" s="40">
        <f>财务基础数据!AB229*目录!$D$6</f>
        <v>0</v>
      </c>
      <c r="X17" s="40">
        <f>财务基础数据!AC229*目录!$D$6</f>
        <v>0</v>
      </c>
      <c r="Y17" s="40">
        <f>财务基础数据!AD229*目录!$D$6</f>
        <v>0</v>
      </c>
      <c r="Z17" s="40">
        <f>财务基础数据!AE229*目录!$D$6</f>
        <v>0</v>
      </c>
      <c r="AA17" s="40">
        <f>财务基础数据!AF229*目录!$D$6</f>
        <v>0</v>
      </c>
      <c r="AB17" s="40">
        <f>财务基础数据!AG229*目录!$D$6</f>
        <v>0</v>
      </c>
      <c r="AC17" s="491">
        <f>财务基础数据!AH229*目录!$D$6</f>
        <v>0</v>
      </c>
      <c r="AD17" s="491">
        <f>财务基础数据!AI229*目录!$D$6</f>
        <v>0</v>
      </c>
      <c r="AE17" s="491">
        <f>财务基础数据!AJ229*目录!$D$6</f>
        <v>0</v>
      </c>
      <c r="AF17" s="491">
        <f>财务基础数据!AK229*目录!$D$6</f>
        <v>0</v>
      </c>
      <c r="AG17" s="491">
        <f>财务基础数据!AL229*目录!$D$6</f>
        <v>0</v>
      </c>
      <c r="AH17" s="491">
        <f>财务基础数据!AM229*目录!$D$6</f>
        <v>0</v>
      </c>
      <c r="AI17" s="491">
        <f>财务基础数据!AN229*目录!$D$6</f>
        <v>0</v>
      </c>
      <c r="AJ17" s="491">
        <f>财务基础数据!AO229*目录!$D$6</f>
        <v>0</v>
      </c>
      <c r="AK17" s="491">
        <f>财务基础数据!AP229*目录!$D$6</f>
        <v>0</v>
      </c>
      <c r="AL17" s="41">
        <f>IF(ISERROR(资产预测!P29),"—",资产预测!P29)</f>
        <v>0</v>
      </c>
      <c r="AM17" s="41">
        <f>IF(ISERROR(资产预测!Q29),"—",资产预测!Q29)</f>
        <v>0</v>
      </c>
      <c r="AN17" s="41">
        <f>IF(ISERROR(资产预测!R29),"—",资产预测!R29)</f>
        <v>0</v>
      </c>
      <c r="AO17" s="41">
        <f>IF(ISERROR(资产预测!S29),"—",资产预测!S29)</f>
        <v>0</v>
      </c>
      <c r="AP17" s="41">
        <f>IF(ISERROR(资产预测!T29),"—",资产预测!T29)</f>
        <v>0</v>
      </c>
      <c r="AQ17" s="41">
        <f>IF(ISERROR(资产预测!U29),"—",资产预测!U29)</f>
        <v>0</v>
      </c>
      <c r="AR17" s="41">
        <f>IF(ISERROR(资产预测!V29),"—",资产预测!V29)</f>
        <v>0</v>
      </c>
      <c r="AS17" s="41">
        <f>IF(ISERROR(资产预测!W29),"—",资产预测!W29)</f>
        <v>0</v>
      </c>
      <c r="AT17" s="41">
        <f>IF(ISERROR(资产预测!X29),"—",资产预测!X29)</f>
        <v>0</v>
      </c>
      <c r="AU17" s="41">
        <f>IF(ISERROR(资产预测!Y29),"—",资产预测!Y29)</f>
        <v>0</v>
      </c>
      <c r="AW17" s="4"/>
    </row>
    <row r="18" spans="1:49" ht="13.75">
      <c r="A18" s="262"/>
      <c r="B18" s="330" t="s">
        <v>828</v>
      </c>
      <c r="D18" s="23" t="s">
        <v>1258</v>
      </c>
      <c r="E18" s="40">
        <f>(财务基础数据!J225+财务基础数据!J221)*目录!$D$6</f>
        <v>0</v>
      </c>
      <c r="F18" s="40">
        <f>(财务基础数据!K225+财务基础数据!K221)*目录!$D$6</f>
        <v>0</v>
      </c>
      <c r="G18" s="40">
        <f>(财务基础数据!L225+财务基础数据!L221)*目录!$D$6</f>
        <v>0</v>
      </c>
      <c r="H18" s="40">
        <f>(财务基础数据!M225+财务基础数据!M221)*目录!$D$6</f>
        <v>0</v>
      </c>
      <c r="I18" s="40">
        <f>(财务基础数据!N225+财务基础数据!N221)*目录!$D$6</f>
        <v>0</v>
      </c>
      <c r="J18" s="40">
        <f>(财务基础数据!O225+财务基础数据!O221)*目录!$D$6</f>
        <v>0</v>
      </c>
      <c r="K18" s="40">
        <f>(财务基础数据!P225+财务基础数据!P221)*目录!$D$6</f>
        <v>0</v>
      </c>
      <c r="L18" s="40">
        <f>(财务基础数据!Q225+财务基础数据!Q221)*目录!$D$6</f>
        <v>0</v>
      </c>
      <c r="M18" s="40">
        <f>(财务基础数据!R225+财务基础数据!R221)*目录!$D$6</f>
        <v>0</v>
      </c>
      <c r="N18" s="40">
        <f>(财务基础数据!S225+财务基础数据!S221)*目录!$D$6</f>
        <v>0</v>
      </c>
      <c r="O18" s="40">
        <f>(财务基础数据!T225+财务基础数据!T221)*目录!$D$6</f>
        <v>0</v>
      </c>
      <c r="P18" s="40">
        <f>(财务基础数据!U225+财务基础数据!U221)*目录!$D$6</f>
        <v>0</v>
      </c>
      <c r="Q18" s="40">
        <f>(财务基础数据!V225+财务基础数据!V221)*目录!$D$6</f>
        <v>0</v>
      </c>
      <c r="R18" s="40">
        <f>(财务基础数据!W225+财务基础数据!W221)*目录!$D$6</f>
        <v>0</v>
      </c>
      <c r="S18" s="40">
        <f>(财务基础数据!X225+财务基础数据!X221)*目录!$D$6</f>
        <v>0</v>
      </c>
      <c r="T18" s="40">
        <f>(财务基础数据!Y225+财务基础数据!Y221)*目录!$D$6</f>
        <v>0</v>
      </c>
      <c r="U18" s="40">
        <f>(财务基础数据!Z225+财务基础数据!Z221)*目录!$D$6</f>
        <v>0</v>
      </c>
      <c r="V18" s="40">
        <f>(财务基础数据!AA225+财务基础数据!AA221)*目录!$D$6</f>
        <v>0</v>
      </c>
      <c r="W18" s="40">
        <f>(财务基础数据!AB225+财务基础数据!AB221)*目录!$D$6</f>
        <v>0</v>
      </c>
      <c r="X18" s="40">
        <f>(财务基础数据!AC225+财务基础数据!AC221)*目录!$D$6</f>
        <v>0</v>
      </c>
      <c r="Y18" s="40">
        <f>(财务基础数据!AD225+财务基础数据!AD221)*目录!$D$6</f>
        <v>0</v>
      </c>
      <c r="Z18" s="40">
        <f>(财务基础数据!AE225+财务基础数据!AE221)*目录!$D$6</f>
        <v>0</v>
      </c>
      <c r="AA18" s="40">
        <f>(财务基础数据!AF225+财务基础数据!AF221)*目录!$D$6</f>
        <v>0</v>
      </c>
      <c r="AB18" s="491">
        <f>(财务基础数据!AG225+财务基础数据!AG221)*目录!$D$6</f>
        <v>0</v>
      </c>
      <c r="AC18" s="491">
        <f>(财务基础数据!AH225+财务基础数据!AH221)*目录!$D$6</f>
        <v>0</v>
      </c>
      <c r="AD18" s="491">
        <f>(财务基础数据!AI225+财务基础数据!AI221)*目录!$D$6</f>
        <v>0</v>
      </c>
      <c r="AE18" s="491">
        <f>(财务基础数据!AJ225+财务基础数据!AJ221)*目录!$D$6</f>
        <v>0</v>
      </c>
      <c r="AF18" s="491">
        <f>(财务基础数据!AK225+财务基础数据!AK221)*目录!$D$6</f>
        <v>0</v>
      </c>
      <c r="AG18" s="491">
        <f>(财务基础数据!AL225+财务基础数据!AL221)*目录!$D$6</f>
        <v>0</v>
      </c>
      <c r="AH18" s="491">
        <f>(财务基础数据!AM225+财务基础数据!AM221)*目录!$D$6</f>
        <v>0</v>
      </c>
      <c r="AI18" s="491">
        <f>(财务基础数据!AN225+财务基础数据!AN221)*目录!$D$6</f>
        <v>0</v>
      </c>
      <c r="AJ18" s="491">
        <f>(财务基础数据!AO225+财务基础数据!AO221)*目录!$D$6</f>
        <v>0</v>
      </c>
      <c r="AK18" s="491">
        <f>(财务基础数据!AP225+财务基础数据!AP221)*目录!$D$6</f>
        <v>0</v>
      </c>
      <c r="AL18" s="108">
        <f>AG18</f>
        <v>0</v>
      </c>
      <c r="AM18" s="108">
        <f>AL18</f>
        <v>0</v>
      </c>
      <c r="AN18" s="108">
        <f>AM18</f>
        <v>0</v>
      </c>
      <c r="AO18" s="108">
        <f t="shared" ref="AO18:AU18" si="2">AN18</f>
        <v>0</v>
      </c>
      <c r="AP18" s="108">
        <f t="shared" si="2"/>
        <v>0</v>
      </c>
      <c r="AQ18" s="108">
        <f t="shared" si="2"/>
        <v>0</v>
      </c>
      <c r="AR18" s="108">
        <f t="shared" si="2"/>
        <v>0</v>
      </c>
      <c r="AS18" s="108">
        <f t="shared" si="2"/>
        <v>0</v>
      </c>
      <c r="AT18" s="108">
        <f t="shared" si="2"/>
        <v>0</v>
      </c>
      <c r="AU18" s="108">
        <f t="shared" si="2"/>
        <v>0</v>
      </c>
      <c r="AW18" s="4"/>
    </row>
    <row r="19" spans="1:49" ht="13.75">
      <c r="B19" s="330" t="s">
        <v>975</v>
      </c>
      <c r="D19" s="23" t="s">
        <v>1258</v>
      </c>
      <c r="E19" s="41">
        <f>(财务基础数据!J107+财务基础数据!J108)*目录!$D$6</f>
        <v>0</v>
      </c>
      <c r="F19" s="41">
        <f>(财务基础数据!K107+财务基础数据!K108)*目录!$D$6</f>
        <v>0</v>
      </c>
      <c r="G19" s="41">
        <f>(财务基础数据!L107+财务基础数据!L108)*目录!$D$6</f>
        <v>0</v>
      </c>
      <c r="H19" s="41">
        <f>(财务基础数据!M107+财务基础数据!M108)*目录!$D$6</f>
        <v>0</v>
      </c>
      <c r="I19" s="41">
        <f>(财务基础数据!N107+财务基础数据!N108)*目录!$D$6</f>
        <v>0</v>
      </c>
      <c r="J19" s="41">
        <f>(财务基础数据!O107+财务基础数据!O108)*目录!$D$6</f>
        <v>0</v>
      </c>
      <c r="K19" s="41">
        <f>(财务基础数据!P107+财务基础数据!P108)*目录!$D$6</f>
        <v>0</v>
      </c>
      <c r="L19" s="41">
        <f>(财务基础数据!Q107+财务基础数据!Q108)*目录!$D$6</f>
        <v>0</v>
      </c>
      <c r="M19" s="41">
        <f>(财务基础数据!R107+财务基础数据!R108)*目录!$D$6</f>
        <v>0</v>
      </c>
      <c r="N19" s="41">
        <f>(财务基础数据!S107+财务基础数据!S108)*目录!$D$6</f>
        <v>0</v>
      </c>
      <c r="O19" s="41">
        <f>(财务基础数据!T107+财务基础数据!T108)*目录!$D$6</f>
        <v>0</v>
      </c>
      <c r="P19" s="41">
        <f>(财务基础数据!U107+财务基础数据!U108)*目录!$D$6</f>
        <v>0</v>
      </c>
      <c r="Q19" s="41">
        <f>(财务基础数据!V107+财务基础数据!V108)*目录!$D$6</f>
        <v>0</v>
      </c>
      <c r="R19" s="41">
        <f>(财务基础数据!W107+财务基础数据!W108)*目录!$D$6</f>
        <v>0</v>
      </c>
      <c r="S19" s="41">
        <f>(财务基础数据!X107+财务基础数据!X108)*目录!$D$6</f>
        <v>0</v>
      </c>
      <c r="T19" s="41">
        <f>(财务基础数据!Y107+财务基础数据!Y108)*目录!$D$6</f>
        <v>0</v>
      </c>
      <c r="U19" s="41">
        <f>(财务基础数据!Z107+财务基础数据!Z108)*目录!$D$6</f>
        <v>0</v>
      </c>
      <c r="V19" s="41">
        <f>(财务基础数据!AA107+财务基础数据!AA108)*目录!$D$6</f>
        <v>0</v>
      </c>
      <c r="W19" s="41">
        <f>(财务基础数据!AB107+财务基础数据!AB108)*目录!$D$6</f>
        <v>0</v>
      </c>
      <c r="X19" s="41">
        <f>(财务基础数据!AC107+财务基础数据!AC108)*目录!$D$6</f>
        <v>0</v>
      </c>
      <c r="Y19" s="41">
        <f>(财务基础数据!AD107+财务基础数据!AD108)*目录!$D$6</f>
        <v>0</v>
      </c>
      <c r="Z19" s="41">
        <f>(财务基础数据!AE107+财务基础数据!AE108)*目录!$D$6</f>
        <v>0</v>
      </c>
      <c r="AA19" s="41">
        <f>(财务基础数据!AF107+财务基础数据!AF108)*目录!$D$6</f>
        <v>0</v>
      </c>
      <c r="AB19" s="41">
        <f>(财务基础数据!AG107+财务基础数据!AG108)*目录!$D$6</f>
        <v>0</v>
      </c>
      <c r="AC19" s="41">
        <f>(财务基础数据!AH107+财务基础数据!AH108)*目录!$D$6</f>
        <v>0</v>
      </c>
      <c r="AD19" s="41">
        <f>(财务基础数据!AI107+财务基础数据!AI108)*目录!$D$6</f>
        <v>0</v>
      </c>
      <c r="AE19" s="41">
        <f>(财务基础数据!AJ107+财务基础数据!AJ108)*目录!$D$6</f>
        <v>0</v>
      </c>
      <c r="AF19" s="41">
        <f>(财务基础数据!AK107+财务基础数据!AK108)*目录!$D$6</f>
        <v>0</v>
      </c>
      <c r="AG19" s="41">
        <f>(财务基础数据!AL107+财务基础数据!AL108)*目录!$D$6</f>
        <v>0</v>
      </c>
      <c r="AH19" s="489">
        <f>(财务基础数据!AM107+财务基础数据!AM108)*目录!$D$6</f>
        <v>0</v>
      </c>
      <c r="AI19" s="489">
        <f>(财务基础数据!AN107+财务基础数据!AN108)*目录!$D$6</f>
        <v>0</v>
      </c>
      <c r="AJ19" s="489">
        <f>(财务基础数据!AO107+财务基础数据!AO108)*目录!$D$6</f>
        <v>0</v>
      </c>
      <c r="AK19" s="489">
        <f>(财务基础数据!AP107+财务基础数据!AP108)*目录!$D$6</f>
        <v>0</v>
      </c>
      <c r="AL19" s="108">
        <f>AG19</f>
        <v>0</v>
      </c>
      <c r="AM19" s="108">
        <f>AL19</f>
        <v>0</v>
      </c>
      <c r="AN19" s="108">
        <f>AM19</f>
        <v>0</v>
      </c>
      <c r="AO19" s="108">
        <f t="shared" ref="AO19:AU19" si="3">AN19</f>
        <v>0</v>
      </c>
      <c r="AP19" s="108">
        <f t="shared" si="3"/>
        <v>0</v>
      </c>
      <c r="AQ19" s="108">
        <f t="shared" si="3"/>
        <v>0</v>
      </c>
      <c r="AR19" s="108">
        <f t="shared" si="3"/>
        <v>0</v>
      </c>
      <c r="AS19" s="108">
        <f t="shared" si="3"/>
        <v>0</v>
      </c>
      <c r="AT19" s="108">
        <f t="shared" si="3"/>
        <v>0</v>
      </c>
      <c r="AU19" s="108">
        <f t="shared" si="3"/>
        <v>0</v>
      </c>
      <c r="AW19" s="4"/>
    </row>
    <row r="20" spans="1:49" ht="13.75">
      <c r="A20" s="262"/>
      <c r="B20" s="661" t="s">
        <v>687</v>
      </c>
      <c r="C20" s="44"/>
      <c r="D20" s="281"/>
      <c r="E20" s="45">
        <f>财务基础数据!J109*目录!$D$6</f>
        <v>0</v>
      </c>
      <c r="F20" s="45">
        <f>财务基础数据!K109*目录!$D$6</f>
        <v>0</v>
      </c>
      <c r="G20" s="45">
        <f>财务基础数据!L109*目录!$D$6</f>
        <v>0</v>
      </c>
      <c r="H20" s="45">
        <f>财务基础数据!M109*目录!$D$6</f>
        <v>0</v>
      </c>
      <c r="I20" s="45">
        <f>财务基础数据!N109*目录!$D$6</f>
        <v>0</v>
      </c>
      <c r="J20" s="45">
        <f>财务基础数据!O109*目录!$D$6</f>
        <v>0</v>
      </c>
      <c r="K20" s="45">
        <f>财务基础数据!P109*目录!$D$6</f>
        <v>0</v>
      </c>
      <c r="L20" s="45">
        <f>财务基础数据!Q109*目录!$D$6</f>
        <v>0</v>
      </c>
      <c r="M20" s="45">
        <f>财务基础数据!R109*目录!$D$6</f>
        <v>0</v>
      </c>
      <c r="N20" s="45">
        <f>财务基础数据!S109*目录!$D$6</f>
        <v>0</v>
      </c>
      <c r="O20" s="45">
        <f>财务基础数据!T109*目录!$D$6</f>
        <v>0</v>
      </c>
      <c r="P20" s="45">
        <f>财务基础数据!U109*目录!$D$6</f>
        <v>0</v>
      </c>
      <c r="Q20" s="45">
        <f>财务基础数据!V109*目录!$D$6</f>
        <v>0</v>
      </c>
      <c r="R20" s="45">
        <f>财务基础数据!W109*目录!$D$6</f>
        <v>0</v>
      </c>
      <c r="S20" s="45">
        <f>财务基础数据!X109*目录!$D$6</f>
        <v>0</v>
      </c>
      <c r="T20" s="45">
        <f>财务基础数据!Y109*目录!$D$6</f>
        <v>0</v>
      </c>
      <c r="U20" s="45">
        <f>财务基础数据!Z109*目录!$D$6</f>
        <v>0</v>
      </c>
      <c r="V20" s="45">
        <f>财务基础数据!AA109*目录!$D$6</f>
        <v>0</v>
      </c>
      <c r="W20" s="45">
        <f>财务基础数据!AB109*目录!$D$6</f>
        <v>0</v>
      </c>
      <c r="X20" s="45">
        <f>财务基础数据!AC109*目录!$D$6</f>
        <v>0</v>
      </c>
      <c r="Y20" s="45">
        <f>财务基础数据!AD109*目录!$D$6</f>
        <v>0</v>
      </c>
      <c r="Z20" s="45">
        <f>财务基础数据!AE109*目录!$D$6</f>
        <v>0</v>
      </c>
      <c r="AA20" s="45">
        <f>财务基础数据!AF109*目录!$D$6</f>
        <v>0</v>
      </c>
      <c r="AB20" s="45">
        <f>财务基础数据!AG109*目录!$D$6</f>
        <v>0</v>
      </c>
      <c r="AC20" s="45">
        <f>财务基础数据!AH109*目录!$D$6</f>
        <v>0</v>
      </c>
      <c r="AD20" s="45">
        <f>财务基础数据!AI109*目录!$D$6</f>
        <v>0</v>
      </c>
      <c r="AE20" s="45">
        <f>财务基础数据!AJ109*目录!$D$6</f>
        <v>0</v>
      </c>
      <c r="AF20" s="45">
        <f>财务基础数据!AK109*目录!$D$6</f>
        <v>0</v>
      </c>
      <c r="AG20" s="45">
        <f>财务基础数据!AL109*目录!$D$6</f>
        <v>0</v>
      </c>
      <c r="AH20" s="615">
        <f>财务基础数据!AM109*目录!$D$6</f>
        <v>0</v>
      </c>
      <c r="AI20" s="615">
        <f>财务基础数据!AN109*目录!$D$6</f>
        <v>0</v>
      </c>
      <c r="AJ20" s="615">
        <f>财务基础数据!AO109*目录!$D$6</f>
        <v>0</v>
      </c>
      <c r="AK20" s="615">
        <f>财务基础数据!AP109*目录!$D$6</f>
        <v>0</v>
      </c>
      <c r="AL20" s="45">
        <f>IF(ISERROR(资产预测!P76),"0",资产预测!P76)</f>
        <v>0</v>
      </c>
      <c r="AM20" s="45">
        <f>IF(ISERROR(资产预测!Q76),"0",资产预测!Q76)</f>
        <v>0</v>
      </c>
      <c r="AN20" s="45">
        <f>IF(ISERROR(资产预测!R76),"0",资产预测!R76)</f>
        <v>0</v>
      </c>
      <c r="AO20" s="45">
        <f>IF(ISERROR(资产预测!S76),"0",资产预测!S76)</f>
        <v>0</v>
      </c>
      <c r="AP20" s="45">
        <f>IF(ISERROR(资产预测!T76),"0",资产预测!T76)</f>
        <v>0</v>
      </c>
      <c r="AQ20" s="45">
        <f>IF(ISERROR(资产预测!U76),"0",资产预测!U76)</f>
        <v>0</v>
      </c>
      <c r="AR20" s="45">
        <f>IF(ISERROR(资产预测!V76),"0",资产预测!V76)</f>
        <v>0</v>
      </c>
      <c r="AS20" s="45">
        <f>IF(ISERROR(资产预测!W76),"0",资产预测!W76)</f>
        <v>0</v>
      </c>
      <c r="AT20" s="45">
        <f>IF(ISERROR(资产预测!X76),"0",资产预测!X76)</f>
        <v>0</v>
      </c>
      <c r="AU20" s="45">
        <f>IF(ISERROR(资产预测!Y76),"0",资产预测!Y76)</f>
        <v>0</v>
      </c>
      <c r="AW20" s="5"/>
    </row>
    <row r="21" spans="1:49" ht="14.15">
      <c r="B21" s="273" t="s">
        <v>688</v>
      </c>
      <c r="C21" s="39"/>
      <c r="D21" s="67"/>
      <c r="E21" s="46">
        <f>SUM(E8:E20)</f>
        <v>0</v>
      </c>
      <c r="F21" s="46">
        <f t="shared" ref="F21:AU21" si="4">SUM(F8:F20)</f>
        <v>0</v>
      </c>
      <c r="G21" s="46">
        <f t="shared" si="4"/>
        <v>0</v>
      </c>
      <c r="H21" s="46">
        <f t="shared" si="4"/>
        <v>0</v>
      </c>
      <c r="I21" s="46">
        <f t="shared" si="4"/>
        <v>0</v>
      </c>
      <c r="J21" s="46">
        <f t="shared" si="4"/>
        <v>0</v>
      </c>
      <c r="K21" s="46">
        <f t="shared" si="4"/>
        <v>0</v>
      </c>
      <c r="L21" s="46">
        <f t="shared" si="4"/>
        <v>0</v>
      </c>
      <c r="M21" s="46">
        <f t="shared" si="4"/>
        <v>0</v>
      </c>
      <c r="N21" s="46">
        <f t="shared" si="4"/>
        <v>0</v>
      </c>
      <c r="O21" s="46">
        <f t="shared" si="4"/>
        <v>0</v>
      </c>
      <c r="P21" s="46">
        <f t="shared" si="4"/>
        <v>0</v>
      </c>
      <c r="Q21" s="46">
        <f t="shared" si="4"/>
        <v>0</v>
      </c>
      <c r="R21" s="46">
        <f t="shared" si="4"/>
        <v>0</v>
      </c>
      <c r="S21" s="46">
        <f t="shared" si="4"/>
        <v>0</v>
      </c>
      <c r="T21" s="46">
        <f t="shared" si="4"/>
        <v>0</v>
      </c>
      <c r="U21" s="46">
        <f t="shared" si="4"/>
        <v>0</v>
      </c>
      <c r="V21" s="46">
        <f t="shared" si="4"/>
        <v>0</v>
      </c>
      <c r="W21" s="46">
        <f t="shared" si="4"/>
        <v>0</v>
      </c>
      <c r="X21" s="46">
        <f t="shared" si="4"/>
        <v>0</v>
      </c>
      <c r="Y21" s="46">
        <f t="shared" si="4"/>
        <v>0</v>
      </c>
      <c r="Z21" s="46">
        <f t="shared" si="4"/>
        <v>0</v>
      </c>
      <c r="AA21" s="46">
        <f t="shared" si="4"/>
        <v>0</v>
      </c>
      <c r="AB21" s="46">
        <f t="shared" si="4"/>
        <v>0</v>
      </c>
      <c r="AC21" s="46">
        <f t="shared" si="4"/>
        <v>0</v>
      </c>
      <c r="AD21" s="46">
        <f t="shared" si="4"/>
        <v>0</v>
      </c>
      <c r="AE21" s="46">
        <f t="shared" si="4"/>
        <v>0</v>
      </c>
      <c r="AF21" s="46">
        <f t="shared" si="4"/>
        <v>0</v>
      </c>
      <c r="AG21" s="46">
        <f t="shared" si="4"/>
        <v>0</v>
      </c>
      <c r="AH21" s="493">
        <f t="shared" si="4"/>
        <v>0</v>
      </c>
      <c r="AI21" s="493">
        <f t="shared" si="4"/>
        <v>0</v>
      </c>
      <c r="AJ21" s="493">
        <f t="shared" si="4"/>
        <v>0</v>
      </c>
      <c r="AK21" s="493">
        <f t="shared" si="4"/>
        <v>0</v>
      </c>
      <c r="AL21" s="493">
        <f t="shared" si="4"/>
        <v>0</v>
      </c>
      <c r="AM21" s="493">
        <f t="shared" si="4"/>
        <v>0</v>
      </c>
      <c r="AN21" s="493">
        <f t="shared" si="4"/>
        <v>0</v>
      </c>
      <c r="AO21" s="493">
        <f t="shared" si="4"/>
        <v>0</v>
      </c>
      <c r="AP21" s="493">
        <f t="shared" si="4"/>
        <v>0</v>
      </c>
      <c r="AQ21" s="493">
        <f t="shared" si="4"/>
        <v>0</v>
      </c>
      <c r="AR21" s="493">
        <f t="shared" si="4"/>
        <v>0</v>
      </c>
      <c r="AS21" s="493">
        <f t="shared" si="4"/>
        <v>0</v>
      </c>
      <c r="AT21" s="493">
        <f t="shared" si="4"/>
        <v>0</v>
      </c>
      <c r="AU21" s="493">
        <f t="shared" si="4"/>
        <v>0</v>
      </c>
      <c r="AW21" s="5"/>
    </row>
    <row r="22" spans="1:49" s="604" customFormat="1" ht="13.75">
      <c r="A22" s="600"/>
      <c r="B22" s="593" t="s">
        <v>1102</v>
      </c>
      <c r="C22" s="600"/>
      <c r="D22" s="601"/>
      <c r="E22" s="602">
        <f>财务基础数据!J110*目录!$D$6-E21</f>
        <v>0</v>
      </c>
      <c r="F22" s="602">
        <f>财务基础数据!K110*目录!$D$6-F21</f>
        <v>0</v>
      </c>
      <c r="G22" s="602">
        <f>财务基础数据!L110*目录!$D$6-G21</f>
        <v>0</v>
      </c>
      <c r="H22" s="602">
        <f>财务基础数据!M110*目录!$D$6-H21</f>
        <v>0</v>
      </c>
      <c r="I22" s="602">
        <f>财务基础数据!N110*目录!$D$6-I21</f>
        <v>0</v>
      </c>
      <c r="J22" s="602">
        <f>财务基础数据!O110*目录!$D$6-J21</f>
        <v>0</v>
      </c>
      <c r="K22" s="602">
        <f>财务基础数据!P110*目录!$D$6-K21</f>
        <v>0</v>
      </c>
      <c r="L22" s="602">
        <f>财务基础数据!Q110*目录!$D$6-L21</f>
        <v>0</v>
      </c>
      <c r="M22" s="602">
        <f>财务基础数据!R110*目录!$D$6-M21</f>
        <v>0</v>
      </c>
      <c r="N22" s="602">
        <f>财务基础数据!S110*目录!$D$6-N21</f>
        <v>0</v>
      </c>
      <c r="O22" s="602">
        <f>财务基础数据!T110*目录!$D$6-O21</f>
        <v>0</v>
      </c>
      <c r="P22" s="602">
        <f>财务基础数据!U110*目录!$D$6-P21</f>
        <v>0</v>
      </c>
      <c r="Q22" s="602">
        <f>财务基础数据!V110*目录!$D$6-Q21</f>
        <v>0</v>
      </c>
      <c r="R22" s="602">
        <f>财务基础数据!W110*目录!$D$6-R21</f>
        <v>0</v>
      </c>
      <c r="S22" s="602">
        <f>财务基础数据!X110*目录!$D$6-S21</f>
        <v>0</v>
      </c>
      <c r="T22" s="602">
        <f>财务基础数据!Y110*目录!$D$6-T21</f>
        <v>0</v>
      </c>
      <c r="U22" s="602">
        <f>财务基础数据!Z110*目录!$D$6-U21</f>
        <v>0</v>
      </c>
      <c r="V22" s="602">
        <f>财务基础数据!AA110*目录!$D$6-V21</f>
        <v>0</v>
      </c>
      <c r="W22" s="602">
        <f>财务基础数据!AB110*目录!$D$6-W21</f>
        <v>0</v>
      </c>
      <c r="X22" s="602">
        <f>财务基础数据!AC110*目录!$D$6-X21</f>
        <v>0</v>
      </c>
      <c r="Y22" s="602">
        <f>财务基础数据!AD110*目录!$D$6-Y21</f>
        <v>0</v>
      </c>
      <c r="Z22" s="602">
        <f>财务基础数据!AE110*目录!$D$6-Z21</f>
        <v>0</v>
      </c>
      <c r="AA22" s="602">
        <f>财务基础数据!AF110*目录!$D$6-AA21</f>
        <v>0</v>
      </c>
      <c r="AB22" s="602">
        <f>财务基础数据!AG110*目录!$D$6-AB21</f>
        <v>0</v>
      </c>
      <c r="AC22" s="602">
        <f>财务基础数据!AH110*目录!$D$6-AC21</f>
        <v>0</v>
      </c>
      <c r="AD22" s="602">
        <f>财务基础数据!AI110*目录!$D$6-AD21</f>
        <v>0</v>
      </c>
      <c r="AE22" s="602">
        <f>财务基础数据!AJ110*目录!$D$6-AE21</f>
        <v>0</v>
      </c>
      <c r="AF22" s="602">
        <f>财务基础数据!AK110*目录!$D$6-AF21</f>
        <v>0</v>
      </c>
      <c r="AG22" s="602">
        <f>财务基础数据!AL110*目录!$D$6-AG21</f>
        <v>0</v>
      </c>
      <c r="AH22" s="614">
        <f>财务基础数据!AM110*目录!$D$6-AH21</f>
        <v>0</v>
      </c>
      <c r="AI22" s="614">
        <f>财务基础数据!AN110*目录!$D$6-AI21</f>
        <v>0</v>
      </c>
      <c r="AJ22" s="614">
        <f>财务基础数据!AO110*目录!$D$6-AJ21</f>
        <v>0</v>
      </c>
      <c r="AK22" s="614">
        <f>财务基础数据!AP110*目录!$D$6-AK21</f>
        <v>0</v>
      </c>
      <c r="AL22" s="603"/>
      <c r="AM22" s="603"/>
      <c r="AN22" s="603"/>
      <c r="AO22" s="603"/>
      <c r="AP22" s="603"/>
      <c r="AQ22" s="603"/>
      <c r="AR22" s="603"/>
      <c r="AS22" s="603"/>
      <c r="AT22" s="603"/>
      <c r="AU22" s="603"/>
    </row>
    <row r="23" spans="1:49" ht="13.75">
      <c r="B23" s="59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616"/>
      <c r="AI23" s="616"/>
      <c r="AJ23" s="616"/>
      <c r="AK23" s="616"/>
      <c r="AL23" s="41"/>
      <c r="AM23" s="41"/>
      <c r="AN23" s="41"/>
      <c r="AO23" s="41"/>
      <c r="AP23" s="41"/>
      <c r="AQ23" s="41"/>
      <c r="AR23" s="41"/>
      <c r="AS23" s="41"/>
      <c r="AT23" s="41"/>
      <c r="AU23" s="41"/>
    </row>
    <row r="24" spans="1:49" ht="13.75">
      <c r="B24" s="342" t="s">
        <v>872</v>
      </c>
      <c r="E24" s="491">
        <f>财务基础数据!J242*目录!$D$6</f>
        <v>0</v>
      </c>
      <c r="F24" s="491">
        <f>财务基础数据!K242*目录!$D$6</f>
        <v>0</v>
      </c>
      <c r="G24" s="491">
        <f>财务基础数据!L242*目录!$D$6</f>
        <v>0</v>
      </c>
      <c r="H24" s="491">
        <f>财务基础数据!M242*目录!$D$6</f>
        <v>0</v>
      </c>
      <c r="I24" s="491">
        <f>财务基础数据!N242*目录!$D$6</f>
        <v>0</v>
      </c>
      <c r="J24" s="491">
        <f>财务基础数据!O242*目录!$D$6</f>
        <v>0</v>
      </c>
      <c r="K24" s="491">
        <f>财务基础数据!P242*目录!$D$6</f>
        <v>0</v>
      </c>
      <c r="L24" s="491">
        <f>财务基础数据!Q242*目录!$D$6</f>
        <v>0</v>
      </c>
      <c r="M24" s="491">
        <f>财务基础数据!R242*目录!$D$6</f>
        <v>0</v>
      </c>
      <c r="N24" s="491">
        <f>财务基础数据!S242*目录!$D$6</f>
        <v>0</v>
      </c>
      <c r="O24" s="491">
        <f>财务基础数据!T242*目录!$D$6</f>
        <v>0</v>
      </c>
      <c r="P24" s="491">
        <f>财务基础数据!U242*目录!$D$6</f>
        <v>0</v>
      </c>
      <c r="Q24" s="491">
        <f>财务基础数据!V242*目录!$D$6</f>
        <v>0</v>
      </c>
      <c r="R24" s="491">
        <f>财务基础数据!W242*目录!$D$6</f>
        <v>0</v>
      </c>
      <c r="S24" s="491">
        <f>财务基础数据!X242*目录!$D$6</f>
        <v>0</v>
      </c>
      <c r="T24" s="491">
        <f>财务基础数据!Y242*目录!$D$6</f>
        <v>0</v>
      </c>
      <c r="U24" s="491">
        <f>财务基础数据!Z242*目录!$D$6</f>
        <v>0</v>
      </c>
      <c r="V24" s="491">
        <f>财务基础数据!AA242*目录!$D$6</f>
        <v>0</v>
      </c>
      <c r="W24" s="491">
        <f>财务基础数据!AB242*目录!$D$6</f>
        <v>0</v>
      </c>
      <c r="X24" s="491">
        <f>财务基础数据!AC242*目录!$D$6</f>
        <v>0</v>
      </c>
      <c r="Y24" s="491">
        <f>财务基础数据!AD242*目录!$D$6</f>
        <v>0</v>
      </c>
      <c r="Z24" s="491">
        <f>财务基础数据!AE242*目录!$D$6</f>
        <v>0</v>
      </c>
      <c r="AA24" s="491">
        <f>财务基础数据!AF242*目录!$D$6</f>
        <v>0</v>
      </c>
      <c r="AB24" s="491">
        <f>财务基础数据!AG242*目录!$D$6</f>
        <v>0</v>
      </c>
      <c r="AC24" s="491">
        <f>财务基础数据!AH242*目录!$D$6</f>
        <v>0</v>
      </c>
      <c r="AD24" s="491">
        <f>财务基础数据!AI242*目录!$D$6</f>
        <v>0</v>
      </c>
      <c r="AE24" s="491">
        <f>财务基础数据!AJ242*目录!$D$6</f>
        <v>0</v>
      </c>
      <c r="AF24" s="491">
        <f>财务基础数据!AK242*目录!$D$6</f>
        <v>0</v>
      </c>
      <c r="AG24" s="491">
        <f>财务基础数据!AL242*目录!$D$6</f>
        <v>0</v>
      </c>
      <c r="AH24" s="491">
        <f>财务基础数据!AM242*目录!$D$6</f>
        <v>0</v>
      </c>
      <c r="AI24" s="491">
        <f>财务基础数据!AN242*目录!$D$6</f>
        <v>0</v>
      </c>
      <c r="AJ24" s="491">
        <f>财务基础数据!AO242*目录!$D$6</f>
        <v>0</v>
      </c>
      <c r="AK24" s="491">
        <f>财务基础数据!AP242*目录!$D$6</f>
        <v>0</v>
      </c>
      <c r="AL24" s="40">
        <f>IF(ISERROR(AG24+资产预测!P97-资产预测!P272),"—",AG24+资产预测!P97-资产预测!P272)</f>
        <v>0</v>
      </c>
      <c r="AM24" s="40">
        <f>IF(ISERROR(AL24+资产预测!Q97-资产预测!Q272),"—",AL24+资产预测!Q97-资产预测!Q272)</f>
        <v>0</v>
      </c>
      <c r="AN24" s="40">
        <f>IF(ISERROR(AM24+资产预测!R97-资产预测!R272),"—",AM24+资产预测!R97-资产预测!R272)</f>
        <v>0</v>
      </c>
      <c r="AO24" s="40">
        <f>IF(ISERROR(AN24+资产预测!S97-资产预测!S272),"—",AN24+资产预测!S97-资产预测!S272)</f>
        <v>0</v>
      </c>
      <c r="AP24" s="40">
        <f>IF(ISERROR(AO24+资产预测!T97-资产预测!T272),"—",AO24+资产预测!T97-资产预测!T272)</f>
        <v>0</v>
      </c>
      <c r="AQ24" s="40">
        <f>IF(ISERROR(AP24+资产预测!U97-资产预测!U272),"—",AP24+资产预测!U97-资产预测!U272)</f>
        <v>0</v>
      </c>
      <c r="AR24" s="40">
        <f>IF(ISERROR(AQ24+资产预测!V97-资产预测!V272),"—",AQ24+资产预测!V97-资产预测!V272)</f>
        <v>0</v>
      </c>
      <c r="AS24" s="40">
        <f>IF(ISERROR(AR24+资产预测!W97-资产预测!W272),"—",AR24+资产预测!W97-资产预测!W272)</f>
        <v>0</v>
      </c>
      <c r="AT24" s="40">
        <f>IF(ISERROR(AS24+资产预测!X97-资产预测!X272),"—",AS24+资产预测!X97-资产预测!X272)</f>
        <v>0</v>
      </c>
      <c r="AU24" s="40">
        <f>IF(ISERROR(AT24+资产预测!Y97-资产预测!Y272),"—",AT24+资产预测!Y97-资产预测!Y272)</f>
        <v>0</v>
      </c>
    </row>
    <row r="25" spans="1:49" ht="13.75">
      <c r="B25" s="20" t="s">
        <v>873</v>
      </c>
      <c r="D25" s="23" t="s">
        <v>1258</v>
      </c>
      <c r="E25" s="491">
        <f>财务基础数据!J243*目录!$D$6</f>
        <v>0</v>
      </c>
      <c r="F25" s="491">
        <f>财务基础数据!K243*目录!$D$6</f>
        <v>0</v>
      </c>
      <c r="G25" s="491">
        <f>财务基础数据!L243*目录!$D$6</f>
        <v>0</v>
      </c>
      <c r="H25" s="491">
        <f>财务基础数据!M243*目录!$D$6</f>
        <v>0</v>
      </c>
      <c r="I25" s="491">
        <f>财务基础数据!N243*目录!$D$6</f>
        <v>0</v>
      </c>
      <c r="J25" s="491">
        <f>财务基础数据!O243*目录!$D$6</f>
        <v>0</v>
      </c>
      <c r="K25" s="491">
        <f>财务基础数据!P243*目录!$D$6</f>
        <v>0</v>
      </c>
      <c r="L25" s="491">
        <f>财务基础数据!Q243*目录!$D$6</f>
        <v>0</v>
      </c>
      <c r="M25" s="491">
        <f>财务基础数据!R243*目录!$D$6</f>
        <v>0</v>
      </c>
      <c r="N25" s="491">
        <f>财务基础数据!S243*目录!$D$6</f>
        <v>0</v>
      </c>
      <c r="O25" s="491">
        <f>财务基础数据!T243*目录!$D$6</f>
        <v>0</v>
      </c>
      <c r="P25" s="491">
        <f>财务基础数据!U243*目录!$D$6</f>
        <v>0</v>
      </c>
      <c r="Q25" s="491">
        <f>财务基础数据!V243*目录!$D$6</f>
        <v>0</v>
      </c>
      <c r="R25" s="491">
        <f>财务基础数据!W243*目录!$D$6</f>
        <v>0</v>
      </c>
      <c r="S25" s="491">
        <f>财务基础数据!X243*目录!$D$6</f>
        <v>0</v>
      </c>
      <c r="T25" s="491">
        <f>财务基础数据!Y243*目录!$D$6</f>
        <v>0</v>
      </c>
      <c r="U25" s="491">
        <f>财务基础数据!Z243*目录!$D$6</f>
        <v>0</v>
      </c>
      <c r="V25" s="491">
        <f>财务基础数据!AA243*目录!$D$6</f>
        <v>0</v>
      </c>
      <c r="W25" s="491">
        <f>财务基础数据!AB243*目录!$D$6</f>
        <v>0</v>
      </c>
      <c r="X25" s="491">
        <f>财务基础数据!AC243*目录!$D$6</f>
        <v>0</v>
      </c>
      <c r="Y25" s="491">
        <f>财务基础数据!AD243*目录!$D$6</f>
        <v>0</v>
      </c>
      <c r="Z25" s="491">
        <f>财务基础数据!AE243*目录!$D$6</f>
        <v>0</v>
      </c>
      <c r="AA25" s="491">
        <f>财务基础数据!AF243*目录!$D$6</f>
        <v>0</v>
      </c>
      <c r="AB25" s="491">
        <f>财务基础数据!AG243*目录!$D$6</f>
        <v>0</v>
      </c>
      <c r="AC25" s="491">
        <f>财务基础数据!AH243*目录!$D$6</f>
        <v>0</v>
      </c>
      <c r="AD25" s="491">
        <f>财务基础数据!AI243*目录!$D$6</f>
        <v>0</v>
      </c>
      <c r="AE25" s="491">
        <f>财务基础数据!AJ243*目录!$D$6</f>
        <v>0</v>
      </c>
      <c r="AF25" s="491">
        <f>财务基础数据!AK243*目录!$D$6</f>
        <v>0</v>
      </c>
      <c r="AG25" s="491">
        <f>财务基础数据!AL243*目录!$D$6</f>
        <v>0</v>
      </c>
      <c r="AH25" s="491">
        <f>财务基础数据!AM243*目录!$D$6</f>
        <v>0</v>
      </c>
      <c r="AI25" s="491">
        <f>财务基础数据!AN243*目录!$D$6</f>
        <v>0</v>
      </c>
      <c r="AJ25" s="491">
        <f>财务基础数据!AO243*目录!$D$6</f>
        <v>0</v>
      </c>
      <c r="AK25" s="491">
        <f>财务基础数据!AP243*目录!$D$6</f>
        <v>0</v>
      </c>
      <c r="AL25" s="108">
        <f>AG25</f>
        <v>0</v>
      </c>
      <c r="AM25" s="108">
        <f>AL25</f>
        <v>0</v>
      </c>
      <c r="AN25" s="108">
        <f>AM25</f>
        <v>0</v>
      </c>
      <c r="AO25" s="108">
        <f t="shared" ref="AO25:AU25" si="5">AN25</f>
        <v>0</v>
      </c>
      <c r="AP25" s="108">
        <f t="shared" si="5"/>
        <v>0</v>
      </c>
      <c r="AQ25" s="108">
        <f t="shared" si="5"/>
        <v>0</v>
      </c>
      <c r="AR25" s="108">
        <f t="shared" si="5"/>
        <v>0</v>
      </c>
      <c r="AS25" s="108">
        <f t="shared" si="5"/>
        <v>0</v>
      </c>
      <c r="AT25" s="108">
        <f t="shared" si="5"/>
        <v>0</v>
      </c>
      <c r="AU25" s="108">
        <f t="shared" si="5"/>
        <v>0</v>
      </c>
    </row>
    <row r="26" spans="1:49" ht="13.75">
      <c r="B26" s="20" t="s">
        <v>533</v>
      </c>
      <c r="E26" s="40">
        <f>财务基础数据!J117*目录!$D$6</f>
        <v>0</v>
      </c>
      <c r="F26" s="40">
        <f>财务基础数据!K117*目录!$D$6</f>
        <v>0</v>
      </c>
      <c r="G26" s="40">
        <f>财务基础数据!L117*目录!$D$6</f>
        <v>0</v>
      </c>
      <c r="H26" s="40">
        <f>财务基础数据!M117*目录!$D$6</f>
        <v>0</v>
      </c>
      <c r="I26" s="40">
        <f>财务基础数据!N117*目录!$D$6</f>
        <v>0</v>
      </c>
      <c r="J26" s="40">
        <f>财务基础数据!O117*目录!$D$6</f>
        <v>0</v>
      </c>
      <c r="K26" s="40">
        <f>财务基础数据!P117*目录!$D$6</f>
        <v>0</v>
      </c>
      <c r="L26" s="40">
        <f>财务基础数据!Q117*目录!$D$6</f>
        <v>0</v>
      </c>
      <c r="M26" s="40">
        <f>财务基础数据!R117*目录!$D$6</f>
        <v>0</v>
      </c>
      <c r="N26" s="40">
        <f>财务基础数据!S117*目录!$D$6</f>
        <v>0</v>
      </c>
      <c r="O26" s="40">
        <f>财务基础数据!T117*目录!$D$6</f>
        <v>0</v>
      </c>
      <c r="P26" s="40">
        <f>财务基础数据!U117*目录!$D$6</f>
        <v>0</v>
      </c>
      <c r="Q26" s="40">
        <f>财务基础数据!V117*目录!$D$6</f>
        <v>0</v>
      </c>
      <c r="R26" s="40">
        <f>财务基础数据!W117*目录!$D$6</f>
        <v>0</v>
      </c>
      <c r="S26" s="40">
        <f>财务基础数据!X117*目录!$D$6</f>
        <v>0</v>
      </c>
      <c r="T26" s="40">
        <f>财务基础数据!Y117*目录!$D$6</f>
        <v>0</v>
      </c>
      <c r="U26" s="40">
        <f>财务基础数据!Z117*目录!$D$6</f>
        <v>0</v>
      </c>
      <c r="V26" s="40">
        <f>财务基础数据!AA117*目录!$D$6</f>
        <v>0</v>
      </c>
      <c r="W26" s="40">
        <f>财务基础数据!AB117*目录!$D$6</f>
        <v>0</v>
      </c>
      <c r="X26" s="40">
        <f>财务基础数据!AC117*目录!$D$6</f>
        <v>0</v>
      </c>
      <c r="Y26" s="40">
        <f>财务基础数据!AD117*目录!$D$6</f>
        <v>0</v>
      </c>
      <c r="Z26" s="40">
        <f>财务基础数据!AE117*目录!$D$6</f>
        <v>0</v>
      </c>
      <c r="AA26" s="40">
        <f>财务基础数据!AF117*目录!$D$6</f>
        <v>0</v>
      </c>
      <c r="AB26" s="40">
        <f>财务基础数据!AG117*目录!$D$6</f>
        <v>0</v>
      </c>
      <c r="AC26" s="40">
        <f>财务基础数据!AH117*目录!$D$6</f>
        <v>0</v>
      </c>
      <c r="AD26" s="40">
        <f>财务基础数据!AI117*目录!$D$6</f>
        <v>0</v>
      </c>
      <c r="AE26" s="40">
        <f>财务基础数据!AJ117*目录!$D$6</f>
        <v>0</v>
      </c>
      <c r="AF26" s="40">
        <f>财务基础数据!AK117*目录!$D$6</f>
        <v>0</v>
      </c>
      <c r="AG26" s="40">
        <f>财务基础数据!AL117*目录!$D$6</f>
        <v>0</v>
      </c>
      <c r="AH26" s="491">
        <f>财务基础数据!AM117*目录!$D$6</f>
        <v>0</v>
      </c>
      <c r="AI26" s="491">
        <f>财务基础数据!AN117*目录!$D$6</f>
        <v>0</v>
      </c>
      <c r="AJ26" s="491">
        <f>财务基础数据!AO117*目录!$D$6</f>
        <v>0</v>
      </c>
      <c r="AK26" s="491">
        <f>财务基础数据!AP117*目录!$D$6</f>
        <v>0</v>
      </c>
      <c r="AL26" s="41">
        <f>IF(ISERROR(资产预测!P99),"—",资产预测!P99)</f>
        <v>0</v>
      </c>
      <c r="AM26" s="41">
        <f>IF(ISERROR(资产预测!Q99),"—",资产预测!Q99)</f>
        <v>0</v>
      </c>
      <c r="AN26" s="41">
        <f>IF(ISERROR(资产预测!R99),"—",资产预测!R99)</f>
        <v>0</v>
      </c>
      <c r="AO26" s="41">
        <f>IF(ISERROR(资产预测!S99),"—",资产预测!S99)</f>
        <v>0</v>
      </c>
      <c r="AP26" s="41">
        <f>IF(ISERROR(资产预测!T99),"—",资产预测!T99)</f>
        <v>0</v>
      </c>
      <c r="AQ26" s="41">
        <f>IF(ISERROR(资产预测!U99),"—",资产预测!U99)</f>
        <v>0</v>
      </c>
      <c r="AR26" s="41">
        <f>IF(ISERROR(资产预测!V99),"—",资产预测!V99)</f>
        <v>0</v>
      </c>
      <c r="AS26" s="41">
        <f>IF(ISERROR(资产预测!W99),"—",资产预测!W99)</f>
        <v>0</v>
      </c>
      <c r="AT26" s="41">
        <f>IF(ISERROR(资产预测!X99),"—",资产预测!X99)</f>
        <v>0</v>
      </c>
      <c r="AU26" s="41">
        <f>IF(ISERROR(资产预测!Y99),"—",资产预测!Y99)</f>
        <v>0</v>
      </c>
    </row>
    <row r="27" spans="1:49" ht="13.75">
      <c r="B27" s="20" t="s">
        <v>871</v>
      </c>
      <c r="E27" s="40">
        <f>财务基础数据!J120*目录!$D$6</f>
        <v>0</v>
      </c>
      <c r="F27" s="40">
        <f>财务基础数据!K120*目录!$D$6</f>
        <v>0</v>
      </c>
      <c r="G27" s="40">
        <f>财务基础数据!L120*目录!$D$6</f>
        <v>0</v>
      </c>
      <c r="H27" s="40">
        <f>财务基础数据!M120*目录!$D$6</f>
        <v>0</v>
      </c>
      <c r="I27" s="40">
        <f>财务基础数据!N120*目录!$D$6</f>
        <v>0</v>
      </c>
      <c r="J27" s="40">
        <f>财务基础数据!O120*目录!$D$6</f>
        <v>0</v>
      </c>
      <c r="K27" s="40">
        <f>财务基础数据!P120*目录!$D$6</f>
        <v>0</v>
      </c>
      <c r="L27" s="40">
        <f>财务基础数据!Q120*目录!$D$6</f>
        <v>0</v>
      </c>
      <c r="M27" s="40">
        <f>财务基础数据!R120*目录!$D$6</f>
        <v>0</v>
      </c>
      <c r="N27" s="40">
        <f>财务基础数据!S120*目录!$D$6</f>
        <v>0</v>
      </c>
      <c r="O27" s="40">
        <f>财务基础数据!T120*目录!$D$6</f>
        <v>0</v>
      </c>
      <c r="P27" s="40">
        <f>财务基础数据!U120*目录!$D$6</f>
        <v>0</v>
      </c>
      <c r="Q27" s="40">
        <f>财务基础数据!V120*目录!$D$6</f>
        <v>0</v>
      </c>
      <c r="R27" s="40">
        <f>财务基础数据!W120*目录!$D$6</f>
        <v>0</v>
      </c>
      <c r="S27" s="40">
        <f>财务基础数据!X120*目录!$D$6</f>
        <v>0</v>
      </c>
      <c r="T27" s="40">
        <f>财务基础数据!Y120*目录!$D$6</f>
        <v>0</v>
      </c>
      <c r="U27" s="40">
        <f>财务基础数据!Z120*目录!$D$6</f>
        <v>0</v>
      </c>
      <c r="V27" s="40">
        <f>财务基础数据!AA120*目录!$D$6</f>
        <v>0</v>
      </c>
      <c r="W27" s="40">
        <f>财务基础数据!AB120*目录!$D$6</f>
        <v>0</v>
      </c>
      <c r="X27" s="40">
        <f>财务基础数据!AC120*目录!$D$6</f>
        <v>0</v>
      </c>
      <c r="Y27" s="40">
        <f>财务基础数据!AD120*目录!$D$6</f>
        <v>0</v>
      </c>
      <c r="Z27" s="40">
        <f>财务基础数据!AE120*目录!$D$6</f>
        <v>0</v>
      </c>
      <c r="AA27" s="40">
        <f>财务基础数据!AF120*目录!$D$6</f>
        <v>0</v>
      </c>
      <c r="AB27" s="40">
        <f>财务基础数据!AG120*目录!$D$6</f>
        <v>0</v>
      </c>
      <c r="AC27" s="40">
        <f>财务基础数据!AH120*目录!$D$6</f>
        <v>0</v>
      </c>
      <c r="AD27" s="40">
        <f>财务基础数据!AI120*目录!$D$6</f>
        <v>0</v>
      </c>
      <c r="AE27" s="40">
        <f>财务基础数据!AJ120*目录!$D$6</f>
        <v>0</v>
      </c>
      <c r="AF27" s="40">
        <f>财务基础数据!AK120*目录!$D$6</f>
        <v>0</v>
      </c>
      <c r="AG27" s="40">
        <f>财务基础数据!AL120*目录!$D$6</f>
        <v>0</v>
      </c>
      <c r="AH27" s="491">
        <f>财务基础数据!AM120*目录!$D$6</f>
        <v>0</v>
      </c>
      <c r="AI27" s="491">
        <f>财务基础数据!AN120*目录!$D$6</f>
        <v>0</v>
      </c>
      <c r="AJ27" s="491">
        <f>财务基础数据!AO120*目录!$D$6</f>
        <v>0</v>
      </c>
      <c r="AK27" s="491">
        <f>财务基础数据!AP120*目录!$D$6</f>
        <v>0</v>
      </c>
      <c r="AL27" s="40">
        <f>IF(ISERROR(资产预测!P102-资产预测!P275),"—",资产预测!P102-资产预测!P275)</f>
        <v>0</v>
      </c>
      <c r="AM27" s="40">
        <f>IF(ISERROR(资产预测!Q102-资产预测!Q275),"—",资产预测!Q102-资产预测!Q275)</f>
        <v>0</v>
      </c>
      <c r="AN27" s="40">
        <f>IF(ISERROR(资产预测!R102-资产预测!R275),"—",资产预测!R102-资产预测!R275)</f>
        <v>0</v>
      </c>
      <c r="AO27" s="40">
        <f>IF(ISERROR(资产预测!S102-资产预测!S275),"—",资产预测!S102-资产预测!S275)</f>
        <v>0</v>
      </c>
      <c r="AP27" s="40">
        <f>IF(ISERROR(资产预测!T102-资产预测!T275),"—",资产预测!T102-资产预测!T275)</f>
        <v>0</v>
      </c>
      <c r="AQ27" s="40">
        <f>IF(ISERROR(资产预测!U102-资产预测!U275),"—",资产预测!U102-资产预测!U275)</f>
        <v>0</v>
      </c>
      <c r="AR27" s="40">
        <f>IF(ISERROR(资产预测!V102-资产预测!V275),"—",资产预测!V102-资产预测!V275)</f>
        <v>0</v>
      </c>
      <c r="AS27" s="40">
        <f>IF(ISERROR(资产预测!W102-资产预测!W275),"—",资产预测!W102-资产预测!W275)</f>
        <v>0</v>
      </c>
      <c r="AT27" s="40">
        <f>IF(ISERROR(资产预测!X102-资产预测!X275),"—",资产预测!X102-资产预测!X275)</f>
        <v>0</v>
      </c>
      <c r="AU27" s="40">
        <f>IF(ISERROR(资产预测!Y102-资产预测!Y275),"—",资产预测!Y102-资产预测!Y275)</f>
        <v>0</v>
      </c>
    </row>
    <row r="28" spans="1:49" ht="13.75">
      <c r="B28" s="20" t="s">
        <v>968</v>
      </c>
      <c r="E28" s="40">
        <f>财务基础数据!J244*目录!$D$6</f>
        <v>0</v>
      </c>
      <c r="F28" s="40">
        <f>财务基础数据!K244*目录!$D$6</f>
        <v>0</v>
      </c>
      <c r="G28" s="40">
        <f>财务基础数据!L244*目录!$D$6</f>
        <v>0</v>
      </c>
      <c r="H28" s="40">
        <f>财务基础数据!M244*目录!$D$6</f>
        <v>0</v>
      </c>
      <c r="I28" s="40">
        <f>财务基础数据!N244*目录!$D$6</f>
        <v>0</v>
      </c>
      <c r="J28" s="40">
        <f>财务基础数据!O244*目录!$D$6</f>
        <v>0</v>
      </c>
      <c r="K28" s="40">
        <f>财务基础数据!P244*目录!$D$6</f>
        <v>0</v>
      </c>
      <c r="L28" s="40">
        <f>财务基础数据!Q244*目录!$D$6</f>
        <v>0</v>
      </c>
      <c r="M28" s="40">
        <f>财务基础数据!R244*目录!$D$6</f>
        <v>0</v>
      </c>
      <c r="N28" s="40">
        <f>财务基础数据!S244*目录!$D$6</f>
        <v>0</v>
      </c>
      <c r="O28" s="40">
        <f>财务基础数据!T244*目录!$D$6</f>
        <v>0</v>
      </c>
      <c r="P28" s="40">
        <f>财务基础数据!U244*目录!$D$6</f>
        <v>0</v>
      </c>
      <c r="Q28" s="40">
        <f>财务基础数据!V244*目录!$D$6</f>
        <v>0</v>
      </c>
      <c r="R28" s="40">
        <f>财务基础数据!W244*目录!$D$6</f>
        <v>0</v>
      </c>
      <c r="S28" s="40">
        <f>财务基础数据!X244*目录!$D$6</f>
        <v>0</v>
      </c>
      <c r="T28" s="40">
        <f>财务基础数据!Y244*目录!$D$6</f>
        <v>0</v>
      </c>
      <c r="U28" s="40">
        <f>财务基础数据!Z244*目录!$D$6</f>
        <v>0</v>
      </c>
      <c r="V28" s="40">
        <f>财务基础数据!AA244*目录!$D$6</f>
        <v>0</v>
      </c>
      <c r="W28" s="40">
        <f>财务基础数据!AB244*目录!$D$6</f>
        <v>0</v>
      </c>
      <c r="X28" s="40">
        <f>财务基础数据!AC244*目录!$D$6</f>
        <v>0</v>
      </c>
      <c r="Y28" s="40">
        <f>财务基础数据!AD244*目录!$D$6</f>
        <v>0</v>
      </c>
      <c r="Z28" s="40">
        <f>财务基础数据!AE244*目录!$D$6</f>
        <v>0</v>
      </c>
      <c r="AA28" s="40">
        <f>财务基础数据!AF244*目录!$D$6</f>
        <v>0</v>
      </c>
      <c r="AB28" s="40">
        <f>财务基础数据!AG244*目录!$D$6</f>
        <v>0</v>
      </c>
      <c r="AC28" s="40">
        <f>财务基础数据!AH244*目录!$D$6</f>
        <v>0</v>
      </c>
      <c r="AD28" s="40">
        <f>财务基础数据!AI244*目录!$D$6</f>
        <v>0</v>
      </c>
      <c r="AE28" s="40">
        <f>财务基础数据!AJ244*目录!$D$6</f>
        <v>0</v>
      </c>
      <c r="AF28" s="40">
        <f>财务基础数据!AK244*目录!$D$6</f>
        <v>0</v>
      </c>
      <c r="AG28" s="40">
        <f>财务基础数据!AL244*目录!$D$6</f>
        <v>0</v>
      </c>
      <c r="AH28" s="491">
        <f>财务基础数据!AM244*目录!$D$6</f>
        <v>0</v>
      </c>
      <c r="AI28" s="491">
        <f>财务基础数据!AN244*目录!$D$6</f>
        <v>0</v>
      </c>
      <c r="AJ28" s="491">
        <f>财务基础数据!AO244*目录!$D$6</f>
        <v>0</v>
      </c>
      <c r="AK28" s="491">
        <f>财务基础数据!AP244*目录!$D$6</f>
        <v>0</v>
      </c>
      <c r="AL28" s="41">
        <f>IF(ISERROR(AG28+资产预测!P106),"—",AG28+资产预测!P106)</f>
        <v>0</v>
      </c>
      <c r="AM28" s="41">
        <f>IF(ISERROR(AL28+资产预测!Q106),"—",AL28+资产预测!Q106)</f>
        <v>0</v>
      </c>
      <c r="AN28" s="41">
        <f>IF(ISERROR(AM28+资产预测!R106),"—",AM28+资产预测!R106)</f>
        <v>0</v>
      </c>
      <c r="AO28" s="41">
        <f>IF(ISERROR(AN28+资产预测!S106),"—",AN28+资产预测!S106)</f>
        <v>0</v>
      </c>
      <c r="AP28" s="41">
        <f>IF(ISERROR(AO28+资产预测!T106),"—",AO28+资产预测!T106)</f>
        <v>0</v>
      </c>
      <c r="AQ28" s="41">
        <f>IF(ISERROR(AP28+资产预测!U106),"—",AP28+资产预测!U106)</f>
        <v>0</v>
      </c>
      <c r="AR28" s="41">
        <f>IF(ISERROR(AQ28+资产预测!V106),"—",AQ28+资产预测!V106)</f>
        <v>0</v>
      </c>
      <c r="AS28" s="41">
        <f>IF(ISERROR(AR28+资产预测!W106),"—",AR28+资产预测!W106)</f>
        <v>0</v>
      </c>
      <c r="AT28" s="41">
        <f>IF(ISERROR(AS28+资产预测!X106),"—",AS28+资产预测!X106)</f>
        <v>0</v>
      </c>
      <c r="AU28" s="41">
        <f>IF(ISERROR(AT28+资产预测!Y106),"—",AT28+资产预测!Y106)</f>
        <v>0</v>
      </c>
    </row>
    <row r="29" spans="1:49" ht="13.75">
      <c r="B29" s="20" t="s">
        <v>875</v>
      </c>
      <c r="D29" s="23" t="s">
        <v>1258</v>
      </c>
      <c r="E29" s="40">
        <f>(财务基础数据!J227+财务基础数据!J228+财务基础数据!J245)*目录!$D$6</f>
        <v>0</v>
      </c>
      <c r="F29" s="40">
        <f>(财务基础数据!K227+财务基础数据!K228+财务基础数据!K245)*目录!$D$6</f>
        <v>0</v>
      </c>
      <c r="G29" s="40">
        <f>(财务基础数据!L227+财务基础数据!L228+财务基础数据!L245)*目录!$D$6</f>
        <v>0</v>
      </c>
      <c r="H29" s="40">
        <f>(财务基础数据!M227+财务基础数据!M228+财务基础数据!M245)*目录!$D$6</f>
        <v>0</v>
      </c>
      <c r="I29" s="40">
        <f>(财务基础数据!N227+财务基础数据!N228+财务基础数据!N245)*目录!$D$6</f>
        <v>0</v>
      </c>
      <c r="J29" s="40">
        <f>(财务基础数据!O227+财务基础数据!O228+财务基础数据!O245)*目录!$D$6</f>
        <v>0</v>
      </c>
      <c r="K29" s="40">
        <f>(财务基础数据!P227+财务基础数据!P228+财务基础数据!P245)*目录!$D$6</f>
        <v>0</v>
      </c>
      <c r="L29" s="40">
        <f>(财务基础数据!Q227+财务基础数据!Q228+财务基础数据!Q245)*目录!$D$6</f>
        <v>0</v>
      </c>
      <c r="M29" s="40">
        <f>(财务基础数据!R227+财务基础数据!R228+财务基础数据!R245)*目录!$D$6</f>
        <v>0</v>
      </c>
      <c r="N29" s="40">
        <f>(财务基础数据!S227+财务基础数据!S228+财务基础数据!S245)*目录!$D$6</f>
        <v>0</v>
      </c>
      <c r="O29" s="40">
        <f>(财务基础数据!T227+财务基础数据!T228+财务基础数据!T245)*目录!$D$6</f>
        <v>0</v>
      </c>
      <c r="P29" s="40">
        <f>(财务基础数据!U227+财务基础数据!U228+财务基础数据!U245)*目录!$D$6</f>
        <v>0</v>
      </c>
      <c r="Q29" s="40">
        <f>(财务基础数据!V227+财务基础数据!V228+财务基础数据!V245)*目录!$D$6</f>
        <v>0</v>
      </c>
      <c r="R29" s="40">
        <f>(财务基础数据!W227+财务基础数据!W228+财务基础数据!W245)*目录!$D$6</f>
        <v>0</v>
      </c>
      <c r="S29" s="40">
        <f>(财务基础数据!X227+财务基础数据!X228+财务基础数据!X245)*目录!$D$6</f>
        <v>0</v>
      </c>
      <c r="T29" s="40">
        <f>(财务基础数据!Y227+财务基础数据!Y228+财务基础数据!Y245)*目录!$D$6</f>
        <v>0</v>
      </c>
      <c r="U29" s="40">
        <f>(财务基础数据!Z227+财务基础数据!Z228+财务基础数据!Z245)*目录!$D$6</f>
        <v>0</v>
      </c>
      <c r="V29" s="40">
        <f>(财务基础数据!AA227+财务基础数据!AA228+财务基础数据!AA245)*目录!$D$6</f>
        <v>0</v>
      </c>
      <c r="W29" s="40">
        <f>(财务基础数据!AB227+财务基础数据!AB228+财务基础数据!AB245)*目录!$D$6</f>
        <v>0</v>
      </c>
      <c r="X29" s="40">
        <f>(财务基础数据!AC227+财务基础数据!AC228+财务基础数据!AC245)*目录!$D$6</f>
        <v>0</v>
      </c>
      <c r="Y29" s="40">
        <f>(财务基础数据!AD227+财务基础数据!AD228+财务基础数据!AD245)*目录!$D$6</f>
        <v>0</v>
      </c>
      <c r="Z29" s="40">
        <f>(财务基础数据!AE227+财务基础数据!AE228+财务基础数据!AE245)*目录!$D$6</f>
        <v>0</v>
      </c>
      <c r="AA29" s="40">
        <f>(财务基础数据!AF227+财务基础数据!AF228+财务基础数据!AF245)*目录!$D$6</f>
        <v>0</v>
      </c>
      <c r="AB29" s="40">
        <f>(财务基础数据!AG227+财务基础数据!AG228+财务基础数据!AG245)*目录!$D$6</f>
        <v>0</v>
      </c>
      <c r="AC29" s="40">
        <f>(财务基础数据!AH227+财务基础数据!AH228+财务基础数据!AH245)*目录!$D$6</f>
        <v>0</v>
      </c>
      <c r="AD29" s="40">
        <f>(财务基础数据!AI227+财务基础数据!AI228+财务基础数据!AI245)*目录!$D$6</f>
        <v>0</v>
      </c>
      <c r="AE29" s="40">
        <f>(财务基础数据!AJ227+财务基础数据!AJ228+财务基础数据!AJ245)*目录!$D$6</f>
        <v>0</v>
      </c>
      <c r="AF29" s="40">
        <f>(财务基础数据!AK227+财务基础数据!AK228+财务基础数据!AK245)*目录!$D$6</f>
        <v>0</v>
      </c>
      <c r="AG29" s="40">
        <f>(财务基础数据!AL227+财务基础数据!AL228+财务基础数据!AL245)*目录!$D$6</f>
        <v>0</v>
      </c>
      <c r="AH29" s="491">
        <f>(财务基础数据!AM227+财务基础数据!AM228+财务基础数据!AM245)*目录!$D$6</f>
        <v>0</v>
      </c>
      <c r="AI29" s="491">
        <f>(财务基础数据!AN227+财务基础数据!AN228+财务基础数据!AN245)*目录!$D$6</f>
        <v>0</v>
      </c>
      <c r="AJ29" s="491">
        <f>(财务基础数据!AO227+财务基础数据!AO228+财务基础数据!AO245)*目录!$D$6</f>
        <v>0</v>
      </c>
      <c r="AK29" s="491">
        <f>(财务基础数据!AP227+财务基础数据!AP228+财务基础数据!AP245)*目录!$D$6</f>
        <v>0</v>
      </c>
      <c r="AL29" s="108">
        <f>AG29</f>
        <v>0</v>
      </c>
      <c r="AM29" s="108">
        <f>AL29</f>
        <v>0</v>
      </c>
      <c r="AN29" s="108">
        <f>AM29</f>
        <v>0</v>
      </c>
      <c r="AO29" s="108">
        <f t="shared" ref="AO29:AU29" si="6">AN29</f>
        <v>0</v>
      </c>
      <c r="AP29" s="108">
        <f t="shared" si="6"/>
        <v>0</v>
      </c>
      <c r="AQ29" s="108">
        <f t="shared" si="6"/>
        <v>0</v>
      </c>
      <c r="AR29" s="108">
        <f t="shared" si="6"/>
        <v>0</v>
      </c>
      <c r="AS29" s="108">
        <f t="shared" si="6"/>
        <v>0</v>
      </c>
      <c r="AT29" s="108">
        <f t="shared" si="6"/>
        <v>0</v>
      </c>
      <c r="AU29" s="108">
        <f t="shared" si="6"/>
        <v>0</v>
      </c>
    </row>
    <row r="30" spans="1:49" ht="13.75">
      <c r="B30" s="342" t="s">
        <v>538</v>
      </c>
      <c r="E30" s="40">
        <f>财务基础数据!J128*目录!$D$6</f>
        <v>0</v>
      </c>
      <c r="F30" s="40">
        <f>财务基础数据!K128*目录!$D$6</f>
        <v>0</v>
      </c>
      <c r="G30" s="40">
        <f>财务基础数据!L128*目录!$D$6</f>
        <v>0</v>
      </c>
      <c r="H30" s="40">
        <f>财务基础数据!M128*目录!$D$6</f>
        <v>0</v>
      </c>
      <c r="I30" s="40">
        <f>财务基础数据!N128*目录!$D$6</f>
        <v>0</v>
      </c>
      <c r="J30" s="40">
        <f>财务基础数据!O128*目录!$D$6</f>
        <v>0</v>
      </c>
      <c r="K30" s="40">
        <f>财务基础数据!P128*目录!$D$6</f>
        <v>0</v>
      </c>
      <c r="L30" s="40">
        <f>财务基础数据!Q128*目录!$D$6</f>
        <v>0</v>
      </c>
      <c r="M30" s="40">
        <f>财务基础数据!R128*目录!$D$6</f>
        <v>0</v>
      </c>
      <c r="N30" s="40">
        <f>财务基础数据!S128*目录!$D$6</f>
        <v>0</v>
      </c>
      <c r="O30" s="40">
        <f>财务基础数据!T128*目录!$D$6</f>
        <v>0</v>
      </c>
      <c r="P30" s="40">
        <f>财务基础数据!U128*目录!$D$6</f>
        <v>0</v>
      </c>
      <c r="Q30" s="40">
        <f>财务基础数据!V128*目录!$D$6</f>
        <v>0</v>
      </c>
      <c r="R30" s="40">
        <f>财务基础数据!W128*目录!$D$6</f>
        <v>0</v>
      </c>
      <c r="S30" s="40">
        <f>财务基础数据!X128*目录!$D$6</f>
        <v>0</v>
      </c>
      <c r="T30" s="40">
        <f>财务基础数据!Y128*目录!$D$6</f>
        <v>0</v>
      </c>
      <c r="U30" s="40">
        <f>财务基础数据!Z128*目录!$D$6</f>
        <v>0</v>
      </c>
      <c r="V30" s="40">
        <f>财务基础数据!AA128*目录!$D$6</f>
        <v>0</v>
      </c>
      <c r="W30" s="40">
        <f>财务基础数据!AB128*目录!$D$6</f>
        <v>0</v>
      </c>
      <c r="X30" s="40">
        <f>财务基础数据!AC128*目录!$D$6</f>
        <v>0</v>
      </c>
      <c r="Y30" s="40">
        <f>财务基础数据!AD128*目录!$D$6</f>
        <v>0</v>
      </c>
      <c r="Z30" s="40">
        <f>财务基础数据!AE128*目录!$D$6</f>
        <v>0</v>
      </c>
      <c r="AA30" s="40">
        <f>财务基础数据!AF128*目录!$D$6</f>
        <v>0</v>
      </c>
      <c r="AB30" s="40">
        <f>财务基础数据!AG128*目录!$D$6</f>
        <v>0</v>
      </c>
      <c r="AC30" s="40">
        <f>财务基础数据!AH128*目录!$D$6</f>
        <v>0</v>
      </c>
      <c r="AD30" s="40">
        <f>财务基础数据!AI128*目录!$D$6</f>
        <v>0</v>
      </c>
      <c r="AE30" s="40">
        <f>财务基础数据!AJ128*目录!$D$6</f>
        <v>0</v>
      </c>
      <c r="AF30" s="40">
        <f>财务基础数据!AK128*目录!$D$6</f>
        <v>0</v>
      </c>
      <c r="AG30" s="40">
        <f>财务基础数据!AL128*目录!$D$6</f>
        <v>0</v>
      </c>
      <c r="AH30" s="491">
        <f>财务基础数据!AM128*目录!$D$6</f>
        <v>0</v>
      </c>
      <c r="AI30" s="491">
        <f>财务基础数据!AN128*目录!$D$6</f>
        <v>0</v>
      </c>
      <c r="AJ30" s="491">
        <f>财务基础数据!AO128*目录!$D$6</f>
        <v>0</v>
      </c>
      <c r="AK30" s="491">
        <f>财务基础数据!AP128*目录!$D$6</f>
        <v>0</v>
      </c>
      <c r="AL30" s="489">
        <f>IF(ISERROR(资产预测!P170),"—",资产预测!P170)</f>
        <v>0</v>
      </c>
      <c r="AM30" s="489">
        <f>IF(ISERROR(资产预测!Q170),"—",资产预测!Q170)</f>
        <v>0</v>
      </c>
      <c r="AN30" s="489">
        <f>IF(ISERROR(资产预测!R170),"—",资产预测!R170)</f>
        <v>0</v>
      </c>
      <c r="AO30" s="489">
        <f>IF(ISERROR(资产预测!S170),"—",资产预测!S170)</f>
        <v>0</v>
      </c>
      <c r="AP30" s="489">
        <f>IF(ISERROR(资产预测!T170),"—",资产预测!T170)</f>
        <v>0</v>
      </c>
      <c r="AQ30" s="489">
        <f>IF(ISERROR(资产预测!U170),"—",资产预测!U170)</f>
        <v>0</v>
      </c>
      <c r="AR30" s="489">
        <f>IF(ISERROR(资产预测!V170),"—",资产预测!V170)</f>
        <v>0</v>
      </c>
      <c r="AS30" s="489">
        <f>IF(ISERROR(资产预测!W170),"—",资产预测!W170)</f>
        <v>0</v>
      </c>
      <c r="AT30" s="489">
        <f>IF(ISERROR(资产预测!X170),"—",资产预测!X170)</f>
        <v>0</v>
      </c>
      <c r="AU30" s="489">
        <f>IF(ISERROR(资产预测!Y170),"—",资产预测!Y170)</f>
        <v>0</v>
      </c>
    </row>
    <row r="31" spans="1:49" ht="13.75">
      <c r="B31" s="330" t="s">
        <v>874</v>
      </c>
      <c r="E31" s="40">
        <f>(财务基础数据!J238)*目录!$D$6</f>
        <v>0</v>
      </c>
      <c r="F31" s="40">
        <f>(财务基础数据!K238)*目录!$D$6</f>
        <v>0</v>
      </c>
      <c r="G31" s="40">
        <f>(财务基础数据!L238)*目录!$D$6</f>
        <v>0</v>
      </c>
      <c r="H31" s="40">
        <f>(财务基础数据!M238)*目录!$D$6</f>
        <v>0</v>
      </c>
      <c r="I31" s="40">
        <f>(财务基础数据!N238)*目录!$D$6</f>
        <v>0</v>
      </c>
      <c r="J31" s="40">
        <f>(财务基础数据!O238)*目录!$D$6</f>
        <v>0</v>
      </c>
      <c r="K31" s="40">
        <f>(财务基础数据!P238)*目录!$D$6</f>
        <v>0</v>
      </c>
      <c r="L31" s="40">
        <f>(财务基础数据!Q238)*目录!$D$6</f>
        <v>0</v>
      </c>
      <c r="M31" s="40">
        <f>(财务基础数据!R238)*目录!$D$6</f>
        <v>0</v>
      </c>
      <c r="N31" s="40">
        <f>(财务基础数据!S238)*目录!$D$6</f>
        <v>0</v>
      </c>
      <c r="O31" s="40">
        <f>(财务基础数据!T238)*目录!$D$6</f>
        <v>0</v>
      </c>
      <c r="P31" s="40">
        <f>(财务基础数据!U238)*目录!$D$6</f>
        <v>0</v>
      </c>
      <c r="Q31" s="40">
        <f>(财务基础数据!V238)*目录!$D$6</f>
        <v>0</v>
      </c>
      <c r="R31" s="40">
        <f>(财务基础数据!W238)*目录!$D$6</f>
        <v>0</v>
      </c>
      <c r="S31" s="40">
        <f>(财务基础数据!X238)*目录!$D$6</f>
        <v>0</v>
      </c>
      <c r="T31" s="40">
        <f>(财务基础数据!Y238)*目录!$D$6</f>
        <v>0</v>
      </c>
      <c r="U31" s="40">
        <f>(财务基础数据!Z238)*目录!$D$6</f>
        <v>0</v>
      </c>
      <c r="V31" s="40">
        <f>(财务基础数据!AA238)*目录!$D$6</f>
        <v>0</v>
      </c>
      <c r="W31" s="40">
        <f>(财务基础数据!AB238)*目录!$D$6</f>
        <v>0</v>
      </c>
      <c r="X31" s="40">
        <f>(财务基础数据!AC238)*目录!$D$6</f>
        <v>0</v>
      </c>
      <c r="Y31" s="40">
        <f>(财务基础数据!AD238)*目录!$D$6</f>
        <v>0</v>
      </c>
      <c r="Z31" s="40">
        <f>(财务基础数据!AE238)*目录!$D$6</f>
        <v>0</v>
      </c>
      <c r="AA31" s="40">
        <f>(财务基础数据!AF238)*目录!$D$6</f>
        <v>0</v>
      </c>
      <c r="AB31" s="40">
        <f>(财务基础数据!AG238)*目录!$D$6</f>
        <v>0</v>
      </c>
      <c r="AC31" s="40">
        <f>(财务基础数据!AH238)*目录!$D$6</f>
        <v>0</v>
      </c>
      <c r="AD31" s="40">
        <f>(财务基础数据!AI238)*目录!$D$6</f>
        <v>0</v>
      </c>
      <c r="AE31" s="40">
        <f>(财务基础数据!AJ238)*目录!$D$6</f>
        <v>0</v>
      </c>
      <c r="AF31" s="40">
        <f>(财务基础数据!AK238)*目录!$D$6</f>
        <v>0</v>
      </c>
      <c r="AG31" s="40">
        <f>(财务基础数据!AL238)*目录!$D$6</f>
        <v>0</v>
      </c>
      <c r="AH31" s="491">
        <f>(财务基础数据!AM238)*目录!$D$6</f>
        <v>0</v>
      </c>
      <c r="AI31" s="491">
        <f>(财务基础数据!AN238)*目录!$D$6</f>
        <v>0</v>
      </c>
      <c r="AJ31" s="491">
        <f>(财务基础数据!AO238)*目录!$D$6</f>
        <v>0</v>
      </c>
      <c r="AK31" s="491">
        <f>(财务基础数据!AP238)*目录!$D$6</f>
        <v>0</v>
      </c>
      <c r="AL31" s="40">
        <f>IF(ISERROR(资产预测!P128),"—",资产预测!P128)</f>
        <v>0</v>
      </c>
      <c r="AM31" s="40">
        <f>IF(ISERROR(资产预测!Q128),"—",资产预测!Q128)</f>
        <v>0</v>
      </c>
      <c r="AN31" s="40">
        <f>IF(ISERROR(资产预测!R128),"—",资产预测!R128)</f>
        <v>0</v>
      </c>
      <c r="AO31" s="40">
        <f>IF(ISERROR(资产预测!S128),"—",资产预测!S128)</f>
        <v>0</v>
      </c>
      <c r="AP31" s="40">
        <f>IF(ISERROR(资产预测!T128),"—",资产预测!T128)</f>
        <v>0</v>
      </c>
      <c r="AQ31" s="40">
        <f>IF(ISERROR(资产预测!U128),"—",资产预测!U128)</f>
        <v>0</v>
      </c>
      <c r="AR31" s="40">
        <f>IF(ISERROR(资产预测!V128),"—",资产预测!V128)</f>
        <v>0</v>
      </c>
      <c r="AS31" s="40">
        <f>IF(ISERROR(资产预测!W128),"—",资产预测!W128)</f>
        <v>0</v>
      </c>
      <c r="AT31" s="40">
        <f>IF(ISERROR(资产预测!X128),"—",资产预测!X128)</f>
        <v>0</v>
      </c>
      <c r="AU31" s="40">
        <f>IF(ISERROR(资产预测!Y128),"—",资产预测!Y128)</f>
        <v>0</v>
      </c>
    </row>
    <row r="32" spans="1:49" ht="13.75">
      <c r="B32" s="342" t="s">
        <v>544</v>
      </c>
      <c r="E32" s="40">
        <f>(财务基础数据!J239)*目录!$D$6</f>
        <v>0</v>
      </c>
      <c r="F32" s="40">
        <f>(财务基础数据!K239)*目录!$D$6</f>
        <v>0</v>
      </c>
      <c r="G32" s="40">
        <f>(财务基础数据!L239)*目录!$D$6</f>
        <v>0</v>
      </c>
      <c r="H32" s="40">
        <f>(财务基础数据!M239)*目录!$D$6</f>
        <v>0</v>
      </c>
      <c r="I32" s="40">
        <f>(财务基础数据!N239)*目录!$D$6</f>
        <v>0</v>
      </c>
      <c r="J32" s="40">
        <f>(财务基础数据!O239)*目录!$D$6</f>
        <v>0</v>
      </c>
      <c r="K32" s="40">
        <f>(财务基础数据!P239)*目录!$D$6</f>
        <v>0</v>
      </c>
      <c r="L32" s="40">
        <f>(财务基础数据!Q239)*目录!$D$6</f>
        <v>0</v>
      </c>
      <c r="M32" s="40">
        <f>(财务基础数据!R239)*目录!$D$6</f>
        <v>0</v>
      </c>
      <c r="N32" s="40">
        <f>(财务基础数据!S239)*目录!$D$6</f>
        <v>0</v>
      </c>
      <c r="O32" s="40">
        <f>(财务基础数据!T239)*目录!$D$6</f>
        <v>0</v>
      </c>
      <c r="P32" s="40">
        <f>(财务基础数据!U239)*目录!$D$6</f>
        <v>0</v>
      </c>
      <c r="Q32" s="40">
        <f>(财务基础数据!V239)*目录!$D$6</f>
        <v>0</v>
      </c>
      <c r="R32" s="40">
        <f>(财务基础数据!W239)*目录!$D$6</f>
        <v>0</v>
      </c>
      <c r="S32" s="40">
        <f>(财务基础数据!X239)*目录!$D$6</f>
        <v>0</v>
      </c>
      <c r="T32" s="40">
        <f>(财务基础数据!Y239)*目录!$D$6</f>
        <v>0</v>
      </c>
      <c r="U32" s="40">
        <f>(财务基础数据!Z239)*目录!$D$6</f>
        <v>0</v>
      </c>
      <c r="V32" s="40">
        <f>(财务基础数据!AA239)*目录!$D$6</f>
        <v>0</v>
      </c>
      <c r="W32" s="40">
        <f>(财务基础数据!AB239)*目录!$D$6</f>
        <v>0</v>
      </c>
      <c r="X32" s="40">
        <f>(财务基础数据!AC239)*目录!$D$6</f>
        <v>0</v>
      </c>
      <c r="Y32" s="40">
        <f>(财务基础数据!AD239)*目录!$D$6</f>
        <v>0</v>
      </c>
      <c r="Z32" s="40">
        <f>(财务基础数据!AE239)*目录!$D$6</f>
        <v>0</v>
      </c>
      <c r="AA32" s="40">
        <f>(财务基础数据!AF239)*目录!$D$6</f>
        <v>0</v>
      </c>
      <c r="AB32" s="40">
        <f>(财务基础数据!AG239)*目录!$D$6</f>
        <v>0</v>
      </c>
      <c r="AC32" s="40">
        <f>(财务基础数据!AH239)*目录!$D$6</f>
        <v>0</v>
      </c>
      <c r="AD32" s="40">
        <f>(财务基础数据!AI239)*目录!$D$6</f>
        <v>0</v>
      </c>
      <c r="AE32" s="40">
        <f>(财务基础数据!AJ239)*目录!$D$6</f>
        <v>0</v>
      </c>
      <c r="AF32" s="40">
        <f>(财务基础数据!AK239)*目录!$D$6</f>
        <v>0</v>
      </c>
      <c r="AG32" s="40">
        <f>(财务基础数据!AL239)*目录!$D$6</f>
        <v>0</v>
      </c>
      <c r="AH32" s="491">
        <f>(财务基础数据!AM239)*目录!$D$6</f>
        <v>0</v>
      </c>
      <c r="AI32" s="491">
        <f>(财务基础数据!AN239)*目录!$D$6</f>
        <v>0</v>
      </c>
      <c r="AJ32" s="491">
        <f>(财务基础数据!AO239)*目录!$D$6</f>
        <v>0</v>
      </c>
      <c r="AK32" s="491">
        <f>(财务基础数据!AP239)*目录!$D$6</f>
        <v>0</v>
      </c>
      <c r="AL32" s="40">
        <f>IF(ISERROR(资产预测!P135),"—",资产预测!P135)</f>
        <v>0</v>
      </c>
      <c r="AM32" s="40">
        <f>IF(ISERROR(资产预测!Q135),"—",资产预测!Q135)</f>
        <v>0</v>
      </c>
      <c r="AN32" s="40">
        <f>IF(ISERROR(资产预测!R135),"—",资产预测!R135)</f>
        <v>0</v>
      </c>
      <c r="AO32" s="40">
        <f>IF(ISERROR(资产预测!S135),"—",资产预测!S135)</f>
        <v>0</v>
      </c>
      <c r="AP32" s="40">
        <f>IF(ISERROR(资产预测!T135),"—",资产预测!T135)</f>
        <v>0</v>
      </c>
      <c r="AQ32" s="40">
        <f>IF(ISERROR(资产预测!U135),"—",资产预测!U135)</f>
        <v>0</v>
      </c>
      <c r="AR32" s="40">
        <f>IF(ISERROR(资产预测!V135),"—",资产预测!V135)</f>
        <v>0</v>
      </c>
      <c r="AS32" s="40">
        <f>IF(ISERROR(资产预测!W135),"—",资产预测!W135)</f>
        <v>0</v>
      </c>
      <c r="AT32" s="40">
        <f>IF(ISERROR(资产预测!X135),"—",资产预测!X135)</f>
        <v>0</v>
      </c>
      <c r="AU32" s="40">
        <f>IF(ISERROR(资产预测!Y135),"—",资产预测!Y135)</f>
        <v>0</v>
      </c>
    </row>
    <row r="33" spans="1:47" ht="13.75">
      <c r="B33" s="342" t="s">
        <v>876</v>
      </c>
      <c r="D33" s="23" t="s">
        <v>1258</v>
      </c>
      <c r="E33" s="40">
        <f>财务基础数据!J143*目录!$D$6</f>
        <v>0</v>
      </c>
      <c r="F33" s="40">
        <f>财务基础数据!K143*目录!$D$6</f>
        <v>0</v>
      </c>
      <c r="G33" s="40">
        <f>财务基础数据!L143*目录!$D$6</f>
        <v>0</v>
      </c>
      <c r="H33" s="40">
        <f>财务基础数据!M143*目录!$D$6</f>
        <v>0</v>
      </c>
      <c r="I33" s="40">
        <f>财务基础数据!N143*目录!$D$6</f>
        <v>0</v>
      </c>
      <c r="J33" s="40">
        <f>财务基础数据!O143*目录!$D$6</f>
        <v>0</v>
      </c>
      <c r="K33" s="40">
        <f>财务基础数据!P143*目录!$D$6</f>
        <v>0</v>
      </c>
      <c r="L33" s="40">
        <f>财务基础数据!Q143*目录!$D$6</f>
        <v>0</v>
      </c>
      <c r="M33" s="40">
        <f>财务基础数据!R143*目录!$D$6</f>
        <v>0</v>
      </c>
      <c r="N33" s="40">
        <f>财务基础数据!S143*目录!$D$6</f>
        <v>0</v>
      </c>
      <c r="O33" s="40">
        <f>财务基础数据!T143*目录!$D$6</f>
        <v>0</v>
      </c>
      <c r="P33" s="40">
        <f>财务基础数据!U143*目录!$D$6</f>
        <v>0</v>
      </c>
      <c r="Q33" s="40">
        <f>财务基础数据!V143*目录!$D$6</f>
        <v>0</v>
      </c>
      <c r="R33" s="40">
        <f>财务基础数据!W143*目录!$D$6</f>
        <v>0</v>
      </c>
      <c r="S33" s="40">
        <f>财务基础数据!X143*目录!$D$6</f>
        <v>0</v>
      </c>
      <c r="T33" s="40">
        <f>财务基础数据!Y143*目录!$D$6</f>
        <v>0</v>
      </c>
      <c r="U33" s="40">
        <f>财务基础数据!Z143*目录!$D$6</f>
        <v>0</v>
      </c>
      <c r="V33" s="40">
        <f>财务基础数据!AA143*目录!$D$6</f>
        <v>0</v>
      </c>
      <c r="W33" s="40">
        <f>财务基础数据!AB143*目录!$D$6</f>
        <v>0</v>
      </c>
      <c r="X33" s="40">
        <f>财务基础数据!AC143*目录!$D$6</f>
        <v>0</v>
      </c>
      <c r="Y33" s="40">
        <f>财务基础数据!AD143*目录!$D$6</f>
        <v>0</v>
      </c>
      <c r="Z33" s="40">
        <f>财务基础数据!AE143*目录!$D$6</f>
        <v>0</v>
      </c>
      <c r="AA33" s="40">
        <f>财务基础数据!AF143*目录!$D$6</f>
        <v>0</v>
      </c>
      <c r="AB33" s="40">
        <f>财务基础数据!AG143*目录!$D$6</f>
        <v>0</v>
      </c>
      <c r="AC33" s="40">
        <f>财务基础数据!AH143*目录!$D$6</f>
        <v>0</v>
      </c>
      <c r="AD33" s="40">
        <f>财务基础数据!AI143*目录!$D$6</f>
        <v>0</v>
      </c>
      <c r="AE33" s="40">
        <f>财务基础数据!AJ143*目录!$D$6</f>
        <v>0</v>
      </c>
      <c r="AF33" s="40">
        <f>财务基础数据!AK143*目录!$D$6</f>
        <v>0</v>
      </c>
      <c r="AG33" s="40">
        <f>财务基础数据!AL143*目录!$D$6</f>
        <v>0</v>
      </c>
      <c r="AH33" s="491">
        <f>财务基础数据!AM143*目录!$D$6</f>
        <v>0</v>
      </c>
      <c r="AI33" s="491">
        <f>财务基础数据!AN143*目录!$D$6</f>
        <v>0</v>
      </c>
      <c r="AJ33" s="491">
        <f>财务基础数据!AO143*目录!$D$6</f>
        <v>0</v>
      </c>
      <c r="AK33" s="491">
        <f>财务基础数据!AP143*目录!$D$6</f>
        <v>0</v>
      </c>
      <c r="AL33" s="108">
        <f>AG33</f>
        <v>0</v>
      </c>
      <c r="AM33" s="108">
        <f>AL33</f>
        <v>0</v>
      </c>
      <c r="AN33" s="108">
        <f>AM33</f>
        <v>0</v>
      </c>
      <c r="AO33" s="108">
        <f t="shared" ref="AO33:AU33" si="7">AN33</f>
        <v>0</v>
      </c>
      <c r="AP33" s="108">
        <f t="shared" si="7"/>
        <v>0</v>
      </c>
      <c r="AQ33" s="108">
        <f t="shared" si="7"/>
        <v>0</v>
      </c>
      <c r="AR33" s="108">
        <f t="shared" si="7"/>
        <v>0</v>
      </c>
      <c r="AS33" s="108">
        <f t="shared" si="7"/>
        <v>0</v>
      </c>
      <c r="AT33" s="108">
        <f t="shared" si="7"/>
        <v>0</v>
      </c>
      <c r="AU33" s="108">
        <f t="shared" si="7"/>
        <v>0</v>
      </c>
    </row>
    <row r="34" spans="1:47" ht="13.75">
      <c r="B34" s="342" t="s">
        <v>877</v>
      </c>
      <c r="D34" s="23" t="s">
        <v>1258</v>
      </c>
      <c r="E34" s="40">
        <f>财务基础数据!J146*目录!$D$6</f>
        <v>0</v>
      </c>
      <c r="F34" s="40">
        <f>财务基础数据!K146*目录!$D$6</f>
        <v>0</v>
      </c>
      <c r="G34" s="40">
        <f>财务基础数据!L146*目录!$D$6</f>
        <v>0</v>
      </c>
      <c r="H34" s="40">
        <f>财务基础数据!M146*目录!$D$6</f>
        <v>0</v>
      </c>
      <c r="I34" s="40">
        <f>财务基础数据!N146*目录!$D$6</f>
        <v>0</v>
      </c>
      <c r="J34" s="40">
        <f>财务基础数据!O146*目录!$D$6</f>
        <v>0</v>
      </c>
      <c r="K34" s="40">
        <f>财务基础数据!P146*目录!$D$6</f>
        <v>0</v>
      </c>
      <c r="L34" s="40">
        <f>财务基础数据!Q146*目录!$D$6</f>
        <v>0</v>
      </c>
      <c r="M34" s="40">
        <f>财务基础数据!R146*目录!$D$6</f>
        <v>0</v>
      </c>
      <c r="N34" s="40">
        <f>财务基础数据!S146*目录!$D$6</f>
        <v>0</v>
      </c>
      <c r="O34" s="40">
        <f>财务基础数据!T146*目录!$D$6</f>
        <v>0</v>
      </c>
      <c r="P34" s="40">
        <f>财务基础数据!U146*目录!$D$6</f>
        <v>0</v>
      </c>
      <c r="Q34" s="40">
        <f>财务基础数据!V146*目录!$D$6</f>
        <v>0</v>
      </c>
      <c r="R34" s="40">
        <f>财务基础数据!W146*目录!$D$6</f>
        <v>0</v>
      </c>
      <c r="S34" s="40">
        <f>财务基础数据!X146*目录!$D$6</f>
        <v>0</v>
      </c>
      <c r="T34" s="40">
        <f>财务基础数据!Y146*目录!$D$6</f>
        <v>0</v>
      </c>
      <c r="U34" s="40">
        <f>财务基础数据!Z146*目录!$D$6</f>
        <v>0</v>
      </c>
      <c r="V34" s="40">
        <f>财务基础数据!AA146*目录!$D$6</f>
        <v>0</v>
      </c>
      <c r="W34" s="40">
        <f>财务基础数据!AB146*目录!$D$6</f>
        <v>0</v>
      </c>
      <c r="X34" s="40">
        <f>财务基础数据!AC146*目录!$D$6</f>
        <v>0</v>
      </c>
      <c r="Y34" s="40">
        <f>财务基础数据!AD146*目录!$D$6</f>
        <v>0</v>
      </c>
      <c r="Z34" s="40">
        <f>财务基础数据!AE146*目录!$D$6</f>
        <v>0</v>
      </c>
      <c r="AA34" s="40">
        <f>财务基础数据!AF146*目录!$D$6</f>
        <v>0</v>
      </c>
      <c r="AB34" s="40">
        <f>财务基础数据!AG146*目录!$D$6</f>
        <v>0</v>
      </c>
      <c r="AC34" s="40">
        <f>财务基础数据!AH146*目录!$D$6</f>
        <v>0</v>
      </c>
      <c r="AD34" s="40">
        <f>财务基础数据!AI146*目录!$D$6</f>
        <v>0</v>
      </c>
      <c r="AE34" s="40">
        <f>财务基础数据!AJ146*目录!$D$6</f>
        <v>0</v>
      </c>
      <c r="AF34" s="40">
        <f>财务基础数据!AK146*目录!$D$6</f>
        <v>0</v>
      </c>
      <c r="AG34" s="40">
        <f>财务基础数据!AL146*目录!$D$6</f>
        <v>0</v>
      </c>
      <c r="AH34" s="491">
        <f>财务基础数据!AM146*目录!$D$6</f>
        <v>0</v>
      </c>
      <c r="AI34" s="491">
        <f>财务基础数据!AN146*目录!$D$6</f>
        <v>0</v>
      </c>
      <c r="AJ34" s="491">
        <f>财务基础数据!AO146*目录!$D$6</f>
        <v>0</v>
      </c>
      <c r="AK34" s="491">
        <f>财务基础数据!AP146*目录!$D$6</f>
        <v>0</v>
      </c>
      <c r="AL34" s="108">
        <f>AG34</f>
        <v>0</v>
      </c>
      <c r="AM34" s="108">
        <f>AL34</f>
        <v>0</v>
      </c>
      <c r="AN34" s="108">
        <f>AM34</f>
        <v>0</v>
      </c>
      <c r="AO34" s="108">
        <f t="shared" ref="AO34:AU34" si="8">AN34</f>
        <v>0</v>
      </c>
      <c r="AP34" s="108">
        <f t="shared" si="8"/>
        <v>0</v>
      </c>
      <c r="AQ34" s="108">
        <f t="shared" si="8"/>
        <v>0</v>
      </c>
      <c r="AR34" s="108">
        <f t="shared" si="8"/>
        <v>0</v>
      </c>
      <c r="AS34" s="108">
        <f t="shared" si="8"/>
        <v>0</v>
      </c>
      <c r="AT34" s="108">
        <f t="shared" si="8"/>
        <v>0</v>
      </c>
      <c r="AU34" s="108">
        <f t="shared" si="8"/>
        <v>0</v>
      </c>
    </row>
    <row r="35" spans="1:47" ht="13.75">
      <c r="A35" s="262"/>
      <c r="B35" s="586" t="s">
        <v>1019</v>
      </c>
      <c r="E35" s="40">
        <f>财务基础数据!J248*目录!$D$6</f>
        <v>0</v>
      </c>
      <c r="F35" s="40">
        <f>财务基础数据!K248*目录!$D$6</f>
        <v>0</v>
      </c>
      <c r="G35" s="40">
        <f>财务基础数据!L248*目录!$D$6</f>
        <v>0</v>
      </c>
      <c r="H35" s="40">
        <f>财务基础数据!M248*目录!$D$6</f>
        <v>0</v>
      </c>
      <c r="I35" s="40">
        <f>财务基础数据!N248*目录!$D$6</f>
        <v>0</v>
      </c>
      <c r="J35" s="40">
        <f>财务基础数据!O248*目录!$D$6</f>
        <v>0</v>
      </c>
      <c r="K35" s="40">
        <f>财务基础数据!P248*目录!$D$6</f>
        <v>0</v>
      </c>
      <c r="L35" s="40">
        <f>财务基础数据!Q248*目录!$D$6</f>
        <v>0</v>
      </c>
      <c r="M35" s="40">
        <f>财务基础数据!R248*目录!$D$6</f>
        <v>0</v>
      </c>
      <c r="N35" s="40">
        <f>财务基础数据!S248*目录!$D$6</f>
        <v>0</v>
      </c>
      <c r="O35" s="40">
        <f>财务基础数据!T248*目录!$D$6</f>
        <v>0</v>
      </c>
      <c r="P35" s="40">
        <f>财务基础数据!U248*目录!$D$6</f>
        <v>0</v>
      </c>
      <c r="Q35" s="40">
        <f>财务基础数据!V248*目录!$D$6</f>
        <v>0</v>
      </c>
      <c r="R35" s="40">
        <f>财务基础数据!W248*目录!$D$6</f>
        <v>0</v>
      </c>
      <c r="S35" s="40">
        <f>财务基础数据!X248*目录!$D$6</f>
        <v>0</v>
      </c>
      <c r="T35" s="40">
        <f>财务基础数据!Y248*目录!$D$6</f>
        <v>0</v>
      </c>
      <c r="U35" s="40">
        <f>财务基础数据!Z248*目录!$D$6</f>
        <v>0</v>
      </c>
      <c r="V35" s="40">
        <f>财务基础数据!AA248*目录!$D$6</f>
        <v>0</v>
      </c>
      <c r="W35" s="40">
        <f>财务基础数据!AB248*目录!$D$6</f>
        <v>0</v>
      </c>
      <c r="X35" s="40">
        <f>财务基础数据!AC248*目录!$D$6</f>
        <v>0</v>
      </c>
      <c r="Y35" s="40">
        <f>财务基础数据!AD248*目录!$D$6</f>
        <v>0</v>
      </c>
      <c r="Z35" s="40">
        <f>财务基础数据!AE248*目录!$D$6</f>
        <v>0</v>
      </c>
      <c r="AA35" s="40">
        <f>财务基础数据!AF248*目录!$D$6</f>
        <v>0</v>
      </c>
      <c r="AB35" s="40">
        <f>财务基础数据!AG248*目录!$D$6</f>
        <v>0</v>
      </c>
      <c r="AC35" s="40">
        <f>财务基础数据!AH248*目录!$D$6</f>
        <v>0</v>
      </c>
      <c r="AD35" s="40">
        <f>财务基础数据!AI248*目录!$D$6</f>
        <v>0</v>
      </c>
      <c r="AE35" s="40">
        <f>财务基础数据!AJ248*目录!$D$6</f>
        <v>0</v>
      </c>
      <c r="AF35" s="40">
        <f>财务基础数据!AK248*目录!$D$6</f>
        <v>0</v>
      </c>
      <c r="AG35" s="40">
        <f>财务基础数据!AL248*目录!$D$6</f>
        <v>0</v>
      </c>
      <c r="AH35" s="491">
        <f>财务基础数据!AM248*目录!$D$6</f>
        <v>0</v>
      </c>
      <c r="AI35" s="491">
        <f>财务基础数据!AN248*目录!$D$6</f>
        <v>0</v>
      </c>
      <c r="AJ35" s="491">
        <f>财务基础数据!AO248*目录!$D$6</f>
        <v>0</v>
      </c>
      <c r="AK35" s="491">
        <f>财务基础数据!AP248*目录!$D$6</f>
        <v>0</v>
      </c>
      <c r="AL35" s="40">
        <f>IF(ISERROR(资产预测!P177),"—",资产预测!P177)</f>
        <v>0</v>
      </c>
      <c r="AM35" s="40">
        <f>IF(ISERROR(资产预测!Q177),"—",资产预测!Q177)</f>
        <v>0</v>
      </c>
      <c r="AN35" s="40">
        <f>IF(ISERROR(资产预测!R177),"—",资产预测!R177)</f>
        <v>0</v>
      </c>
      <c r="AO35" s="40">
        <f>IF(ISERROR(资产预测!S177),"—",资产预测!S177)</f>
        <v>0</v>
      </c>
      <c r="AP35" s="40">
        <f>IF(ISERROR(资产预测!T177),"—",资产预测!T177)</f>
        <v>0</v>
      </c>
      <c r="AQ35" s="40">
        <f>IF(ISERROR(资产预测!U177),"—",资产预测!U177)</f>
        <v>0</v>
      </c>
      <c r="AR35" s="40">
        <f>IF(ISERROR(资产预测!V177),"—",资产预测!V177)</f>
        <v>0</v>
      </c>
      <c r="AS35" s="40">
        <f>IF(ISERROR(资产预测!W177),"—",资产预测!W177)</f>
        <v>0</v>
      </c>
      <c r="AT35" s="40">
        <f>IF(ISERROR(资产预测!X177),"—",资产预测!X177)</f>
        <v>0</v>
      </c>
      <c r="AU35" s="40">
        <f>IF(ISERROR(资产预测!Y177),"—",资产预测!Y177)</f>
        <v>0</v>
      </c>
    </row>
    <row r="36" spans="1:47" ht="13.75">
      <c r="B36" s="342" t="s">
        <v>878</v>
      </c>
      <c r="E36" s="40">
        <f>财务基础数据!J149*目录!$D$6</f>
        <v>0</v>
      </c>
      <c r="F36" s="40">
        <f>财务基础数据!K149*目录!$D$6</f>
        <v>0</v>
      </c>
      <c r="G36" s="40">
        <f>财务基础数据!L149*目录!$D$6</f>
        <v>0</v>
      </c>
      <c r="H36" s="40">
        <f>财务基础数据!M149*目录!$D$6</f>
        <v>0</v>
      </c>
      <c r="I36" s="40">
        <f>财务基础数据!N149*目录!$D$6</f>
        <v>0</v>
      </c>
      <c r="J36" s="40">
        <f>财务基础数据!O149*目录!$D$6</f>
        <v>0</v>
      </c>
      <c r="K36" s="40">
        <f>财务基础数据!P149*目录!$D$6</f>
        <v>0</v>
      </c>
      <c r="L36" s="40">
        <f>财务基础数据!Q149*目录!$D$6</f>
        <v>0</v>
      </c>
      <c r="M36" s="40">
        <f>财务基础数据!R149*目录!$D$6</f>
        <v>0</v>
      </c>
      <c r="N36" s="40">
        <f>财务基础数据!S149*目录!$D$6</f>
        <v>0</v>
      </c>
      <c r="O36" s="40">
        <f>财务基础数据!T149*目录!$D$6</f>
        <v>0</v>
      </c>
      <c r="P36" s="40">
        <f>财务基础数据!U149*目录!$D$6</f>
        <v>0</v>
      </c>
      <c r="Q36" s="40">
        <f>财务基础数据!V149*目录!$D$6</f>
        <v>0</v>
      </c>
      <c r="R36" s="40">
        <f>财务基础数据!W149*目录!$D$6</f>
        <v>0</v>
      </c>
      <c r="S36" s="40">
        <f>财务基础数据!X149*目录!$D$6</f>
        <v>0</v>
      </c>
      <c r="T36" s="40">
        <f>财务基础数据!Y149*目录!$D$6</f>
        <v>0</v>
      </c>
      <c r="U36" s="40">
        <f>财务基础数据!Z149*目录!$D$6</f>
        <v>0</v>
      </c>
      <c r="V36" s="40">
        <f>财务基础数据!AA149*目录!$D$6</f>
        <v>0</v>
      </c>
      <c r="W36" s="40">
        <f>财务基础数据!AB149*目录!$D$6</f>
        <v>0</v>
      </c>
      <c r="X36" s="40">
        <f>财务基础数据!AC149*目录!$D$6</f>
        <v>0</v>
      </c>
      <c r="Y36" s="40">
        <f>财务基础数据!AD149*目录!$D$6</f>
        <v>0</v>
      </c>
      <c r="Z36" s="40">
        <f>财务基础数据!AE149*目录!$D$6</f>
        <v>0</v>
      </c>
      <c r="AA36" s="40">
        <f>财务基础数据!AF149*目录!$D$6</f>
        <v>0</v>
      </c>
      <c r="AB36" s="40">
        <f>财务基础数据!AG149*目录!$D$6</f>
        <v>0</v>
      </c>
      <c r="AC36" s="40">
        <f>财务基础数据!AH149*目录!$D$6</f>
        <v>0</v>
      </c>
      <c r="AD36" s="40">
        <f>财务基础数据!AI149*目录!$D$6</f>
        <v>0</v>
      </c>
      <c r="AE36" s="40">
        <f>财务基础数据!AJ149*目录!$D$6</f>
        <v>0</v>
      </c>
      <c r="AF36" s="40">
        <f>财务基础数据!AK149*目录!$D$6</f>
        <v>0</v>
      </c>
      <c r="AG36" s="40">
        <f>财务基础数据!AL149*目录!$D$6</f>
        <v>0</v>
      </c>
      <c r="AH36" s="491">
        <f>财务基础数据!AM149*目录!$D$6</f>
        <v>0</v>
      </c>
      <c r="AI36" s="491">
        <f>财务基础数据!AN149*目录!$D$6</f>
        <v>0</v>
      </c>
      <c r="AJ36" s="491">
        <f>财务基础数据!AO149*目录!$D$6</f>
        <v>0</v>
      </c>
      <c r="AK36" s="491">
        <f>财务基础数据!AP149*目录!$D$6</f>
        <v>0</v>
      </c>
      <c r="AL36" s="41">
        <f>IF(ISERROR(资产预测!P150),"—",资产预测!P150)</f>
        <v>0</v>
      </c>
      <c r="AM36" s="41">
        <f>IF(ISERROR(资产预测!Q150),"—",资产预测!Q150)</f>
        <v>0</v>
      </c>
      <c r="AN36" s="41">
        <f>IF(ISERROR(资产预测!R150),"—",资产预测!R150)</f>
        <v>0</v>
      </c>
      <c r="AO36" s="41">
        <f>IF(ISERROR(资产预测!S150),"—",资产预测!S150)</f>
        <v>0</v>
      </c>
      <c r="AP36" s="41">
        <f>IF(ISERROR(资产预测!T150),"—",资产预测!T150)</f>
        <v>0</v>
      </c>
      <c r="AQ36" s="41">
        <f>IF(ISERROR(资产预测!U150),"—",资产预测!U150)</f>
        <v>0</v>
      </c>
      <c r="AR36" s="41">
        <f>IF(ISERROR(资产预测!V150),"—",资产预测!V150)</f>
        <v>0</v>
      </c>
      <c r="AS36" s="41">
        <f>IF(ISERROR(资产预测!W150),"—",资产预测!W150)</f>
        <v>0</v>
      </c>
      <c r="AT36" s="41">
        <f>IF(ISERROR(资产预测!X150),"—",资产预测!X150)</f>
        <v>0</v>
      </c>
      <c r="AU36" s="41">
        <f>IF(ISERROR(资产预测!Y150),"—",资产预测!Y150)</f>
        <v>0</v>
      </c>
    </row>
    <row r="37" spans="1:47" ht="13.75">
      <c r="B37" s="342" t="s">
        <v>879</v>
      </c>
      <c r="E37" s="40">
        <f>财务基础数据!J150*目录!$D$6</f>
        <v>0</v>
      </c>
      <c r="F37" s="40">
        <f>财务基础数据!K150*目录!$D$6</f>
        <v>0</v>
      </c>
      <c r="G37" s="40">
        <f>财务基础数据!L150*目录!$D$6</f>
        <v>0</v>
      </c>
      <c r="H37" s="40">
        <f>财务基础数据!M150*目录!$D$6</f>
        <v>0</v>
      </c>
      <c r="I37" s="40">
        <f>财务基础数据!N150*目录!$D$6</f>
        <v>0</v>
      </c>
      <c r="J37" s="40">
        <f>财务基础数据!O150*目录!$D$6</f>
        <v>0</v>
      </c>
      <c r="K37" s="40">
        <f>财务基础数据!P150*目录!$D$6</f>
        <v>0</v>
      </c>
      <c r="L37" s="40">
        <f>财务基础数据!Q150*目录!$D$6</f>
        <v>0</v>
      </c>
      <c r="M37" s="40">
        <f>财务基础数据!R150*目录!$D$6</f>
        <v>0</v>
      </c>
      <c r="N37" s="40">
        <f>财务基础数据!S150*目录!$D$6</f>
        <v>0</v>
      </c>
      <c r="O37" s="40">
        <f>财务基础数据!T150*目录!$D$6</f>
        <v>0</v>
      </c>
      <c r="P37" s="40">
        <f>财务基础数据!U150*目录!$D$6</f>
        <v>0</v>
      </c>
      <c r="Q37" s="40">
        <f>财务基础数据!V150*目录!$D$6</f>
        <v>0</v>
      </c>
      <c r="R37" s="40">
        <f>财务基础数据!W150*目录!$D$6</f>
        <v>0</v>
      </c>
      <c r="S37" s="40">
        <f>财务基础数据!X150*目录!$D$6</f>
        <v>0</v>
      </c>
      <c r="T37" s="40">
        <f>财务基础数据!Y150*目录!$D$6</f>
        <v>0</v>
      </c>
      <c r="U37" s="40">
        <f>财务基础数据!Z150*目录!$D$6</f>
        <v>0</v>
      </c>
      <c r="V37" s="40">
        <f>财务基础数据!AA150*目录!$D$6</f>
        <v>0</v>
      </c>
      <c r="W37" s="40">
        <f>财务基础数据!AB150*目录!$D$6</f>
        <v>0</v>
      </c>
      <c r="X37" s="40">
        <f>财务基础数据!AC150*目录!$D$6</f>
        <v>0</v>
      </c>
      <c r="Y37" s="40">
        <f>财务基础数据!AD150*目录!$D$6</f>
        <v>0</v>
      </c>
      <c r="Z37" s="40">
        <f>财务基础数据!AE150*目录!$D$6</f>
        <v>0</v>
      </c>
      <c r="AA37" s="40">
        <f>财务基础数据!AF150*目录!$D$6</f>
        <v>0</v>
      </c>
      <c r="AB37" s="40">
        <f>财务基础数据!AG150*目录!$D$6</f>
        <v>0</v>
      </c>
      <c r="AC37" s="40">
        <f>财务基础数据!AH150*目录!$D$6</f>
        <v>0</v>
      </c>
      <c r="AD37" s="40">
        <f>财务基础数据!AI150*目录!$D$6</f>
        <v>0</v>
      </c>
      <c r="AE37" s="40">
        <f>财务基础数据!AJ150*目录!$D$6</f>
        <v>0</v>
      </c>
      <c r="AF37" s="40">
        <f>财务基础数据!AK150*目录!$D$6</f>
        <v>0</v>
      </c>
      <c r="AG37" s="40">
        <f>财务基础数据!AL150*目录!$D$6</f>
        <v>0</v>
      </c>
      <c r="AH37" s="491">
        <f>财务基础数据!AM150*目录!$D$6</f>
        <v>0</v>
      </c>
      <c r="AI37" s="491">
        <f>财务基础数据!AN150*目录!$D$6</f>
        <v>0</v>
      </c>
      <c r="AJ37" s="491">
        <f>财务基础数据!AO150*目录!$D$6</f>
        <v>0</v>
      </c>
      <c r="AK37" s="491">
        <f>财务基础数据!AP150*目录!$D$6</f>
        <v>0</v>
      </c>
      <c r="AL37" s="41">
        <f>IF(ISERROR(资产预测!P152),"—",资产预测!P152)</f>
        <v>0</v>
      </c>
      <c r="AM37" s="41">
        <f>IF(ISERROR(资产预测!Q152),"—",资产预测!Q152)</f>
        <v>0</v>
      </c>
      <c r="AN37" s="41">
        <f>IF(ISERROR(资产预测!R152),"—",资产预测!R152)</f>
        <v>0</v>
      </c>
      <c r="AO37" s="41">
        <f>IF(ISERROR(资产预测!S152),"—",资产预测!S152)</f>
        <v>0</v>
      </c>
      <c r="AP37" s="41">
        <f>IF(ISERROR(资产预测!T152),"—",资产预测!T152)</f>
        <v>0</v>
      </c>
      <c r="AQ37" s="41">
        <f>IF(ISERROR(资产预测!U152),"—",资产预测!U152)</f>
        <v>0</v>
      </c>
      <c r="AR37" s="41">
        <f>IF(ISERROR(资产预测!V152),"—",资产预测!V152)</f>
        <v>0</v>
      </c>
      <c r="AS37" s="41">
        <f>IF(ISERROR(资产预测!W152),"—",资产预测!W152)</f>
        <v>0</v>
      </c>
      <c r="AT37" s="41">
        <f>IF(ISERROR(资产预测!X152),"—",资产预测!X152)</f>
        <v>0</v>
      </c>
      <c r="AU37" s="41">
        <f>IF(ISERROR(资产预测!Y152),"—",资产预测!Y152)</f>
        <v>0</v>
      </c>
    </row>
    <row r="38" spans="1:47" ht="13.75">
      <c r="B38" s="342" t="s">
        <v>880</v>
      </c>
      <c r="E38" s="40">
        <f>财务基础数据!J151*目录!$D$6</f>
        <v>0</v>
      </c>
      <c r="F38" s="40">
        <f>财务基础数据!K151*目录!$D$6</f>
        <v>0</v>
      </c>
      <c r="G38" s="40">
        <f>财务基础数据!L151*目录!$D$6</f>
        <v>0</v>
      </c>
      <c r="H38" s="40">
        <f>财务基础数据!M151*目录!$D$6</f>
        <v>0</v>
      </c>
      <c r="I38" s="40">
        <f>财务基础数据!N151*目录!$D$6</f>
        <v>0</v>
      </c>
      <c r="J38" s="40">
        <f>财务基础数据!O151*目录!$D$6</f>
        <v>0</v>
      </c>
      <c r="K38" s="40">
        <f>财务基础数据!P151*目录!$D$6</f>
        <v>0</v>
      </c>
      <c r="L38" s="40">
        <f>财务基础数据!Q151*目录!$D$6</f>
        <v>0</v>
      </c>
      <c r="M38" s="40">
        <f>财务基础数据!R151*目录!$D$6</f>
        <v>0</v>
      </c>
      <c r="N38" s="40">
        <f>财务基础数据!S151*目录!$D$6</f>
        <v>0</v>
      </c>
      <c r="O38" s="40">
        <f>财务基础数据!T151*目录!$D$6</f>
        <v>0</v>
      </c>
      <c r="P38" s="40">
        <f>财务基础数据!U151*目录!$D$6</f>
        <v>0</v>
      </c>
      <c r="Q38" s="40">
        <f>财务基础数据!V151*目录!$D$6</f>
        <v>0</v>
      </c>
      <c r="R38" s="40">
        <f>财务基础数据!W151*目录!$D$6</f>
        <v>0</v>
      </c>
      <c r="S38" s="40">
        <f>财务基础数据!X151*目录!$D$6</f>
        <v>0</v>
      </c>
      <c r="T38" s="40">
        <f>财务基础数据!Y151*目录!$D$6</f>
        <v>0</v>
      </c>
      <c r="U38" s="40">
        <f>财务基础数据!Z151*目录!$D$6</f>
        <v>0</v>
      </c>
      <c r="V38" s="40">
        <f>财务基础数据!AA151*目录!$D$6</f>
        <v>0</v>
      </c>
      <c r="W38" s="40">
        <f>财务基础数据!AB151*目录!$D$6</f>
        <v>0</v>
      </c>
      <c r="X38" s="40">
        <f>财务基础数据!AC151*目录!$D$6</f>
        <v>0</v>
      </c>
      <c r="Y38" s="40">
        <f>财务基础数据!AD151*目录!$D$6</f>
        <v>0</v>
      </c>
      <c r="Z38" s="40">
        <f>财务基础数据!AE151*目录!$D$6</f>
        <v>0</v>
      </c>
      <c r="AA38" s="40">
        <f>财务基础数据!AF151*目录!$D$6</f>
        <v>0</v>
      </c>
      <c r="AB38" s="40">
        <f>财务基础数据!AG151*目录!$D$6</f>
        <v>0</v>
      </c>
      <c r="AC38" s="40">
        <f>财务基础数据!AH151*目录!$D$6</f>
        <v>0</v>
      </c>
      <c r="AD38" s="40">
        <f>财务基础数据!AI151*目录!$D$6</f>
        <v>0</v>
      </c>
      <c r="AE38" s="40">
        <f>财务基础数据!AJ151*目录!$D$6</f>
        <v>0</v>
      </c>
      <c r="AF38" s="40">
        <f>财务基础数据!AK151*目录!$D$6</f>
        <v>0</v>
      </c>
      <c r="AG38" s="40">
        <f>财务基础数据!AL151*目录!$D$6</f>
        <v>0</v>
      </c>
      <c r="AH38" s="491">
        <f>财务基础数据!AM151*目录!$D$6</f>
        <v>0</v>
      </c>
      <c r="AI38" s="491">
        <f>财务基础数据!AN151*目录!$D$6</f>
        <v>0</v>
      </c>
      <c r="AJ38" s="491">
        <f>财务基础数据!AO151*目录!$D$6</f>
        <v>0</v>
      </c>
      <c r="AK38" s="491">
        <f>财务基础数据!AP151*目录!$D$6</f>
        <v>0</v>
      </c>
      <c r="AL38" s="41">
        <f>IF(ISERROR(资产预测!P158),"—",资产预测!P158)</f>
        <v>0</v>
      </c>
      <c r="AM38" s="41">
        <f>IF(ISERROR(资产预测!Q158),"—",资产预测!Q158)</f>
        <v>0</v>
      </c>
      <c r="AN38" s="41">
        <f>IF(ISERROR(资产预测!R158),"—",资产预测!R158)</f>
        <v>0</v>
      </c>
      <c r="AO38" s="41">
        <f>IF(ISERROR(资产预测!S158),"—",资产预测!S158)</f>
        <v>0</v>
      </c>
      <c r="AP38" s="41">
        <f>IF(ISERROR(资产预测!T158),"—",资产预测!T158)</f>
        <v>0</v>
      </c>
      <c r="AQ38" s="41">
        <f>IF(ISERROR(资产预测!U158),"—",资产预测!U158)</f>
        <v>0</v>
      </c>
      <c r="AR38" s="41">
        <f>IF(ISERROR(资产预测!V158),"—",资产预测!V158)</f>
        <v>0</v>
      </c>
      <c r="AS38" s="41">
        <f>IF(ISERROR(资产预测!W158),"—",资产预测!W158)</f>
        <v>0</v>
      </c>
      <c r="AT38" s="41">
        <f>IF(ISERROR(资产预测!X158),"—",资产预测!X158)</f>
        <v>0</v>
      </c>
      <c r="AU38" s="41">
        <f>IF(ISERROR(资产预测!Y158),"—",资产预测!Y158)</f>
        <v>0</v>
      </c>
    </row>
    <row r="39" spans="1:47" ht="14.15">
      <c r="B39" s="342" t="s">
        <v>881</v>
      </c>
      <c r="C39" s="39"/>
      <c r="D39" s="67"/>
      <c r="E39" s="40">
        <f>财务基础数据!J154*目录!$D$6</f>
        <v>0</v>
      </c>
      <c r="F39" s="40">
        <f>财务基础数据!K154*目录!$D$6</f>
        <v>0</v>
      </c>
      <c r="G39" s="40">
        <f>财务基础数据!L154*目录!$D$6</f>
        <v>0</v>
      </c>
      <c r="H39" s="40">
        <f>财务基础数据!M154*目录!$D$6</f>
        <v>0</v>
      </c>
      <c r="I39" s="40">
        <f>财务基础数据!N154*目录!$D$6</f>
        <v>0</v>
      </c>
      <c r="J39" s="40">
        <f>财务基础数据!O154*目录!$D$6</f>
        <v>0</v>
      </c>
      <c r="K39" s="40">
        <f>财务基础数据!P154*目录!$D$6</f>
        <v>0</v>
      </c>
      <c r="L39" s="40">
        <f>财务基础数据!Q154*目录!$D$6</f>
        <v>0</v>
      </c>
      <c r="M39" s="40">
        <f>财务基础数据!R154*目录!$D$6</f>
        <v>0</v>
      </c>
      <c r="N39" s="40">
        <f>财务基础数据!S154*目录!$D$6</f>
        <v>0</v>
      </c>
      <c r="O39" s="40">
        <f>财务基础数据!T154*目录!$D$6</f>
        <v>0</v>
      </c>
      <c r="P39" s="40">
        <f>财务基础数据!U154*目录!$D$6</f>
        <v>0</v>
      </c>
      <c r="Q39" s="40">
        <f>财务基础数据!V154*目录!$D$6</f>
        <v>0</v>
      </c>
      <c r="R39" s="40">
        <f>财务基础数据!W154*目录!$D$6</f>
        <v>0</v>
      </c>
      <c r="S39" s="40">
        <f>财务基础数据!X154*目录!$D$6</f>
        <v>0</v>
      </c>
      <c r="T39" s="40">
        <f>财务基础数据!Y154*目录!$D$6</f>
        <v>0</v>
      </c>
      <c r="U39" s="40">
        <f>财务基础数据!Z154*目录!$D$6</f>
        <v>0</v>
      </c>
      <c r="V39" s="40">
        <f>财务基础数据!AA154*目录!$D$6</f>
        <v>0</v>
      </c>
      <c r="W39" s="40">
        <f>财务基础数据!AB154*目录!$D$6</f>
        <v>0</v>
      </c>
      <c r="X39" s="40">
        <f>财务基础数据!AC154*目录!$D$6</f>
        <v>0</v>
      </c>
      <c r="Y39" s="40">
        <f>财务基础数据!AD154*目录!$D$6</f>
        <v>0</v>
      </c>
      <c r="Z39" s="40">
        <f>财务基础数据!AE154*目录!$D$6</f>
        <v>0</v>
      </c>
      <c r="AA39" s="40">
        <f>财务基础数据!AF154*目录!$D$6</f>
        <v>0</v>
      </c>
      <c r="AB39" s="40">
        <f>财务基础数据!AG154*目录!$D$6</f>
        <v>0</v>
      </c>
      <c r="AC39" s="40">
        <f>财务基础数据!AH154*目录!$D$6</f>
        <v>0</v>
      </c>
      <c r="AD39" s="40">
        <f>财务基础数据!AI154*目录!$D$6</f>
        <v>0</v>
      </c>
      <c r="AE39" s="40">
        <f>财务基础数据!AJ154*目录!$D$6</f>
        <v>0</v>
      </c>
      <c r="AF39" s="40">
        <f>财务基础数据!AK154*目录!$D$6</f>
        <v>0</v>
      </c>
      <c r="AG39" s="40">
        <f>财务基础数据!AL154*目录!$D$6</f>
        <v>0</v>
      </c>
      <c r="AH39" s="491">
        <f>财务基础数据!AM154*目录!$D$6</f>
        <v>0</v>
      </c>
      <c r="AI39" s="491">
        <f>财务基础数据!AN154*目录!$D$6</f>
        <v>0</v>
      </c>
      <c r="AJ39" s="491">
        <f>财务基础数据!AO154*目录!$D$6</f>
        <v>0</v>
      </c>
      <c r="AK39" s="491">
        <f>财务基础数据!AP154*目录!$D$6</f>
        <v>0</v>
      </c>
      <c r="AL39" s="41">
        <f>IF(ISERROR(资产预测!P108),"—",资产预测!P108)</f>
        <v>0</v>
      </c>
      <c r="AM39" s="41">
        <f>IF(ISERROR(资产预测!Q108),"—",资产预测!Q108)</f>
        <v>0</v>
      </c>
      <c r="AN39" s="41">
        <f>IF(ISERROR(资产预测!R108),"—",资产预测!R108)</f>
        <v>0</v>
      </c>
      <c r="AO39" s="41">
        <f>IF(ISERROR(资产预测!S108),"—",资产预测!S108)</f>
        <v>0</v>
      </c>
      <c r="AP39" s="41">
        <f>IF(ISERROR(资产预测!T108),"—",资产预测!T108)</f>
        <v>0</v>
      </c>
      <c r="AQ39" s="41">
        <f>IF(ISERROR(资产预测!U108),"—",资产预测!U108)</f>
        <v>0</v>
      </c>
      <c r="AR39" s="41">
        <f>IF(ISERROR(资产预测!V108),"—",资产预测!V108)</f>
        <v>0</v>
      </c>
      <c r="AS39" s="41">
        <f>IF(ISERROR(资产预测!W108),"—",资产预测!W108)</f>
        <v>0</v>
      </c>
      <c r="AT39" s="41">
        <f>IF(ISERROR(资产预测!X108),"—",资产预测!X108)</f>
        <v>0</v>
      </c>
      <c r="AU39" s="41">
        <f>IF(ISERROR(资产预测!Y108),"—",资产预测!Y108)</f>
        <v>0</v>
      </c>
    </row>
    <row r="40" spans="1:47" ht="13.75">
      <c r="B40" s="342" t="s">
        <v>882</v>
      </c>
      <c r="D40" s="23" t="s">
        <v>1258</v>
      </c>
      <c r="E40" s="40">
        <f>财务基础数据!J158*目录!$D$6</f>
        <v>0</v>
      </c>
      <c r="F40" s="40">
        <f>(财务基础数据!K158+财务基础数据!K160)*目录!$D$6</f>
        <v>0</v>
      </c>
      <c r="G40" s="40">
        <f>(财务基础数据!L158+财务基础数据!L160)*目录!$D$6</f>
        <v>0</v>
      </c>
      <c r="H40" s="40">
        <f>(财务基础数据!M158+财务基础数据!M160)*目录!$D$6</f>
        <v>0</v>
      </c>
      <c r="I40" s="40">
        <f>(财务基础数据!N158+财务基础数据!N160)*目录!$D$6</f>
        <v>0</v>
      </c>
      <c r="J40" s="40">
        <f>(财务基础数据!O158+财务基础数据!O160)*目录!$D$6</f>
        <v>0</v>
      </c>
      <c r="K40" s="40">
        <f>(财务基础数据!P158+财务基础数据!P160)*目录!$D$6</f>
        <v>0</v>
      </c>
      <c r="L40" s="40">
        <f>(财务基础数据!Q158+财务基础数据!Q160)*目录!$D$6</f>
        <v>0</v>
      </c>
      <c r="M40" s="40">
        <f>(财务基础数据!R158+财务基础数据!R160)*目录!$D$6</f>
        <v>0</v>
      </c>
      <c r="N40" s="40">
        <f>(财务基础数据!S158+财务基础数据!S160)*目录!$D$6</f>
        <v>0</v>
      </c>
      <c r="O40" s="40">
        <f>(财务基础数据!T158+财务基础数据!T160)*目录!$D$6</f>
        <v>0</v>
      </c>
      <c r="P40" s="40">
        <f>(财务基础数据!U158+财务基础数据!U160)*目录!$D$6</f>
        <v>0</v>
      </c>
      <c r="Q40" s="40">
        <f>(财务基础数据!V158+财务基础数据!V160)*目录!$D$6</f>
        <v>0</v>
      </c>
      <c r="R40" s="40">
        <f>(财务基础数据!W158+财务基础数据!W160)*目录!$D$6</f>
        <v>0</v>
      </c>
      <c r="S40" s="40">
        <f>(财务基础数据!X158+财务基础数据!X160)*目录!$D$6</f>
        <v>0</v>
      </c>
      <c r="T40" s="40">
        <f>(财务基础数据!Y158+财务基础数据!Y160)*目录!$D$6</f>
        <v>0</v>
      </c>
      <c r="U40" s="40">
        <f>(财务基础数据!Z158+财务基础数据!Z160)*目录!$D$6</f>
        <v>0</v>
      </c>
      <c r="V40" s="40">
        <f>(财务基础数据!AA158+财务基础数据!AA160)*目录!$D$6</f>
        <v>0</v>
      </c>
      <c r="W40" s="40">
        <f>(财务基础数据!AB158+财务基础数据!AB160)*目录!$D$6</f>
        <v>0</v>
      </c>
      <c r="X40" s="40">
        <f>(财务基础数据!AC158+财务基础数据!AC160)*目录!$D$6</f>
        <v>0</v>
      </c>
      <c r="Y40" s="40">
        <f>(财务基础数据!AD158+财务基础数据!AD160)*目录!$D$6</f>
        <v>0</v>
      </c>
      <c r="Z40" s="40">
        <f>(财务基础数据!AE158+财务基础数据!AE160)*目录!$D$6</f>
        <v>0</v>
      </c>
      <c r="AA40" s="40">
        <f>(财务基础数据!AF158+财务基础数据!AF160)*目录!$D$6</f>
        <v>0</v>
      </c>
      <c r="AB40" s="40">
        <f>(财务基础数据!AG158+财务基础数据!AG160)*目录!$D$6</f>
        <v>0</v>
      </c>
      <c r="AC40" s="40">
        <f>(财务基础数据!AH158+财务基础数据!AH160)*目录!$D$6</f>
        <v>0</v>
      </c>
      <c r="AD40" s="40">
        <f>(财务基础数据!AI158+财务基础数据!AI160)*目录!$D$6</f>
        <v>0</v>
      </c>
      <c r="AE40" s="40">
        <f>(财务基础数据!AJ158+财务基础数据!AJ160)*目录!$D$6</f>
        <v>0</v>
      </c>
      <c r="AF40" s="40">
        <f>(财务基础数据!AK158+财务基础数据!AK160)*目录!$D$6</f>
        <v>0</v>
      </c>
      <c r="AG40" s="40">
        <f>(财务基础数据!AL158+财务基础数据!AL160)*目录!$D$6</f>
        <v>0</v>
      </c>
      <c r="AH40" s="491">
        <f>(财务基础数据!AM158+财务基础数据!AM160)*目录!$D$6</f>
        <v>0</v>
      </c>
      <c r="AI40" s="491">
        <f>(财务基础数据!AN158+财务基础数据!AN160)*目录!$D$6</f>
        <v>0</v>
      </c>
      <c r="AJ40" s="491">
        <f>(财务基础数据!AO158+财务基础数据!AO160)*目录!$D$6</f>
        <v>0</v>
      </c>
      <c r="AK40" s="491">
        <f>(财务基础数据!AP158+财务基础数据!AP160)*目录!$D$6</f>
        <v>0</v>
      </c>
      <c r="AL40" s="108">
        <f>AG40</f>
        <v>0</v>
      </c>
      <c r="AM40" s="108">
        <f>AL40</f>
        <v>0</v>
      </c>
      <c r="AN40" s="108">
        <f>AM40</f>
        <v>0</v>
      </c>
      <c r="AO40" s="108">
        <f t="shared" ref="AO40:AU40" si="9">AN40</f>
        <v>0</v>
      </c>
      <c r="AP40" s="108">
        <f t="shared" si="9"/>
        <v>0</v>
      </c>
      <c r="AQ40" s="108">
        <f t="shared" si="9"/>
        <v>0</v>
      </c>
      <c r="AR40" s="108">
        <f t="shared" si="9"/>
        <v>0</v>
      </c>
      <c r="AS40" s="108">
        <f t="shared" si="9"/>
        <v>0</v>
      </c>
      <c r="AT40" s="108">
        <f t="shared" si="9"/>
        <v>0</v>
      </c>
      <c r="AU40" s="108">
        <f t="shared" si="9"/>
        <v>0</v>
      </c>
    </row>
    <row r="41" spans="1:47" ht="13.75">
      <c r="A41" s="39"/>
      <c r="B41" s="662" t="s">
        <v>883</v>
      </c>
      <c r="C41" s="410"/>
      <c r="D41" s="281" t="s">
        <v>1258</v>
      </c>
      <c r="E41" s="49">
        <f>(财务基础数据!J155+财务基础数据!J161)*目录!$D$6</f>
        <v>0</v>
      </c>
      <c r="F41" s="49">
        <f>(财务基础数据!K155+财务基础数据!K161+财务基础数据!K111+财务基础数据!K116)*目录!$D$6</f>
        <v>0</v>
      </c>
      <c r="G41" s="49">
        <f>(财务基础数据!L155+财务基础数据!L161+财务基础数据!L111+财务基础数据!L116)*目录!$D$6</f>
        <v>0</v>
      </c>
      <c r="H41" s="49">
        <f>(财务基础数据!M155+财务基础数据!M161+财务基础数据!M111+财务基础数据!M116)*目录!$D$6</f>
        <v>0</v>
      </c>
      <c r="I41" s="49">
        <f>(财务基础数据!N155+财务基础数据!N161+财务基础数据!N111+财务基础数据!N116)*目录!$D$6</f>
        <v>0</v>
      </c>
      <c r="J41" s="49">
        <f>(财务基础数据!O155+财务基础数据!O161+财务基础数据!O111+财务基础数据!O116)*目录!$D$6</f>
        <v>0</v>
      </c>
      <c r="K41" s="49">
        <f>(财务基础数据!P155+财务基础数据!P161+财务基础数据!P111+财务基础数据!P116)*目录!$D$6</f>
        <v>0</v>
      </c>
      <c r="L41" s="49">
        <f>(财务基础数据!Q155+财务基础数据!Q161+财务基础数据!Q111+财务基础数据!Q116)*目录!$D$6</f>
        <v>0</v>
      </c>
      <c r="M41" s="49">
        <f>(财务基础数据!R155+财务基础数据!R161+财务基础数据!R111+财务基础数据!R116)*目录!$D$6</f>
        <v>0</v>
      </c>
      <c r="N41" s="49">
        <f>(财务基础数据!S155+财务基础数据!S161+财务基础数据!S111+财务基础数据!S116)*目录!$D$6</f>
        <v>0</v>
      </c>
      <c r="O41" s="49">
        <f>(财务基础数据!T155+财务基础数据!T161+财务基础数据!T111+财务基础数据!T116)*目录!$D$6</f>
        <v>0</v>
      </c>
      <c r="P41" s="49">
        <f>(财务基础数据!U155+财务基础数据!U161+财务基础数据!U111+财务基础数据!U116)*目录!$D$6</f>
        <v>0</v>
      </c>
      <c r="Q41" s="49">
        <f>(财务基础数据!V155+财务基础数据!V161+财务基础数据!V111+财务基础数据!V116)*目录!$D$6</f>
        <v>0</v>
      </c>
      <c r="R41" s="49">
        <f>(财务基础数据!W155+财务基础数据!W161+财务基础数据!W111+财务基础数据!W116)*目录!$D$6</f>
        <v>0</v>
      </c>
      <c r="S41" s="49">
        <f>(财务基础数据!X155+财务基础数据!X161+财务基础数据!X111+财务基础数据!X116)*目录!$D$6</f>
        <v>0</v>
      </c>
      <c r="T41" s="49">
        <f>(财务基础数据!Y155+财务基础数据!Y161+财务基础数据!Y111+财务基础数据!Y116)*目录!$D$6</f>
        <v>0</v>
      </c>
      <c r="U41" s="49">
        <f>(财务基础数据!Z155+财务基础数据!Z161+财务基础数据!Z111+财务基础数据!Z116)*目录!$D$6</f>
        <v>0</v>
      </c>
      <c r="V41" s="49">
        <f>(财务基础数据!AA155+财务基础数据!AA161+财务基础数据!AA111+财务基础数据!AA116)*目录!$D$6</f>
        <v>0</v>
      </c>
      <c r="W41" s="49">
        <f>(财务基础数据!AB155+财务基础数据!AB161+财务基础数据!AB111+财务基础数据!AB116)*目录!$D$6</f>
        <v>0</v>
      </c>
      <c r="X41" s="49">
        <f>(财务基础数据!AC155+财务基础数据!AC161+财务基础数据!AC111+财务基础数据!AC116)*目录!$D$6</f>
        <v>0</v>
      </c>
      <c r="Y41" s="49">
        <f>(财务基础数据!AD155+财务基础数据!AD161+财务基础数据!AD111+财务基础数据!AD116)*目录!$D$6</f>
        <v>0</v>
      </c>
      <c r="Z41" s="49">
        <f>(财务基础数据!AE155+财务基础数据!AE161+财务基础数据!AE111+财务基础数据!AE116)*目录!$D$6</f>
        <v>0</v>
      </c>
      <c r="AA41" s="49">
        <f>(财务基础数据!AF155+财务基础数据!AF161+财务基础数据!AF111+财务基础数据!AF116)*目录!$D$6</f>
        <v>0</v>
      </c>
      <c r="AB41" s="49">
        <f>(财务基础数据!AG155+财务基础数据!AG161+财务基础数据!AG111+财务基础数据!AG116)*目录!$D$6</f>
        <v>0</v>
      </c>
      <c r="AC41" s="49">
        <f>(财务基础数据!AH155+财务基础数据!AH161+财务基础数据!AH111+财务基础数据!AH116)*目录!$D$6</f>
        <v>0</v>
      </c>
      <c r="AD41" s="49">
        <f>(财务基础数据!AI155+财务基础数据!AI161+财务基础数据!AI111+财务基础数据!AI116)*目录!$D$6</f>
        <v>0</v>
      </c>
      <c r="AE41" s="49">
        <f>(财务基础数据!AJ155+财务基础数据!AJ161+财务基础数据!AJ111+财务基础数据!AJ116)*目录!$D$6</f>
        <v>0</v>
      </c>
      <c r="AF41" s="49">
        <f>(财务基础数据!AK155+财务基础数据!AK161+财务基础数据!AK111+财务基础数据!AK116)*目录!$D$6</f>
        <v>0</v>
      </c>
      <c r="AG41" s="49">
        <f>(财务基础数据!AL155+财务基础数据!AL161+财务基础数据!AL111+财务基础数据!AL116)*目录!$D$6</f>
        <v>0</v>
      </c>
      <c r="AH41" s="617">
        <f>(财务基础数据!AM155+财务基础数据!AM161+财务基础数据!AM111+财务基础数据!AM116)*目录!$D$6</f>
        <v>0</v>
      </c>
      <c r="AI41" s="617">
        <f>(财务基础数据!AN155+财务基础数据!AN161+财务基础数据!AN111+财务基础数据!AN116)*目录!$D$6</f>
        <v>0</v>
      </c>
      <c r="AJ41" s="617">
        <f>(财务基础数据!AO155+财务基础数据!AO161+财务基础数据!AO111+财务基础数据!AO116)*目录!$D$6</f>
        <v>0</v>
      </c>
      <c r="AK41" s="617">
        <f>(财务基础数据!AP155+财务基础数据!AP161+财务基础数据!AP111+财务基础数据!AP116)*目录!$D$6</f>
        <v>0</v>
      </c>
      <c r="AL41" s="131">
        <f>AG41</f>
        <v>0</v>
      </c>
      <c r="AM41" s="131">
        <f>AL41</f>
        <v>0</v>
      </c>
      <c r="AN41" s="131">
        <f>AM41</f>
        <v>0</v>
      </c>
      <c r="AO41" s="131">
        <f t="shared" ref="AO41:AU41" si="10">AN41</f>
        <v>0</v>
      </c>
      <c r="AP41" s="131">
        <f t="shared" si="10"/>
        <v>0</v>
      </c>
      <c r="AQ41" s="131">
        <f t="shared" si="10"/>
        <v>0</v>
      </c>
      <c r="AR41" s="131">
        <f t="shared" si="10"/>
        <v>0</v>
      </c>
      <c r="AS41" s="131">
        <f t="shared" si="10"/>
        <v>0</v>
      </c>
      <c r="AT41" s="131">
        <f t="shared" si="10"/>
        <v>0</v>
      </c>
      <c r="AU41" s="131">
        <f t="shared" si="10"/>
        <v>0</v>
      </c>
    </row>
    <row r="42" spans="1:47" ht="14.15">
      <c r="B42" s="273" t="s">
        <v>689</v>
      </c>
      <c r="C42" s="39"/>
      <c r="D42" s="67"/>
      <c r="E42" s="46">
        <f>SUM(E24:E41)</f>
        <v>0</v>
      </c>
      <c r="F42" s="46">
        <f t="shared" ref="F42:AK42" si="11">SUM(F24:F41)</f>
        <v>0</v>
      </c>
      <c r="G42" s="46">
        <f t="shared" si="11"/>
        <v>0</v>
      </c>
      <c r="H42" s="46">
        <f t="shared" si="11"/>
        <v>0</v>
      </c>
      <c r="I42" s="46">
        <f t="shared" si="11"/>
        <v>0</v>
      </c>
      <c r="J42" s="46">
        <f t="shared" si="11"/>
        <v>0</v>
      </c>
      <c r="K42" s="46">
        <f t="shared" si="11"/>
        <v>0</v>
      </c>
      <c r="L42" s="46">
        <f t="shared" si="11"/>
        <v>0</v>
      </c>
      <c r="M42" s="46">
        <f t="shared" si="11"/>
        <v>0</v>
      </c>
      <c r="N42" s="46">
        <f t="shared" si="11"/>
        <v>0</v>
      </c>
      <c r="O42" s="46">
        <f t="shared" si="11"/>
        <v>0</v>
      </c>
      <c r="P42" s="46">
        <f t="shared" si="11"/>
        <v>0</v>
      </c>
      <c r="Q42" s="46">
        <f t="shared" si="11"/>
        <v>0</v>
      </c>
      <c r="R42" s="46">
        <f t="shared" si="11"/>
        <v>0</v>
      </c>
      <c r="S42" s="46">
        <f t="shared" si="11"/>
        <v>0</v>
      </c>
      <c r="T42" s="46">
        <f t="shared" si="11"/>
        <v>0</v>
      </c>
      <c r="U42" s="46">
        <f t="shared" si="11"/>
        <v>0</v>
      </c>
      <c r="V42" s="46">
        <f t="shared" si="11"/>
        <v>0</v>
      </c>
      <c r="W42" s="46">
        <f t="shared" si="11"/>
        <v>0</v>
      </c>
      <c r="X42" s="46">
        <f t="shared" si="11"/>
        <v>0</v>
      </c>
      <c r="Y42" s="46">
        <f t="shared" si="11"/>
        <v>0</v>
      </c>
      <c r="Z42" s="46">
        <f t="shared" si="11"/>
        <v>0</v>
      </c>
      <c r="AA42" s="46">
        <f t="shared" si="11"/>
        <v>0</v>
      </c>
      <c r="AB42" s="46">
        <f t="shared" si="11"/>
        <v>0</v>
      </c>
      <c r="AC42" s="46">
        <f t="shared" si="11"/>
        <v>0</v>
      </c>
      <c r="AD42" s="46">
        <f t="shared" si="11"/>
        <v>0</v>
      </c>
      <c r="AE42" s="46">
        <f t="shared" si="11"/>
        <v>0</v>
      </c>
      <c r="AF42" s="46">
        <f t="shared" si="11"/>
        <v>0</v>
      </c>
      <c r="AG42" s="46">
        <f t="shared" si="11"/>
        <v>0</v>
      </c>
      <c r="AH42" s="493">
        <f t="shared" si="11"/>
        <v>0</v>
      </c>
      <c r="AI42" s="493">
        <f t="shared" si="11"/>
        <v>0</v>
      </c>
      <c r="AJ42" s="493">
        <f t="shared" si="11"/>
        <v>0</v>
      </c>
      <c r="AK42" s="493">
        <f t="shared" si="11"/>
        <v>0</v>
      </c>
      <c r="AL42" s="493">
        <f>SUM(AL24:AL41)</f>
        <v>0</v>
      </c>
      <c r="AM42" s="493">
        <f t="shared" ref="AM42:AU42" si="12">SUM(AM24:AM41)</f>
        <v>0</v>
      </c>
      <c r="AN42" s="493">
        <f t="shared" si="12"/>
        <v>0</v>
      </c>
      <c r="AO42" s="493">
        <f t="shared" si="12"/>
        <v>0</v>
      </c>
      <c r="AP42" s="493">
        <f t="shared" si="12"/>
        <v>0</v>
      </c>
      <c r="AQ42" s="493">
        <f t="shared" si="12"/>
        <v>0</v>
      </c>
      <c r="AR42" s="493">
        <f t="shared" si="12"/>
        <v>0</v>
      </c>
      <c r="AS42" s="493">
        <f t="shared" si="12"/>
        <v>0</v>
      </c>
      <c r="AT42" s="493">
        <f t="shared" si="12"/>
        <v>0</v>
      </c>
      <c r="AU42" s="493">
        <f t="shared" si="12"/>
        <v>0</v>
      </c>
    </row>
    <row r="43" spans="1:47" s="604" customFormat="1" ht="14.15">
      <c r="A43" s="600"/>
      <c r="B43" s="593" t="s">
        <v>1102</v>
      </c>
      <c r="C43" s="605"/>
      <c r="D43" s="606"/>
      <c r="E43" s="602">
        <f>财务基础数据!J162*目录!$D$6-E42</f>
        <v>0</v>
      </c>
      <c r="F43" s="602">
        <f>财务基础数据!K162*目录!$D$6-F42</f>
        <v>0</v>
      </c>
      <c r="G43" s="602">
        <f>财务基础数据!L162*目录!$D$6-G42</f>
        <v>0</v>
      </c>
      <c r="H43" s="602">
        <f>财务基础数据!M162*目录!$D$6-H42</f>
        <v>0</v>
      </c>
      <c r="I43" s="602">
        <f>财务基础数据!N162*目录!$D$6-I42</f>
        <v>0</v>
      </c>
      <c r="J43" s="602">
        <f>财务基础数据!O162*目录!$D$6-J42</f>
        <v>0</v>
      </c>
      <c r="K43" s="602">
        <f>财务基础数据!P162*目录!$D$6-K42</f>
        <v>0</v>
      </c>
      <c r="L43" s="602">
        <f>财务基础数据!Q162*目录!$D$6-L42</f>
        <v>0</v>
      </c>
      <c r="M43" s="602">
        <f>财务基础数据!R162*目录!$D$6-M42</f>
        <v>0</v>
      </c>
      <c r="N43" s="602">
        <f>财务基础数据!S162*目录!$D$6-N42</f>
        <v>0</v>
      </c>
      <c r="O43" s="602">
        <f>财务基础数据!T162*目录!$D$6-O42</f>
        <v>0</v>
      </c>
      <c r="P43" s="602">
        <f>财务基础数据!U162*目录!$D$6-P42</f>
        <v>0</v>
      </c>
      <c r="Q43" s="602">
        <f>财务基础数据!V162*目录!$D$6-Q42</f>
        <v>0</v>
      </c>
      <c r="R43" s="602">
        <f>财务基础数据!W162*目录!$D$6-R42</f>
        <v>0</v>
      </c>
      <c r="S43" s="602">
        <f>财务基础数据!X162*目录!$D$6-S42</f>
        <v>0</v>
      </c>
      <c r="T43" s="614">
        <f>财务基础数据!Y162*目录!$D$6-T42</f>
        <v>0</v>
      </c>
      <c r="U43" s="602">
        <f>财务基础数据!Z162*目录!$D$6-U42</f>
        <v>0</v>
      </c>
      <c r="V43" s="602">
        <f>财务基础数据!AA162*目录!$D$6-V42</f>
        <v>0</v>
      </c>
      <c r="W43" s="602">
        <f>财务基础数据!AB162*目录!$D$6-W42</f>
        <v>0</v>
      </c>
      <c r="X43" s="602">
        <f>财务基础数据!AC162*目录!$D$6-X42</f>
        <v>0</v>
      </c>
      <c r="Y43" s="602">
        <f>财务基础数据!AD162*目录!$D$6-Y42</f>
        <v>0</v>
      </c>
      <c r="Z43" s="602">
        <f>财务基础数据!AE162*目录!$D$6-Z42</f>
        <v>0</v>
      </c>
      <c r="AA43" s="602">
        <f>财务基础数据!AF162*目录!$D$6-AA42</f>
        <v>0</v>
      </c>
      <c r="AB43" s="602">
        <f>财务基础数据!AG162*目录!$D$6-AB42</f>
        <v>0</v>
      </c>
      <c r="AC43" s="602">
        <f>财务基础数据!AH162*目录!$D$6-AC42</f>
        <v>0</v>
      </c>
      <c r="AD43" s="602">
        <f>财务基础数据!AI162*目录!$D$6-AD42</f>
        <v>0</v>
      </c>
      <c r="AE43" s="602">
        <f>财务基础数据!AJ162*目录!$D$6-AE42</f>
        <v>0</v>
      </c>
      <c r="AF43" s="602">
        <f>财务基础数据!AK162*目录!$D$6-AF42</f>
        <v>0</v>
      </c>
      <c r="AG43" s="602">
        <f>财务基础数据!AL162*目录!$D$6-AG42</f>
        <v>0</v>
      </c>
      <c r="AH43" s="614">
        <f>财务基础数据!AM162*目录!$D$6-AH42</f>
        <v>0</v>
      </c>
      <c r="AI43" s="614">
        <f>财务基础数据!AN162*目录!$D$6-AI42</f>
        <v>0</v>
      </c>
      <c r="AJ43" s="614">
        <f>财务基础数据!AO162*目录!$D$6-AJ42</f>
        <v>0</v>
      </c>
      <c r="AK43" s="614">
        <f>财务基础数据!AP162*目录!$D$6-AK42</f>
        <v>0</v>
      </c>
      <c r="AL43" s="607"/>
      <c r="AM43" s="607"/>
      <c r="AN43" s="607"/>
      <c r="AO43" s="607"/>
      <c r="AP43" s="607"/>
      <c r="AQ43" s="607"/>
      <c r="AR43" s="607"/>
      <c r="AS43" s="607"/>
      <c r="AT43" s="607"/>
      <c r="AU43" s="607"/>
    </row>
    <row r="44" spans="1:47">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91"/>
      <c r="AI44" s="491"/>
      <c r="AJ44" s="491"/>
      <c r="AK44" s="491"/>
      <c r="AL44" s="40"/>
      <c r="AM44" s="40"/>
      <c r="AN44" s="40"/>
      <c r="AO44" s="40"/>
      <c r="AP44" s="40"/>
      <c r="AQ44" s="40"/>
      <c r="AR44" s="40"/>
      <c r="AS44" s="40"/>
      <c r="AT44" s="40"/>
      <c r="AU44" s="40"/>
    </row>
    <row r="45" spans="1:47" s="48" customFormat="1" ht="14.6" thickBot="1">
      <c r="A45" s="1"/>
      <c r="B45" s="274" t="s">
        <v>690</v>
      </c>
      <c r="C45" s="32"/>
      <c r="D45" s="279"/>
      <c r="E45" s="50">
        <f t="shared" ref="E45:AU45" si="13">IF(ISERROR(E21+E42),"—",E21+E42)</f>
        <v>0</v>
      </c>
      <c r="F45" s="50">
        <f t="shared" si="13"/>
        <v>0</v>
      </c>
      <c r="G45" s="50">
        <f t="shared" si="13"/>
        <v>0</v>
      </c>
      <c r="H45" s="50">
        <f t="shared" si="13"/>
        <v>0</v>
      </c>
      <c r="I45" s="50">
        <f t="shared" si="13"/>
        <v>0</v>
      </c>
      <c r="J45" s="50">
        <f t="shared" si="13"/>
        <v>0</v>
      </c>
      <c r="K45" s="50">
        <f t="shared" si="13"/>
        <v>0</v>
      </c>
      <c r="L45" s="50">
        <f t="shared" si="13"/>
        <v>0</v>
      </c>
      <c r="M45" s="50">
        <f t="shared" si="13"/>
        <v>0</v>
      </c>
      <c r="N45" s="50">
        <f t="shared" si="13"/>
        <v>0</v>
      </c>
      <c r="O45" s="50">
        <f t="shared" si="13"/>
        <v>0</v>
      </c>
      <c r="P45" s="50">
        <f t="shared" si="13"/>
        <v>0</v>
      </c>
      <c r="Q45" s="50">
        <f t="shared" si="13"/>
        <v>0</v>
      </c>
      <c r="R45" s="50">
        <f t="shared" si="13"/>
        <v>0</v>
      </c>
      <c r="S45" s="50">
        <f t="shared" si="13"/>
        <v>0</v>
      </c>
      <c r="T45" s="50">
        <f t="shared" si="13"/>
        <v>0</v>
      </c>
      <c r="U45" s="50">
        <f t="shared" si="13"/>
        <v>0</v>
      </c>
      <c r="V45" s="50">
        <f t="shared" si="13"/>
        <v>0</v>
      </c>
      <c r="W45" s="50">
        <f t="shared" si="13"/>
        <v>0</v>
      </c>
      <c r="X45" s="50">
        <f t="shared" si="13"/>
        <v>0</v>
      </c>
      <c r="Y45" s="50">
        <f t="shared" si="13"/>
        <v>0</v>
      </c>
      <c r="Z45" s="50">
        <f t="shared" si="13"/>
        <v>0</v>
      </c>
      <c r="AA45" s="50">
        <f t="shared" si="13"/>
        <v>0</v>
      </c>
      <c r="AB45" s="50">
        <f t="shared" si="13"/>
        <v>0</v>
      </c>
      <c r="AC45" s="50">
        <f t="shared" si="13"/>
        <v>0</v>
      </c>
      <c r="AD45" s="50">
        <f t="shared" si="13"/>
        <v>0</v>
      </c>
      <c r="AE45" s="50">
        <f t="shared" si="13"/>
        <v>0</v>
      </c>
      <c r="AF45" s="50">
        <f t="shared" si="13"/>
        <v>0</v>
      </c>
      <c r="AG45" s="50">
        <f t="shared" si="13"/>
        <v>0</v>
      </c>
      <c r="AH45" s="618">
        <f t="shared" si="13"/>
        <v>0</v>
      </c>
      <c r="AI45" s="618">
        <f t="shared" si="13"/>
        <v>0</v>
      </c>
      <c r="AJ45" s="618">
        <f t="shared" si="13"/>
        <v>0</v>
      </c>
      <c r="AK45" s="618">
        <f t="shared" si="13"/>
        <v>0</v>
      </c>
      <c r="AL45" s="618">
        <f t="shared" si="13"/>
        <v>0</v>
      </c>
      <c r="AM45" s="618">
        <f t="shared" si="13"/>
        <v>0</v>
      </c>
      <c r="AN45" s="618">
        <f t="shared" si="13"/>
        <v>0</v>
      </c>
      <c r="AO45" s="618">
        <f t="shared" si="13"/>
        <v>0</v>
      </c>
      <c r="AP45" s="618">
        <f t="shared" si="13"/>
        <v>0</v>
      </c>
      <c r="AQ45" s="618">
        <f t="shared" si="13"/>
        <v>0</v>
      </c>
      <c r="AR45" s="618">
        <f t="shared" si="13"/>
        <v>0</v>
      </c>
      <c r="AS45" s="618">
        <f t="shared" si="13"/>
        <v>0</v>
      </c>
      <c r="AT45" s="618">
        <f t="shared" si="13"/>
        <v>0</v>
      </c>
      <c r="AU45" s="618">
        <f t="shared" si="13"/>
        <v>0</v>
      </c>
    </row>
    <row r="46" spans="1:47" s="48" customFormat="1" ht="14.6" thickTop="1">
      <c r="A46" s="1"/>
      <c r="B46" s="54"/>
      <c r="C46" s="1"/>
      <c r="D46" s="23"/>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92"/>
      <c r="AI46" s="492"/>
      <c r="AJ46" s="492"/>
      <c r="AK46" s="492"/>
      <c r="AL46" s="47"/>
      <c r="AM46" s="47"/>
      <c r="AN46" s="47"/>
      <c r="AO46" s="47"/>
      <c r="AP46" s="47"/>
      <c r="AQ46" s="47"/>
      <c r="AR46" s="47"/>
      <c r="AS46" s="47"/>
      <c r="AT46" s="47"/>
      <c r="AU46" s="47"/>
    </row>
    <row r="47" spans="1:47" s="48" customFormat="1" ht="14.15">
      <c r="A47" s="1"/>
      <c r="B47" s="38" t="s">
        <v>55</v>
      </c>
      <c r="C47" s="1"/>
      <c r="D47" s="23"/>
      <c r="E47" s="47"/>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92"/>
      <c r="AI47" s="492"/>
      <c r="AJ47" s="492"/>
      <c r="AK47" s="492"/>
      <c r="AL47" s="47"/>
      <c r="AM47" s="47"/>
      <c r="AN47" s="47"/>
      <c r="AO47" s="47"/>
      <c r="AP47" s="47"/>
      <c r="AQ47" s="47"/>
      <c r="AR47" s="47"/>
      <c r="AS47" s="47"/>
      <c r="AT47" s="47"/>
      <c r="AU47" s="47"/>
    </row>
    <row r="48" spans="1:47">
      <c r="E48" s="41"/>
      <c r="F48" s="41"/>
      <c r="G48" s="41"/>
      <c r="H48" s="41"/>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89"/>
      <c r="AI48" s="489"/>
      <c r="AJ48" s="489"/>
      <c r="AK48" s="489"/>
      <c r="AL48" s="41"/>
      <c r="AM48" s="41"/>
      <c r="AN48" s="41"/>
      <c r="AO48" s="41"/>
      <c r="AP48" s="41"/>
      <c r="AQ48" s="41"/>
      <c r="AR48" s="41"/>
      <c r="AS48" s="41"/>
      <c r="AT48" s="41"/>
      <c r="AU48" s="41"/>
    </row>
    <row r="49" spans="1:49" ht="13.75">
      <c r="B49" s="411" t="s">
        <v>0</v>
      </c>
      <c r="C49" s="20"/>
      <c r="D49" s="282"/>
      <c r="E49" s="41">
        <f>财务基础数据!J165*目录!$D$6</f>
        <v>0</v>
      </c>
      <c r="F49" s="41">
        <f>财务基础数据!K165*目录!$D$6</f>
        <v>0</v>
      </c>
      <c r="G49" s="41">
        <f>财务基础数据!L165*目录!$D$6</f>
        <v>0</v>
      </c>
      <c r="H49" s="41">
        <f>财务基础数据!M165*目录!$D$6</f>
        <v>0</v>
      </c>
      <c r="I49" s="41">
        <f>财务基础数据!N165*目录!$D$6</f>
        <v>0</v>
      </c>
      <c r="J49" s="41">
        <f>财务基础数据!O165*目录!$D$6</f>
        <v>0</v>
      </c>
      <c r="K49" s="41">
        <f>财务基础数据!P165*目录!$D$6</f>
        <v>0</v>
      </c>
      <c r="L49" s="41">
        <f>财务基础数据!Q165*目录!$D$6</f>
        <v>0</v>
      </c>
      <c r="M49" s="41">
        <f>财务基础数据!R165*目录!$D$6</f>
        <v>0</v>
      </c>
      <c r="N49" s="41">
        <f>财务基础数据!S165*目录!$D$6</f>
        <v>0</v>
      </c>
      <c r="O49" s="41">
        <f>财务基础数据!T165*目录!$D$6</f>
        <v>0</v>
      </c>
      <c r="P49" s="41">
        <f>财务基础数据!U165*目录!$D$6</f>
        <v>0</v>
      </c>
      <c r="Q49" s="41">
        <f>财务基础数据!V165*目录!$D$6</f>
        <v>0</v>
      </c>
      <c r="R49" s="41">
        <f>财务基础数据!W165*目录!$D$6</f>
        <v>0</v>
      </c>
      <c r="S49" s="41">
        <f>财务基础数据!X165*目录!$D$6</f>
        <v>0</v>
      </c>
      <c r="T49" s="41">
        <f>财务基础数据!Y165*目录!$D$6</f>
        <v>0</v>
      </c>
      <c r="U49" s="41">
        <f>财务基础数据!Z165*目录!$D$6</f>
        <v>0</v>
      </c>
      <c r="V49" s="41">
        <f>财务基础数据!AA165*目录!$D$6</f>
        <v>0</v>
      </c>
      <c r="W49" s="41">
        <f>财务基础数据!AB165*目录!$D$6</f>
        <v>0</v>
      </c>
      <c r="X49" s="41">
        <f>财务基础数据!AC165*目录!$D$6</f>
        <v>0</v>
      </c>
      <c r="Y49" s="41">
        <f>财务基础数据!AD165*目录!$D$6</f>
        <v>0</v>
      </c>
      <c r="Z49" s="41">
        <f>财务基础数据!AE165*目录!$D$6</f>
        <v>0</v>
      </c>
      <c r="AA49" s="41">
        <f>财务基础数据!AF165*目录!$D$6</f>
        <v>0</v>
      </c>
      <c r="AB49" s="41">
        <f>财务基础数据!AG165*目录!$D$6</f>
        <v>0</v>
      </c>
      <c r="AC49" s="41">
        <f>财务基础数据!AH165*目录!$D$6</f>
        <v>0</v>
      </c>
      <c r="AD49" s="41">
        <f>财务基础数据!AI165*目录!$D$6</f>
        <v>0</v>
      </c>
      <c r="AE49" s="41">
        <f>财务基础数据!AJ165*目录!$D$6</f>
        <v>0</v>
      </c>
      <c r="AF49" s="41">
        <f>财务基础数据!AK165*目录!$D$6</f>
        <v>0</v>
      </c>
      <c r="AG49" s="41">
        <f>财务基础数据!AL165*目录!$D$6</f>
        <v>0</v>
      </c>
      <c r="AH49" s="489">
        <f>财务基础数据!AM165*目录!$D$6</f>
        <v>0</v>
      </c>
      <c r="AI49" s="489">
        <f>财务基础数据!AN165*目录!$D$6</f>
        <v>0</v>
      </c>
      <c r="AJ49" s="489">
        <f>财务基础数据!AO165*目录!$D$6</f>
        <v>0</v>
      </c>
      <c r="AK49" s="489">
        <f>财务基础数据!AP165*目录!$D$6</f>
        <v>0</v>
      </c>
      <c r="AL49" s="41">
        <f>IF(ISERROR(资产预测!P244),"—",资产预测!P244)</f>
        <v>0</v>
      </c>
      <c r="AM49" s="41">
        <f>IF(ISERROR(资产预测!Q244),"—",资产预测!Q244)</f>
        <v>0</v>
      </c>
      <c r="AN49" s="41">
        <f>IF(ISERROR(资产预测!R244),"—",资产预测!R244)</f>
        <v>0</v>
      </c>
      <c r="AO49" s="41">
        <f>IF(ISERROR(资产预测!S244),"—",资产预测!S244)</f>
        <v>0</v>
      </c>
      <c r="AP49" s="41">
        <f>IF(ISERROR(资产预测!T244),"—",资产预测!T244)</f>
        <v>0</v>
      </c>
      <c r="AQ49" s="41">
        <f>IF(ISERROR(资产预测!U244),"—",资产预测!U244)</f>
        <v>0</v>
      </c>
      <c r="AR49" s="41">
        <f>IF(ISERROR(资产预测!V244),"—",资产预测!V244)</f>
        <v>0</v>
      </c>
      <c r="AS49" s="41">
        <f>IF(ISERROR(资产预测!W244),"—",资产预测!W244)</f>
        <v>0</v>
      </c>
      <c r="AT49" s="41">
        <f>IF(ISERROR(资产预测!X244),"—",资产预测!X244)</f>
        <v>0</v>
      </c>
      <c r="AU49" s="41">
        <f>IF(ISERROR(资产预测!Y244),"—",资产预测!Y244)</f>
        <v>0</v>
      </c>
    </row>
    <row r="50" spans="1:49" ht="13.75">
      <c r="B50" s="586" t="s">
        <v>1028</v>
      </c>
      <c r="C50" s="20"/>
      <c r="D50" s="282"/>
      <c r="E50" s="41">
        <f>财务基础数据!J166*目录!$D$6</f>
        <v>0</v>
      </c>
      <c r="F50" s="41">
        <f>财务基础数据!K166*目录!$D$6</f>
        <v>0</v>
      </c>
      <c r="G50" s="41">
        <f>财务基础数据!L166*目录!$D$6</f>
        <v>0</v>
      </c>
      <c r="H50" s="41">
        <f>财务基础数据!M166*目录!$D$6</f>
        <v>0</v>
      </c>
      <c r="I50" s="41">
        <f>财务基础数据!N166*目录!$D$6</f>
        <v>0</v>
      </c>
      <c r="J50" s="41">
        <f>财务基础数据!O166*目录!$D$6</f>
        <v>0</v>
      </c>
      <c r="K50" s="41">
        <f>财务基础数据!P166*目录!$D$6</f>
        <v>0</v>
      </c>
      <c r="L50" s="41">
        <f>财务基础数据!Q166*目录!$D$6</f>
        <v>0</v>
      </c>
      <c r="M50" s="41">
        <f>财务基础数据!R166*目录!$D$6</f>
        <v>0</v>
      </c>
      <c r="N50" s="41">
        <f>财务基础数据!S166*目录!$D$6</f>
        <v>0</v>
      </c>
      <c r="O50" s="41">
        <f>财务基础数据!T166*目录!$D$6</f>
        <v>0</v>
      </c>
      <c r="P50" s="41">
        <f>财务基础数据!U166*目录!$D$6</f>
        <v>0</v>
      </c>
      <c r="Q50" s="41">
        <f>财务基础数据!V166*目录!$D$6</f>
        <v>0</v>
      </c>
      <c r="R50" s="41">
        <f>财务基础数据!W166*目录!$D$6</f>
        <v>0</v>
      </c>
      <c r="S50" s="41">
        <f>财务基础数据!X166*目录!$D$6</f>
        <v>0</v>
      </c>
      <c r="T50" s="41">
        <f>财务基础数据!Y166*目录!$D$6</f>
        <v>0</v>
      </c>
      <c r="U50" s="41">
        <f>财务基础数据!Z166*目录!$D$6</f>
        <v>0</v>
      </c>
      <c r="V50" s="41">
        <f>财务基础数据!AA166*目录!$D$6</f>
        <v>0</v>
      </c>
      <c r="W50" s="41">
        <f>财务基础数据!AB166*目录!$D$6</f>
        <v>0</v>
      </c>
      <c r="X50" s="41">
        <f>财务基础数据!AC166*目录!$D$6</f>
        <v>0</v>
      </c>
      <c r="Y50" s="41">
        <f>财务基础数据!AD166*目录!$D$6</f>
        <v>0</v>
      </c>
      <c r="Z50" s="41">
        <f>财务基础数据!AE166*目录!$D$6</f>
        <v>0</v>
      </c>
      <c r="AA50" s="41">
        <f>财务基础数据!AF166*目录!$D$6</f>
        <v>0</v>
      </c>
      <c r="AB50" s="41">
        <f>财务基础数据!AG166*目录!$D$6</f>
        <v>0</v>
      </c>
      <c r="AC50" s="41">
        <f>财务基础数据!AH166*目录!$D$6</f>
        <v>0</v>
      </c>
      <c r="AD50" s="41">
        <f>财务基础数据!AI166*目录!$D$6</f>
        <v>0</v>
      </c>
      <c r="AE50" s="41">
        <f>财务基础数据!AJ166*目录!$D$6</f>
        <v>0</v>
      </c>
      <c r="AF50" s="41">
        <f>财务基础数据!AK166*目录!$D$6</f>
        <v>0</v>
      </c>
      <c r="AG50" s="41">
        <f>财务基础数据!AL166*目录!$D$6</f>
        <v>0</v>
      </c>
      <c r="AH50" s="489">
        <f>财务基础数据!AM166*目录!$D$6</f>
        <v>0</v>
      </c>
      <c r="AI50" s="489">
        <f>财务基础数据!AN166*目录!$D$6</f>
        <v>0</v>
      </c>
      <c r="AJ50" s="489">
        <f>财务基础数据!AO166*目录!$D$6</f>
        <v>0</v>
      </c>
      <c r="AK50" s="489">
        <f>财务基础数据!AP166*目录!$D$6</f>
        <v>0</v>
      </c>
      <c r="AL50" s="41">
        <f>IF(ISERROR(资产预测!P80),"—",资产预测!P80)</f>
        <v>0</v>
      </c>
      <c r="AM50" s="41">
        <f>IF(ISERROR(资产预测!Q80),"—",资产预测!Q80)</f>
        <v>0</v>
      </c>
      <c r="AN50" s="41">
        <f>IF(ISERROR(资产预测!R80),"—",资产预测!R80)</f>
        <v>0</v>
      </c>
      <c r="AO50" s="41">
        <f>IF(ISERROR(资产预测!S80),"—",资产预测!S80)</f>
        <v>0</v>
      </c>
      <c r="AP50" s="41">
        <f>IF(ISERROR(资产预测!T80),"—",资产预测!T80)</f>
        <v>0</v>
      </c>
      <c r="AQ50" s="41">
        <f>IF(ISERROR(资产预测!U80),"—",资产预测!U80)</f>
        <v>0</v>
      </c>
      <c r="AR50" s="41">
        <f>IF(ISERROR(资产预测!V80),"—",资产预测!V80)</f>
        <v>0</v>
      </c>
      <c r="AS50" s="41">
        <f>IF(ISERROR(资产预测!W80),"—",资产预测!W80)</f>
        <v>0</v>
      </c>
      <c r="AT50" s="41">
        <f>IF(ISERROR(资产预测!X80),"—",资产预测!X80)</f>
        <v>0</v>
      </c>
      <c r="AU50" s="41">
        <f>IF(ISERROR(资产预测!Y80),"—",资产预测!Y80)</f>
        <v>0</v>
      </c>
    </row>
    <row r="51" spans="1:49" ht="13.75">
      <c r="B51" s="342" t="s">
        <v>884</v>
      </c>
      <c r="C51" s="20"/>
      <c r="D51" s="282"/>
      <c r="E51" s="41"/>
      <c r="F51" s="41"/>
      <c r="G51" s="41"/>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89"/>
      <c r="AI51" s="489"/>
      <c r="AJ51" s="489"/>
      <c r="AK51" s="489">
        <f>财务基础数据!AP236*目录!$D$6</f>
        <v>0</v>
      </c>
      <c r="AL51" s="41">
        <f>IF(ISERROR(资产预测!P84),"—",资产预测!P84)</f>
        <v>0</v>
      </c>
      <c r="AM51" s="41">
        <f>IF(ISERROR(资产预测!Q84),"—",资产预测!Q84)</f>
        <v>0</v>
      </c>
      <c r="AN51" s="41">
        <f>IF(ISERROR(资产预测!R84),"—",资产预测!R84)</f>
        <v>0</v>
      </c>
      <c r="AO51" s="41">
        <f>IF(ISERROR(资产预测!S84),"—",资产预测!S84)</f>
        <v>0</v>
      </c>
      <c r="AP51" s="41">
        <f>IF(ISERROR(资产预测!T84),"—",资产预测!T84)</f>
        <v>0</v>
      </c>
      <c r="AQ51" s="41">
        <f>IF(ISERROR(资产预测!U84),"—",资产预测!U84)</f>
        <v>0</v>
      </c>
      <c r="AR51" s="41">
        <f>IF(ISERROR(资产预测!V84),"—",资产预测!V84)</f>
        <v>0</v>
      </c>
      <c r="AS51" s="41">
        <f>IF(ISERROR(资产预测!W84),"—",资产预测!W84)</f>
        <v>0</v>
      </c>
      <c r="AT51" s="41">
        <f>IF(ISERROR(资产预测!X84),"—",资产预测!X84)</f>
        <v>0</v>
      </c>
      <c r="AU51" s="41">
        <f>IF(ISERROR(资产预测!Y84),"—",资产预测!Y84)</f>
        <v>0</v>
      </c>
      <c r="AW51" s="4"/>
    </row>
    <row r="52" spans="1:49" ht="13.75">
      <c r="B52" s="586" t="s">
        <v>1020</v>
      </c>
      <c r="C52" s="20"/>
      <c r="D52" s="282"/>
      <c r="E52" s="41">
        <f>(财务基础数据!J167)*目录!$D$6</f>
        <v>0</v>
      </c>
      <c r="F52" s="41">
        <f>(财务基础数据!K167)*目录!$D$6</f>
        <v>0</v>
      </c>
      <c r="G52" s="41">
        <f>(财务基础数据!L167)*目录!$D$6</f>
        <v>0</v>
      </c>
      <c r="H52" s="41">
        <f>(财务基础数据!M167)*目录!$D$6</f>
        <v>0</v>
      </c>
      <c r="I52" s="41">
        <f>(财务基础数据!N167)*目录!$D$6</f>
        <v>0</v>
      </c>
      <c r="J52" s="41">
        <f>(财务基础数据!O167)*目录!$D$6</f>
        <v>0</v>
      </c>
      <c r="K52" s="41">
        <f>(财务基础数据!P167)*目录!$D$6</f>
        <v>0</v>
      </c>
      <c r="L52" s="41">
        <f>(财务基础数据!Q167)*目录!$D$6</f>
        <v>0</v>
      </c>
      <c r="M52" s="41">
        <f>(财务基础数据!R167)*目录!$D$6</f>
        <v>0</v>
      </c>
      <c r="N52" s="41">
        <f>(财务基础数据!S167)*目录!$D$6</f>
        <v>0</v>
      </c>
      <c r="O52" s="41">
        <f>(财务基础数据!T167)*目录!$D$6</f>
        <v>0</v>
      </c>
      <c r="P52" s="41">
        <f>(财务基础数据!U167)*目录!$D$6</f>
        <v>0</v>
      </c>
      <c r="Q52" s="41">
        <f>(财务基础数据!V167)*目录!$D$6</f>
        <v>0</v>
      </c>
      <c r="R52" s="41">
        <f>(财务基础数据!W167)*目录!$D$6</f>
        <v>0</v>
      </c>
      <c r="S52" s="41">
        <f>(财务基础数据!X167)*目录!$D$6</f>
        <v>0</v>
      </c>
      <c r="T52" s="41">
        <f>(财务基础数据!Y167)*目录!$D$6</f>
        <v>0</v>
      </c>
      <c r="U52" s="41">
        <f>(财务基础数据!Z167)*目录!$D$6</f>
        <v>0</v>
      </c>
      <c r="V52" s="41">
        <f>(财务基础数据!AA167)*目录!$D$6</f>
        <v>0</v>
      </c>
      <c r="W52" s="41">
        <f>(财务基础数据!AB167)*目录!$D$6</f>
        <v>0</v>
      </c>
      <c r="X52" s="41">
        <f>(财务基础数据!AC167)*目录!$D$6</f>
        <v>0</v>
      </c>
      <c r="Y52" s="41">
        <f>(财务基础数据!AD167)*目录!$D$6</f>
        <v>0</v>
      </c>
      <c r="Z52" s="41">
        <f>(财务基础数据!AE167)*目录!$D$6</f>
        <v>0</v>
      </c>
      <c r="AA52" s="41">
        <f>(财务基础数据!AF167)*目录!$D$6</f>
        <v>0</v>
      </c>
      <c r="AB52" s="41">
        <f>(财务基础数据!AG167)*目录!$D$6</f>
        <v>0</v>
      </c>
      <c r="AC52" s="41">
        <f>(财务基础数据!AH167)*目录!$D$6</f>
        <v>0</v>
      </c>
      <c r="AD52" s="41">
        <f>(财务基础数据!AI167)*目录!$D$6</f>
        <v>0</v>
      </c>
      <c r="AE52" s="41">
        <f>(财务基础数据!AJ167)*目录!$D$6</f>
        <v>0</v>
      </c>
      <c r="AF52" s="41">
        <f>(财务基础数据!AK167)*目录!$D$6</f>
        <v>0</v>
      </c>
      <c r="AG52" s="41">
        <f>(财务基础数据!AL167)*目录!$D$6</f>
        <v>0</v>
      </c>
      <c r="AH52" s="41">
        <f>(财务基础数据!AM167)*目录!$D$6</f>
        <v>0</v>
      </c>
      <c r="AI52" s="41">
        <f>(财务基础数据!AN167)*目录!$D$6</f>
        <v>0</v>
      </c>
      <c r="AJ52" s="41">
        <f>(财务基础数据!AO167)*目录!$D$6</f>
        <v>0</v>
      </c>
      <c r="AK52" s="41">
        <f>(财务基础数据!AP167)*目录!$D$6</f>
        <v>0</v>
      </c>
      <c r="AL52" s="41">
        <f>IF(ISERROR(资产预测!P35),"—",资产预测!P35)</f>
        <v>0</v>
      </c>
      <c r="AM52" s="41">
        <f>IF(ISERROR(资产预测!Q35),"—",资产预测!Q35)</f>
        <v>0</v>
      </c>
      <c r="AN52" s="41">
        <f>IF(ISERROR(资产预测!R35),"—",资产预测!R35)</f>
        <v>0</v>
      </c>
      <c r="AO52" s="41">
        <f>IF(ISERROR(资产预测!S35),"—",资产预测!S35)</f>
        <v>0</v>
      </c>
      <c r="AP52" s="41">
        <f>IF(ISERROR(资产预测!T35),"—",资产预测!T35)</f>
        <v>0</v>
      </c>
      <c r="AQ52" s="41">
        <f>IF(ISERROR(资产预测!U35),"—",资产预测!U35)</f>
        <v>0</v>
      </c>
      <c r="AR52" s="41">
        <f>IF(ISERROR(资产预测!V35),"—",资产预测!V35)</f>
        <v>0</v>
      </c>
      <c r="AS52" s="41">
        <f>IF(ISERROR(资产预测!W35),"—",资产预测!W35)</f>
        <v>0</v>
      </c>
      <c r="AT52" s="41">
        <f>IF(ISERROR(资产预测!X35),"—",资产预测!X35)</f>
        <v>0</v>
      </c>
      <c r="AU52" s="41">
        <f>IF(ISERROR(资产预测!Y35),"—",资产预测!Y35)</f>
        <v>0</v>
      </c>
      <c r="AW52" s="4"/>
    </row>
    <row r="53" spans="1:49" ht="13.75">
      <c r="B53" s="586" t="s">
        <v>1021</v>
      </c>
      <c r="C53" s="20"/>
      <c r="D53" s="282"/>
      <c r="E53" s="41">
        <f>(财务基础数据!J168)*目录!$D$6</f>
        <v>0</v>
      </c>
      <c r="F53" s="41">
        <f>(财务基础数据!K168)*目录!$D$6</f>
        <v>0</v>
      </c>
      <c r="G53" s="41">
        <f>(财务基础数据!L168)*目录!$D$6</f>
        <v>0</v>
      </c>
      <c r="H53" s="41">
        <f>(财务基础数据!M168)*目录!$D$6</f>
        <v>0</v>
      </c>
      <c r="I53" s="41">
        <f>(财务基础数据!N168)*目录!$D$6</f>
        <v>0</v>
      </c>
      <c r="J53" s="41">
        <f>(财务基础数据!O168)*目录!$D$6</f>
        <v>0</v>
      </c>
      <c r="K53" s="41">
        <f>(财务基础数据!P168)*目录!$D$6</f>
        <v>0</v>
      </c>
      <c r="L53" s="41">
        <f>(财务基础数据!Q168)*目录!$D$6</f>
        <v>0</v>
      </c>
      <c r="M53" s="41">
        <f>(财务基础数据!R168)*目录!$D$6</f>
        <v>0</v>
      </c>
      <c r="N53" s="41">
        <f>(财务基础数据!S168)*目录!$D$6</f>
        <v>0</v>
      </c>
      <c r="O53" s="41">
        <f>(财务基础数据!T168)*目录!$D$6</f>
        <v>0</v>
      </c>
      <c r="P53" s="41">
        <f>(财务基础数据!U168)*目录!$D$6</f>
        <v>0</v>
      </c>
      <c r="Q53" s="41">
        <f>(财务基础数据!V168)*目录!$D$6</f>
        <v>0</v>
      </c>
      <c r="R53" s="41">
        <f>(财务基础数据!W168)*目录!$D$6</f>
        <v>0</v>
      </c>
      <c r="S53" s="41">
        <f>(财务基础数据!X168)*目录!$D$6</f>
        <v>0</v>
      </c>
      <c r="T53" s="41">
        <f>(财务基础数据!Y168)*目录!$D$6</f>
        <v>0</v>
      </c>
      <c r="U53" s="41">
        <f>(财务基础数据!Z168)*目录!$D$6</f>
        <v>0</v>
      </c>
      <c r="V53" s="41">
        <f>(财务基础数据!AA168)*目录!$D$6</f>
        <v>0</v>
      </c>
      <c r="W53" s="41">
        <f>(财务基础数据!AB168)*目录!$D$6</f>
        <v>0</v>
      </c>
      <c r="X53" s="41">
        <f>(财务基础数据!AC168)*目录!$D$6</f>
        <v>0</v>
      </c>
      <c r="Y53" s="41">
        <f>(财务基础数据!AD168)*目录!$D$6</f>
        <v>0</v>
      </c>
      <c r="Z53" s="41">
        <f>(财务基础数据!AE168)*目录!$D$6</f>
        <v>0</v>
      </c>
      <c r="AA53" s="41">
        <f>(财务基础数据!AF168)*目录!$D$6</f>
        <v>0</v>
      </c>
      <c r="AB53" s="41">
        <f>(财务基础数据!AG168)*目录!$D$6</f>
        <v>0</v>
      </c>
      <c r="AC53" s="41">
        <f>(财务基础数据!AH168)*目录!$D$6</f>
        <v>0</v>
      </c>
      <c r="AD53" s="41">
        <f>(财务基础数据!AI168)*目录!$D$6</f>
        <v>0</v>
      </c>
      <c r="AE53" s="41">
        <f>(财务基础数据!AJ168)*目录!$D$6</f>
        <v>0</v>
      </c>
      <c r="AF53" s="41">
        <f>(财务基础数据!AK168)*目录!$D$6</f>
        <v>0</v>
      </c>
      <c r="AG53" s="41">
        <f>(财务基础数据!AL168)*目录!$D$6</f>
        <v>0</v>
      </c>
      <c r="AH53" s="41">
        <f>(财务基础数据!AM168)*目录!$D$6</f>
        <v>0</v>
      </c>
      <c r="AI53" s="41">
        <f>(财务基础数据!AN168)*目录!$D$6</f>
        <v>0</v>
      </c>
      <c r="AJ53" s="41">
        <f>(财务基础数据!AO168)*目录!$D$6</f>
        <v>0</v>
      </c>
      <c r="AK53" s="41">
        <f>(财务基础数据!AP168)*目录!$D$6</f>
        <v>0</v>
      </c>
      <c r="AL53" s="41">
        <f>IF(ISERROR(资产预测!P39),"—",资产预测!P39)</f>
        <v>0</v>
      </c>
      <c r="AM53" s="41">
        <f>IF(ISERROR(资产预测!Q39),"—",资产预测!Q39)</f>
        <v>0</v>
      </c>
      <c r="AN53" s="41">
        <f>IF(ISERROR(资产预测!R39),"—",资产预测!R39)</f>
        <v>0</v>
      </c>
      <c r="AO53" s="41">
        <f>IF(ISERROR(资产预测!S39),"—",资产预测!S39)</f>
        <v>0</v>
      </c>
      <c r="AP53" s="41">
        <f>IF(ISERROR(资产预测!T39),"—",资产预测!T39)</f>
        <v>0</v>
      </c>
      <c r="AQ53" s="41">
        <f>IF(ISERROR(资产预测!U39),"—",资产预测!U39)</f>
        <v>0</v>
      </c>
      <c r="AR53" s="41">
        <f>IF(ISERROR(资产预测!V39),"—",资产预测!V39)</f>
        <v>0</v>
      </c>
      <c r="AS53" s="41">
        <f>IF(ISERROR(资产预测!W39),"—",资产预测!W39)</f>
        <v>0</v>
      </c>
      <c r="AT53" s="41">
        <f>IF(ISERROR(资产预测!X39),"—",资产预测!X39)</f>
        <v>0</v>
      </c>
      <c r="AU53" s="41">
        <f>IF(ISERROR(资产预测!Y39),"—",资产预测!Y39)</f>
        <v>0</v>
      </c>
      <c r="AW53" s="4"/>
    </row>
    <row r="54" spans="1:49" ht="13.75">
      <c r="B54" s="663" t="s">
        <v>691</v>
      </c>
      <c r="C54" s="20"/>
      <c r="D54" s="282"/>
      <c r="E54" s="41">
        <f>财务基础数据!J169*目录!$D$6</f>
        <v>0</v>
      </c>
      <c r="F54" s="41">
        <f>财务基础数据!K169*目录!$D$6</f>
        <v>0</v>
      </c>
      <c r="G54" s="41">
        <f>财务基础数据!L169*目录!$D$6</f>
        <v>0</v>
      </c>
      <c r="H54" s="41">
        <f>财务基础数据!M169*目录!$D$6</f>
        <v>0</v>
      </c>
      <c r="I54" s="41">
        <f>财务基础数据!N169*目录!$D$6</f>
        <v>0</v>
      </c>
      <c r="J54" s="41">
        <f>财务基础数据!O169*目录!$D$6</f>
        <v>0</v>
      </c>
      <c r="K54" s="41">
        <f>财务基础数据!P169*目录!$D$6</f>
        <v>0</v>
      </c>
      <c r="L54" s="41">
        <f>财务基础数据!Q169*目录!$D$6</f>
        <v>0</v>
      </c>
      <c r="M54" s="41">
        <f>财务基础数据!R169*目录!$D$6</f>
        <v>0</v>
      </c>
      <c r="N54" s="41">
        <f>财务基础数据!S169*目录!$D$6</f>
        <v>0</v>
      </c>
      <c r="O54" s="41">
        <f>财务基础数据!T169*目录!$D$6</f>
        <v>0</v>
      </c>
      <c r="P54" s="41">
        <f>财务基础数据!U169*目录!$D$6</f>
        <v>0</v>
      </c>
      <c r="Q54" s="41">
        <f>财务基础数据!V169*目录!$D$6</f>
        <v>0</v>
      </c>
      <c r="R54" s="41">
        <f>财务基础数据!W169*目录!$D$6</f>
        <v>0</v>
      </c>
      <c r="S54" s="41">
        <f>财务基础数据!X169*目录!$D$6</f>
        <v>0</v>
      </c>
      <c r="T54" s="41">
        <f>财务基础数据!Y169*目录!$D$6</f>
        <v>0</v>
      </c>
      <c r="U54" s="41">
        <f>财务基础数据!Z169*目录!$D$6</f>
        <v>0</v>
      </c>
      <c r="V54" s="41">
        <f>财务基础数据!AA169*目录!$D$6</f>
        <v>0</v>
      </c>
      <c r="W54" s="41">
        <f>财务基础数据!AB169*目录!$D$6</f>
        <v>0</v>
      </c>
      <c r="X54" s="41">
        <f>财务基础数据!AC169*目录!$D$6</f>
        <v>0</v>
      </c>
      <c r="Y54" s="41">
        <f>财务基础数据!AD169*目录!$D$6</f>
        <v>0</v>
      </c>
      <c r="Z54" s="41">
        <f>财务基础数据!AE169*目录!$D$6</f>
        <v>0</v>
      </c>
      <c r="AA54" s="41">
        <f>财务基础数据!AF169*目录!$D$6</f>
        <v>0</v>
      </c>
      <c r="AB54" s="41">
        <f>财务基础数据!AG169*目录!$D$6</f>
        <v>0</v>
      </c>
      <c r="AC54" s="41">
        <f>财务基础数据!AH169*目录!$D$6</f>
        <v>0</v>
      </c>
      <c r="AD54" s="41">
        <f>财务基础数据!AI169*目录!$D$6</f>
        <v>0</v>
      </c>
      <c r="AE54" s="41">
        <f>财务基础数据!AJ169*目录!$D$6</f>
        <v>0</v>
      </c>
      <c r="AF54" s="41">
        <f>财务基础数据!AK169*目录!$D$6</f>
        <v>0</v>
      </c>
      <c r="AG54" s="41">
        <f>财务基础数据!AL169*目录!$D$6</f>
        <v>0</v>
      </c>
      <c r="AH54" s="489">
        <f>财务基础数据!AM169*目录!$D$6</f>
        <v>0</v>
      </c>
      <c r="AI54" s="489">
        <f>财务基础数据!AN169*目录!$D$6</f>
        <v>0</v>
      </c>
      <c r="AJ54" s="489">
        <f>财务基础数据!AO169*目录!$D$6</f>
        <v>0</v>
      </c>
      <c r="AK54" s="489">
        <f>财务基础数据!AP169*目录!$D$6</f>
        <v>0</v>
      </c>
      <c r="AL54" s="41">
        <f>IF(ISERROR(资产预测!P43),"—",资产预测!P43)</f>
        <v>0</v>
      </c>
      <c r="AM54" s="41">
        <f>IF(ISERROR(资产预测!Q43),"—",资产预测!Q43)</f>
        <v>0</v>
      </c>
      <c r="AN54" s="41">
        <f>IF(ISERROR(资产预测!R43),"—",资产预测!R43)</f>
        <v>0</v>
      </c>
      <c r="AO54" s="41">
        <f>IF(ISERROR(资产预测!S43),"—",资产预测!S43)</f>
        <v>0</v>
      </c>
      <c r="AP54" s="41">
        <f>IF(ISERROR(资产预测!T43),"—",资产预测!T43)</f>
        <v>0</v>
      </c>
      <c r="AQ54" s="41">
        <f>IF(ISERROR(资产预测!U43),"—",资产预测!U43)</f>
        <v>0</v>
      </c>
      <c r="AR54" s="41">
        <f>IF(ISERROR(资产预测!V43),"—",资产预测!V43)</f>
        <v>0</v>
      </c>
      <c r="AS54" s="41">
        <f>IF(ISERROR(资产预测!W43),"—",资产预测!W43)</f>
        <v>0</v>
      </c>
      <c r="AT54" s="41">
        <f>IF(ISERROR(资产预测!X43),"—",资产预测!X43)</f>
        <v>0</v>
      </c>
      <c r="AU54" s="41">
        <f>IF(ISERROR(资产预测!Y43),"—",资产预测!Y43)</f>
        <v>0</v>
      </c>
      <c r="AW54" s="4"/>
    </row>
    <row r="55" spans="1:49" ht="13.75">
      <c r="B55" s="342" t="s">
        <v>885</v>
      </c>
      <c r="C55" s="20"/>
      <c r="D55" s="282"/>
      <c r="E55" s="41">
        <f>财务基础数据!J230*目录!$D$6</f>
        <v>0</v>
      </c>
      <c r="F55" s="41">
        <f>财务基础数据!K230*目录!$D$6</f>
        <v>0</v>
      </c>
      <c r="G55" s="41">
        <f>财务基础数据!L230*目录!$D$6</f>
        <v>0</v>
      </c>
      <c r="H55" s="41">
        <f>财务基础数据!M230*目录!$D$6</f>
        <v>0</v>
      </c>
      <c r="I55" s="41">
        <f>财务基础数据!N230*目录!$D$6</f>
        <v>0</v>
      </c>
      <c r="J55" s="41">
        <f>财务基础数据!O230*目录!$D$6</f>
        <v>0</v>
      </c>
      <c r="K55" s="41">
        <f>财务基础数据!P230*目录!$D$6</f>
        <v>0</v>
      </c>
      <c r="L55" s="41">
        <f>财务基础数据!Q230*目录!$D$6</f>
        <v>0</v>
      </c>
      <c r="M55" s="41">
        <f>财务基础数据!R230*目录!$D$6</f>
        <v>0</v>
      </c>
      <c r="N55" s="41">
        <f>财务基础数据!S230*目录!$D$6</f>
        <v>0</v>
      </c>
      <c r="O55" s="41">
        <f>财务基础数据!T230*目录!$D$6</f>
        <v>0</v>
      </c>
      <c r="P55" s="41">
        <f>财务基础数据!U230*目录!$D$6</f>
        <v>0</v>
      </c>
      <c r="Q55" s="41">
        <f>财务基础数据!V230*目录!$D$6</f>
        <v>0</v>
      </c>
      <c r="R55" s="41">
        <f>财务基础数据!W230*目录!$D$6</f>
        <v>0</v>
      </c>
      <c r="S55" s="41">
        <f>财务基础数据!X230*目录!$D$6</f>
        <v>0</v>
      </c>
      <c r="T55" s="41">
        <f>财务基础数据!Y230*目录!$D$6</f>
        <v>0</v>
      </c>
      <c r="U55" s="41">
        <f>财务基础数据!Z230*目录!$D$6</f>
        <v>0</v>
      </c>
      <c r="V55" s="41">
        <f>财务基础数据!AA230*目录!$D$6</f>
        <v>0</v>
      </c>
      <c r="W55" s="41">
        <f>财务基础数据!AB230*目录!$D$6</f>
        <v>0</v>
      </c>
      <c r="X55" s="41">
        <f>财务基础数据!AC230*目录!$D$6</f>
        <v>0</v>
      </c>
      <c r="Y55" s="41">
        <f>财务基础数据!AD230*目录!$D$6</f>
        <v>0</v>
      </c>
      <c r="Z55" s="41">
        <f>财务基础数据!AE230*目录!$D$6</f>
        <v>0</v>
      </c>
      <c r="AA55" s="41">
        <f>财务基础数据!AF230*目录!$D$6</f>
        <v>0</v>
      </c>
      <c r="AB55" s="41">
        <f>财务基础数据!AG230*目录!$D$6</f>
        <v>0</v>
      </c>
      <c r="AC55" s="41">
        <f>财务基础数据!AH230*目录!$D$6</f>
        <v>0</v>
      </c>
      <c r="AD55" s="41">
        <f>财务基础数据!AI230*目录!$D$6</f>
        <v>0</v>
      </c>
      <c r="AE55" s="41">
        <f>财务基础数据!AJ230*目录!$D$6</f>
        <v>0</v>
      </c>
      <c r="AF55" s="41">
        <f>财务基础数据!AK230*目录!$D$6</f>
        <v>0</v>
      </c>
      <c r="AG55" s="41">
        <f>财务基础数据!AL230*目录!$D$6</f>
        <v>0</v>
      </c>
      <c r="AH55" s="489">
        <f>财务基础数据!AM230*目录!$D$6</f>
        <v>0</v>
      </c>
      <c r="AI55" s="489">
        <f>财务基础数据!AN230*目录!$D$6</f>
        <v>0</v>
      </c>
      <c r="AJ55" s="489">
        <f>财务基础数据!AO230*目录!$D$6</f>
        <v>0</v>
      </c>
      <c r="AK55" s="489">
        <f>财务基础数据!AP230*目录!$D$6</f>
        <v>0</v>
      </c>
      <c r="AL55" s="41">
        <f>IF(ISERROR(资产预测!P46),"—",资产预测!P46)</f>
        <v>0</v>
      </c>
      <c r="AM55" s="41">
        <f>IF(ISERROR(资产预测!Q46),"—",资产预测!Q46)</f>
        <v>0</v>
      </c>
      <c r="AN55" s="41">
        <f>IF(ISERROR(资产预测!R46),"—",资产预测!R46)</f>
        <v>0</v>
      </c>
      <c r="AO55" s="41">
        <f>IF(ISERROR(资产预测!S46),"—",资产预测!S46)</f>
        <v>0</v>
      </c>
      <c r="AP55" s="41">
        <f>IF(ISERROR(资产预测!T46),"—",资产预测!T46)</f>
        <v>0</v>
      </c>
      <c r="AQ55" s="41">
        <f>IF(ISERROR(资产预测!U46),"—",资产预测!U46)</f>
        <v>0</v>
      </c>
      <c r="AR55" s="41">
        <f>IF(ISERROR(资产预测!V46),"—",资产预测!V46)</f>
        <v>0</v>
      </c>
      <c r="AS55" s="41">
        <f>IF(ISERROR(资产预测!W46),"—",资产预测!W46)</f>
        <v>0</v>
      </c>
      <c r="AT55" s="41">
        <f>IF(ISERROR(资产预测!X46),"—",资产预测!X46)</f>
        <v>0</v>
      </c>
      <c r="AU55" s="41">
        <f>IF(ISERROR(资产预测!Y46),"—",资产预测!Y46)</f>
        <v>0</v>
      </c>
      <c r="AW55" s="4"/>
    </row>
    <row r="56" spans="1:49" ht="13.75">
      <c r="B56" s="342" t="s">
        <v>886</v>
      </c>
      <c r="C56" s="20"/>
      <c r="D56" s="282"/>
      <c r="E56" s="41">
        <f>(财务基础数据!J171+财务基础数据!J172+财务基础数据!J173)*目录!$D$6</f>
        <v>0</v>
      </c>
      <c r="F56" s="41">
        <f>(财务基础数据!K171+财务基础数据!K172+财务基础数据!K173)*目录!$D$6</f>
        <v>0</v>
      </c>
      <c r="G56" s="41">
        <f>(财务基础数据!L171+财务基础数据!L172+财务基础数据!L173)*目录!$D$6</f>
        <v>0</v>
      </c>
      <c r="H56" s="41">
        <f>(财务基础数据!M171+财务基础数据!M172+财务基础数据!M173)*目录!$D$6</f>
        <v>0</v>
      </c>
      <c r="I56" s="41">
        <f>(财务基础数据!N171+财务基础数据!N172+财务基础数据!N173)*目录!$D$6</f>
        <v>0</v>
      </c>
      <c r="J56" s="41">
        <f>(财务基础数据!O171+财务基础数据!O172+财务基础数据!O173)*目录!$D$6</f>
        <v>0</v>
      </c>
      <c r="K56" s="41">
        <f>(财务基础数据!P171+财务基础数据!P172+财务基础数据!P173)*目录!$D$6</f>
        <v>0</v>
      </c>
      <c r="L56" s="41">
        <f>(财务基础数据!Q171+财务基础数据!Q172+财务基础数据!Q173)*目录!$D$6</f>
        <v>0</v>
      </c>
      <c r="M56" s="41">
        <f>(财务基础数据!R171+财务基础数据!R172+财务基础数据!R173)*目录!$D$6</f>
        <v>0</v>
      </c>
      <c r="N56" s="41">
        <f>(财务基础数据!S171+财务基础数据!S172+财务基础数据!S173)*目录!$D$6</f>
        <v>0</v>
      </c>
      <c r="O56" s="41">
        <f>(财务基础数据!T171+财务基础数据!T172+财务基础数据!T173)*目录!$D$6</f>
        <v>0</v>
      </c>
      <c r="P56" s="41">
        <f>(财务基础数据!U171+财务基础数据!U172+财务基础数据!U173)*目录!$D$6</f>
        <v>0</v>
      </c>
      <c r="Q56" s="41">
        <f>(财务基础数据!V171+财务基础数据!V172+财务基础数据!V173)*目录!$D$6</f>
        <v>0</v>
      </c>
      <c r="R56" s="41">
        <f>(财务基础数据!W171+财务基础数据!W172+财务基础数据!W173)*目录!$D$6</f>
        <v>0</v>
      </c>
      <c r="S56" s="41">
        <f>(财务基础数据!X171+财务基础数据!X172+财务基础数据!X173)*目录!$D$6</f>
        <v>0</v>
      </c>
      <c r="T56" s="41">
        <f>(财务基础数据!Y171+财务基础数据!Y172+财务基础数据!Y173)*目录!$D$6</f>
        <v>0</v>
      </c>
      <c r="U56" s="41">
        <f>(财务基础数据!Z171+财务基础数据!Z172+财务基础数据!Z173)*目录!$D$6</f>
        <v>0</v>
      </c>
      <c r="V56" s="41">
        <f>(财务基础数据!AA171+财务基础数据!AA172+财务基础数据!AA173)*目录!$D$6</f>
        <v>0</v>
      </c>
      <c r="W56" s="41">
        <f>(财务基础数据!AB171+财务基础数据!AB172+财务基础数据!AB173)*目录!$D$6</f>
        <v>0</v>
      </c>
      <c r="X56" s="41">
        <f>(财务基础数据!AC171+财务基础数据!AC172+财务基础数据!AC173)*目录!$D$6</f>
        <v>0</v>
      </c>
      <c r="Y56" s="41">
        <f>(财务基础数据!AD171+财务基础数据!AD172+财务基础数据!AD173)*目录!$D$6</f>
        <v>0</v>
      </c>
      <c r="Z56" s="41">
        <f>(财务基础数据!AE171+财务基础数据!AE172+财务基础数据!AE173)*目录!$D$6</f>
        <v>0</v>
      </c>
      <c r="AA56" s="41">
        <f>(财务基础数据!AF171+财务基础数据!AF172+财务基础数据!AF173)*目录!$D$6</f>
        <v>0</v>
      </c>
      <c r="AB56" s="41">
        <f>(财务基础数据!AG171+财务基础数据!AG172+财务基础数据!AG173)*目录!$D$6</f>
        <v>0</v>
      </c>
      <c r="AC56" s="41">
        <f>(财务基础数据!AH171+财务基础数据!AH172+财务基础数据!AH173)*目录!$D$6</f>
        <v>0</v>
      </c>
      <c r="AD56" s="41">
        <f>(财务基础数据!AI171+财务基础数据!AI172+财务基础数据!AI173)*目录!$D$6</f>
        <v>0</v>
      </c>
      <c r="AE56" s="41">
        <f>(财务基础数据!AJ171+财务基础数据!AJ172+财务基础数据!AJ173)*目录!$D$6</f>
        <v>0</v>
      </c>
      <c r="AF56" s="41">
        <f>(财务基础数据!AK171+财务基础数据!AK172+财务基础数据!AK173)*目录!$D$6</f>
        <v>0</v>
      </c>
      <c r="AG56" s="41">
        <f>(财务基础数据!AL171+财务基础数据!AL172+财务基础数据!AL173)*目录!$D$6</f>
        <v>0</v>
      </c>
      <c r="AH56" s="489">
        <f>(财务基础数据!AM171+财务基础数据!AM172+财务基础数据!AM173)*目录!$D$6</f>
        <v>0</v>
      </c>
      <c r="AI56" s="489">
        <f>(财务基础数据!AN171+财务基础数据!AN172+财务基础数据!AN173)*目录!$D$6</f>
        <v>0</v>
      </c>
      <c r="AJ56" s="489">
        <f>(财务基础数据!AO171+财务基础数据!AO172+财务基础数据!AO173)*目录!$D$6</f>
        <v>0</v>
      </c>
      <c r="AK56" s="489">
        <f>(财务基础数据!AP171+财务基础数据!AP172+财务基础数据!AP173)*目录!$D$6</f>
        <v>0</v>
      </c>
      <c r="AL56" s="41">
        <f>IF(ISERROR(资产预测!P49),"—",资产预测!P49)</f>
        <v>0</v>
      </c>
      <c r="AM56" s="41">
        <f>IF(ISERROR(资产预测!Q49),"—",资产预测!Q49)</f>
        <v>0</v>
      </c>
      <c r="AN56" s="41">
        <f>IF(ISERROR(资产预测!R49),"—",资产预测!R49)</f>
        <v>0</v>
      </c>
      <c r="AO56" s="41">
        <f>IF(ISERROR(资产预测!S49),"—",资产预测!S49)</f>
        <v>0</v>
      </c>
      <c r="AP56" s="41">
        <f>IF(ISERROR(资产预测!T49),"—",资产预测!T49)</f>
        <v>0</v>
      </c>
      <c r="AQ56" s="41">
        <f>IF(ISERROR(资产预测!U49),"—",资产预测!U49)</f>
        <v>0</v>
      </c>
      <c r="AR56" s="41">
        <f>IF(ISERROR(资产预测!V49),"—",资产预测!V49)</f>
        <v>0</v>
      </c>
      <c r="AS56" s="41">
        <f>IF(ISERROR(资产预测!W49),"—",资产预测!W49)</f>
        <v>0</v>
      </c>
      <c r="AT56" s="41">
        <f>IF(ISERROR(资产预测!X49),"—",资产预测!X49)</f>
        <v>0</v>
      </c>
      <c r="AU56" s="41">
        <f>IF(ISERROR(资产预测!Y49),"—",资产预测!Y49)</f>
        <v>0</v>
      </c>
      <c r="AW56" s="5"/>
    </row>
    <row r="57" spans="1:49" s="48" customFormat="1" ht="13.75">
      <c r="A57" s="1"/>
      <c r="B57" s="477" t="s">
        <v>887</v>
      </c>
      <c r="C57" s="20"/>
      <c r="D57" s="282"/>
      <c r="E57" s="40">
        <f>(财务基础数据!J178+财务基础数据!J179)*目录!$D$6</f>
        <v>0</v>
      </c>
      <c r="F57" s="40">
        <f>(财务基础数据!K178+财务基础数据!K179)*目录!$D$6</f>
        <v>0</v>
      </c>
      <c r="G57" s="40">
        <f>(财务基础数据!L178+财务基础数据!L179)*目录!$D$6</f>
        <v>0</v>
      </c>
      <c r="H57" s="40">
        <f>(财务基础数据!M178+财务基础数据!M179)*目录!$D$6</f>
        <v>0</v>
      </c>
      <c r="I57" s="40">
        <f>(财务基础数据!N178+财务基础数据!N179)*目录!$D$6</f>
        <v>0</v>
      </c>
      <c r="J57" s="40">
        <f>(财务基础数据!O178+财务基础数据!O179)*目录!$D$6</f>
        <v>0</v>
      </c>
      <c r="K57" s="40">
        <f>(财务基础数据!P178+财务基础数据!P179)*目录!$D$6</f>
        <v>0</v>
      </c>
      <c r="L57" s="40">
        <f>(财务基础数据!Q178+财务基础数据!Q179)*目录!$D$6</f>
        <v>0</v>
      </c>
      <c r="M57" s="40">
        <f>(财务基础数据!R178+财务基础数据!R179)*目录!$D$6</f>
        <v>0</v>
      </c>
      <c r="N57" s="40">
        <f>(财务基础数据!S178+财务基础数据!S179)*目录!$D$6</f>
        <v>0</v>
      </c>
      <c r="O57" s="40">
        <f>(财务基础数据!T178+财务基础数据!T179)*目录!$D$6</f>
        <v>0</v>
      </c>
      <c r="P57" s="40">
        <f>(财务基础数据!U178+财务基础数据!U179)*目录!$D$6</f>
        <v>0</v>
      </c>
      <c r="Q57" s="40">
        <f>(财务基础数据!V178+财务基础数据!V179)*目录!$D$6</f>
        <v>0</v>
      </c>
      <c r="R57" s="40">
        <f>(财务基础数据!W178+财务基础数据!W179)*目录!$D$6</f>
        <v>0</v>
      </c>
      <c r="S57" s="40">
        <f>(财务基础数据!X178+财务基础数据!X179)*目录!$D$6</f>
        <v>0</v>
      </c>
      <c r="T57" s="40">
        <f>(财务基础数据!Y178+财务基础数据!Y179)*目录!$D$6</f>
        <v>0</v>
      </c>
      <c r="U57" s="40">
        <f>(财务基础数据!Z178+财务基础数据!Z179)*目录!$D$6</f>
        <v>0</v>
      </c>
      <c r="V57" s="40">
        <f>(财务基础数据!AA178+财务基础数据!AA179)*目录!$D$6</f>
        <v>0</v>
      </c>
      <c r="W57" s="40">
        <f>(财务基础数据!AB178+财务基础数据!AB179)*目录!$D$6</f>
        <v>0</v>
      </c>
      <c r="X57" s="40">
        <f>(财务基础数据!AC178+财务基础数据!AC179)*目录!$D$6</f>
        <v>0</v>
      </c>
      <c r="Y57" s="40">
        <f>(财务基础数据!AD178+财务基础数据!AD179)*目录!$D$6</f>
        <v>0</v>
      </c>
      <c r="Z57" s="40">
        <f>(财务基础数据!AE178+财务基础数据!AE179)*目录!$D$6</f>
        <v>0</v>
      </c>
      <c r="AA57" s="40">
        <f>(财务基础数据!AF178+财务基础数据!AF179)*目录!$D$6</f>
        <v>0</v>
      </c>
      <c r="AB57" s="40">
        <f>(财务基础数据!AG178+财务基础数据!AG179)*目录!$D$6</f>
        <v>0</v>
      </c>
      <c r="AC57" s="40">
        <f>(财务基础数据!AH178+财务基础数据!AH179)*目录!$D$6</f>
        <v>0</v>
      </c>
      <c r="AD57" s="40">
        <f>(财务基础数据!AI178+财务基础数据!AI179)*目录!$D$6</f>
        <v>0</v>
      </c>
      <c r="AE57" s="40">
        <f>(财务基础数据!AJ178+财务基础数据!AJ179)*目录!$D$6</f>
        <v>0</v>
      </c>
      <c r="AF57" s="40">
        <f>(财务基础数据!AK178+财务基础数据!AK179)*目录!$D$6</f>
        <v>0</v>
      </c>
      <c r="AG57" s="40">
        <f>(财务基础数据!AL178+财务基础数据!AL179)*目录!$D$6</f>
        <v>0</v>
      </c>
      <c r="AH57" s="491">
        <f>(财务基础数据!AM178+财务基础数据!AM179)*目录!$D$6</f>
        <v>0</v>
      </c>
      <c r="AI57" s="491">
        <f>(财务基础数据!AN178+财务基础数据!AN179)*目录!$D$6</f>
        <v>0</v>
      </c>
      <c r="AJ57" s="491">
        <f>(财务基础数据!AO178+财务基础数据!AO179)*目录!$D$6</f>
        <v>0</v>
      </c>
      <c r="AK57" s="491">
        <f>(财务基础数据!AP178+财务基础数据!AP179)*目录!$D$6</f>
        <v>0</v>
      </c>
      <c r="AL57" s="41">
        <f>IF(ISERROR(资产预测!P52),"—",资产预测!P52)</f>
        <v>0</v>
      </c>
      <c r="AM57" s="41">
        <f>IF(ISERROR(资产预测!Q52),"—",资产预测!Q52)</f>
        <v>0</v>
      </c>
      <c r="AN57" s="41">
        <f>IF(ISERROR(资产预测!R52),"—",资产预测!R52)</f>
        <v>0</v>
      </c>
      <c r="AO57" s="41">
        <f>IF(ISERROR(资产预测!S52),"—",资产预测!S52)</f>
        <v>0</v>
      </c>
      <c r="AP57" s="41">
        <f>IF(ISERROR(资产预测!T52),"—",资产预测!T52)</f>
        <v>0</v>
      </c>
      <c r="AQ57" s="41">
        <f>IF(ISERROR(资产预测!U52),"—",资产预测!U52)</f>
        <v>0</v>
      </c>
      <c r="AR57" s="41">
        <f>IF(ISERROR(资产预测!V52),"—",资产预测!V52)</f>
        <v>0</v>
      </c>
      <c r="AS57" s="41">
        <f>IF(ISERROR(资产预测!W52),"—",资产预测!W52)</f>
        <v>0</v>
      </c>
      <c r="AT57" s="41">
        <f>IF(ISERROR(资产预测!X52),"—",资产预测!X52)</f>
        <v>0</v>
      </c>
      <c r="AU57" s="41">
        <f>IF(ISERROR(资产预测!Y52),"—",资产预测!Y52)</f>
        <v>0</v>
      </c>
      <c r="AW57" s="4"/>
    </row>
    <row r="58" spans="1:49" s="48" customFormat="1" ht="13.75">
      <c r="A58" s="1"/>
      <c r="B58" s="342" t="s">
        <v>563</v>
      </c>
      <c r="C58" s="20"/>
      <c r="D58" s="282"/>
      <c r="E58" s="40">
        <f>(财务基础数据!J240)*目录!$D$6</f>
        <v>0</v>
      </c>
      <c r="F58" s="40">
        <f>(财务基础数据!K240)*目录!$D$6</f>
        <v>0</v>
      </c>
      <c r="G58" s="40">
        <f>(财务基础数据!L240)*目录!$D$6</f>
        <v>0</v>
      </c>
      <c r="H58" s="40">
        <f>(财务基础数据!M240)*目录!$D$6</f>
        <v>0</v>
      </c>
      <c r="I58" s="40">
        <f>(财务基础数据!N240)*目录!$D$6</f>
        <v>0</v>
      </c>
      <c r="J58" s="40">
        <f>(财务基础数据!O240)*目录!$D$6</f>
        <v>0</v>
      </c>
      <c r="K58" s="40">
        <f>(财务基础数据!P240)*目录!$D$6</f>
        <v>0</v>
      </c>
      <c r="L58" s="40">
        <f>(财务基础数据!Q240)*目录!$D$6</f>
        <v>0</v>
      </c>
      <c r="M58" s="40">
        <f>(财务基础数据!R240)*目录!$D$6</f>
        <v>0</v>
      </c>
      <c r="N58" s="40">
        <f>(财务基础数据!S240)*目录!$D$6</f>
        <v>0</v>
      </c>
      <c r="O58" s="40">
        <f>(财务基础数据!T240)*目录!$D$6</f>
        <v>0</v>
      </c>
      <c r="P58" s="40">
        <f>(财务基础数据!U240)*目录!$D$6</f>
        <v>0</v>
      </c>
      <c r="Q58" s="40">
        <f>(财务基础数据!V240)*目录!$D$6</f>
        <v>0</v>
      </c>
      <c r="R58" s="40">
        <f>(财务基础数据!W240)*目录!$D$6</f>
        <v>0</v>
      </c>
      <c r="S58" s="40">
        <f>(财务基础数据!X240)*目录!$D$6</f>
        <v>0</v>
      </c>
      <c r="T58" s="40">
        <f>(财务基础数据!Y240)*目录!$D$6</f>
        <v>0</v>
      </c>
      <c r="U58" s="40">
        <f>(财务基础数据!Z240)*目录!$D$6</f>
        <v>0</v>
      </c>
      <c r="V58" s="40">
        <f>(财务基础数据!AA240)*目录!$D$6</f>
        <v>0</v>
      </c>
      <c r="W58" s="40">
        <f>(财务基础数据!AB240)*目录!$D$6</f>
        <v>0</v>
      </c>
      <c r="X58" s="40">
        <f>(财务基础数据!AC240)*目录!$D$6</f>
        <v>0</v>
      </c>
      <c r="Y58" s="40">
        <f>(财务基础数据!AD240)*目录!$D$6</f>
        <v>0</v>
      </c>
      <c r="Z58" s="40">
        <f>(财务基础数据!AE240)*目录!$D$6</f>
        <v>0</v>
      </c>
      <c r="AA58" s="40">
        <f>(财务基础数据!AF240)*目录!$D$6</f>
        <v>0</v>
      </c>
      <c r="AB58" s="40">
        <f>(财务基础数据!AG240)*目录!$D$6</f>
        <v>0</v>
      </c>
      <c r="AC58" s="40">
        <f>(财务基础数据!AH240)*目录!$D$6</f>
        <v>0</v>
      </c>
      <c r="AD58" s="40">
        <f>(财务基础数据!AI240)*目录!$D$6</f>
        <v>0</v>
      </c>
      <c r="AE58" s="40">
        <f>(财务基础数据!AJ240)*目录!$D$6</f>
        <v>0</v>
      </c>
      <c r="AF58" s="40">
        <f>(财务基础数据!AK240)*目录!$D$6</f>
        <v>0</v>
      </c>
      <c r="AG58" s="40">
        <f>(财务基础数据!AL240)*目录!$D$6</f>
        <v>0</v>
      </c>
      <c r="AH58" s="491">
        <f>(财务基础数据!AM240)*目录!$D$6</f>
        <v>0</v>
      </c>
      <c r="AI58" s="491">
        <f>(财务基础数据!AN240)*目录!$D$6</f>
        <v>0</v>
      </c>
      <c r="AJ58" s="491">
        <f>(财务基础数据!AO240)*目录!$D$6</f>
        <v>0</v>
      </c>
      <c r="AK58" s="491">
        <f>(财务基础数据!AP240)*目录!$D$6</f>
        <v>0</v>
      </c>
      <c r="AL58" s="41">
        <f>IF(ISERROR(资产预测!P55),"—",资产预测!P55)</f>
        <v>0</v>
      </c>
      <c r="AM58" s="41">
        <f>IF(ISERROR(资产预测!Q55),"—",资产预测!Q55)</f>
        <v>0</v>
      </c>
      <c r="AN58" s="41">
        <f>IF(ISERROR(资产预测!R55),"—",资产预测!R55)</f>
        <v>0</v>
      </c>
      <c r="AO58" s="41">
        <f>IF(ISERROR(资产预测!S55),"—",资产预测!S55)</f>
        <v>0</v>
      </c>
      <c r="AP58" s="41">
        <f>IF(ISERROR(资产预测!T55),"—",资产预测!T55)</f>
        <v>0</v>
      </c>
      <c r="AQ58" s="41">
        <f>IF(ISERROR(资产预测!U55),"—",资产预测!U55)</f>
        <v>0</v>
      </c>
      <c r="AR58" s="41">
        <f>IF(ISERROR(资产预测!V55),"—",资产预测!V55)</f>
        <v>0</v>
      </c>
      <c r="AS58" s="41">
        <f>IF(ISERROR(资产预测!W55),"—",资产预测!W55)</f>
        <v>0</v>
      </c>
      <c r="AT58" s="41">
        <f>IF(ISERROR(资产预测!X55),"—",资产预测!X55)</f>
        <v>0</v>
      </c>
      <c r="AU58" s="41">
        <f>IF(ISERROR(资产预测!Y55),"—",资产预测!Y55)</f>
        <v>0</v>
      </c>
      <c r="AW58" s="4"/>
    </row>
    <row r="59" spans="1:49" s="48" customFormat="1" ht="13.75">
      <c r="A59" s="262"/>
      <c r="B59" s="495" t="s">
        <v>829</v>
      </c>
      <c r="C59" s="20"/>
      <c r="D59" s="23" t="s">
        <v>1258</v>
      </c>
      <c r="E59" s="41">
        <f>财务基础数据!J226*目录!$D$6</f>
        <v>0</v>
      </c>
      <c r="F59" s="41">
        <f>财务基础数据!K226*目录!$D$6</f>
        <v>0</v>
      </c>
      <c r="G59" s="41">
        <f>财务基础数据!L226*目录!$D$6</f>
        <v>0</v>
      </c>
      <c r="H59" s="41">
        <f>财务基础数据!M226*目录!$D$6</f>
        <v>0</v>
      </c>
      <c r="I59" s="41">
        <f>财务基础数据!N226*目录!$D$6</f>
        <v>0</v>
      </c>
      <c r="J59" s="41">
        <f>财务基础数据!O226*目录!$D$6</f>
        <v>0</v>
      </c>
      <c r="K59" s="41">
        <f>财务基础数据!P226*目录!$D$6</f>
        <v>0</v>
      </c>
      <c r="L59" s="41">
        <f>财务基础数据!Q226*目录!$D$6</f>
        <v>0</v>
      </c>
      <c r="M59" s="41">
        <f>财务基础数据!R226*目录!$D$6</f>
        <v>0</v>
      </c>
      <c r="N59" s="41">
        <f>财务基础数据!S226*目录!$D$6</f>
        <v>0</v>
      </c>
      <c r="O59" s="41">
        <f>财务基础数据!T226*目录!$D$6</f>
        <v>0</v>
      </c>
      <c r="P59" s="41">
        <f>财务基础数据!U226*目录!$D$6</f>
        <v>0</v>
      </c>
      <c r="Q59" s="41">
        <f>财务基础数据!V226*目录!$D$6</f>
        <v>0</v>
      </c>
      <c r="R59" s="41">
        <f>财务基础数据!W226*目录!$D$6</f>
        <v>0</v>
      </c>
      <c r="S59" s="41">
        <f>财务基础数据!X226*目录!$D$6</f>
        <v>0</v>
      </c>
      <c r="T59" s="41">
        <f>财务基础数据!Y226*目录!$D$6</f>
        <v>0</v>
      </c>
      <c r="U59" s="41">
        <f>财务基础数据!Z226*目录!$D$6</f>
        <v>0</v>
      </c>
      <c r="V59" s="41">
        <f>财务基础数据!AA226*目录!$D$6</f>
        <v>0</v>
      </c>
      <c r="W59" s="41">
        <f>财务基础数据!AB226*目录!$D$6</f>
        <v>0</v>
      </c>
      <c r="X59" s="41">
        <f>财务基础数据!AC226*目录!$D$6</f>
        <v>0</v>
      </c>
      <c r="Y59" s="41">
        <f>财务基础数据!AD226*目录!$D$6</f>
        <v>0</v>
      </c>
      <c r="Z59" s="41">
        <f>财务基础数据!AE226*目录!$D$6</f>
        <v>0</v>
      </c>
      <c r="AA59" s="41">
        <f>财务基础数据!AF226*目录!$D$6</f>
        <v>0</v>
      </c>
      <c r="AB59" s="41">
        <f>财务基础数据!AG226*目录!$D$6</f>
        <v>0</v>
      </c>
      <c r="AC59" s="41">
        <f>财务基础数据!AH226*目录!$D$6</f>
        <v>0</v>
      </c>
      <c r="AD59" s="41">
        <f>财务基础数据!AI226*目录!$D$6</f>
        <v>0</v>
      </c>
      <c r="AE59" s="41">
        <f>财务基础数据!AJ226*目录!$D$6</f>
        <v>0</v>
      </c>
      <c r="AF59" s="41">
        <f>财务基础数据!AK226*目录!$D$6</f>
        <v>0</v>
      </c>
      <c r="AG59" s="41">
        <f>财务基础数据!AL226*目录!$D$6</f>
        <v>0</v>
      </c>
      <c r="AH59" s="489">
        <f>财务基础数据!AM226*目录!$D$6</f>
        <v>0</v>
      </c>
      <c r="AI59" s="489">
        <f>财务基础数据!AN226*目录!$D$6</f>
        <v>0</v>
      </c>
      <c r="AJ59" s="489">
        <f>财务基础数据!AO226*目录!$D$6</f>
        <v>0</v>
      </c>
      <c r="AK59" s="489">
        <f>财务基础数据!AP226*目录!$D$6</f>
        <v>0</v>
      </c>
      <c r="AL59" s="108">
        <f>AG59</f>
        <v>0</v>
      </c>
      <c r="AM59" s="108">
        <f>AL59</f>
        <v>0</v>
      </c>
      <c r="AN59" s="108">
        <f>AM59</f>
        <v>0</v>
      </c>
      <c r="AO59" s="108">
        <f t="shared" ref="AO59:AU59" si="14">AN59</f>
        <v>0</v>
      </c>
      <c r="AP59" s="108">
        <f t="shared" si="14"/>
        <v>0</v>
      </c>
      <c r="AQ59" s="108">
        <f t="shared" si="14"/>
        <v>0</v>
      </c>
      <c r="AR59" s="108">
        <f t="shared" si="14"/>
        <v>0</v>
      </c>
      <c r="AS59" s="108">
        <f t="shared" si="14"/>
        <v>0</v>
      </c>
      <c r="AT59" s="108">
        <f t="shared" si="14"/>
        <v>0</v>
      </c>
      <c r="AU59" s="108">
        <f t="shared" si="14"/>
        <v>0</v>
      </c>
      <c r="AW59" s="4"/>
    </row>
    <row r="60" spans="1:49" ht="14.15">
      <c r="A60" s="39"/>
      <c r="B60" s="664" t="s">
        <v>686</v>
      </c>
      <c r="C60" s="20"/>
      <c r="D60" s="23" t="s">
        <v>1258</v>
      </c>
      <c r="E60" s="40">
        <f>(财务基础数据!J183+财务基础数据!J184)*目录!$D$6</f>
        <v>0</v>
      </c>
      <c r="F60" s="40">
        <f>(财务基础数据!K183+财务基础数据!K184)*目录!$D$6</f>
        <v>0</v>
      </c>
      <c r="G60" s="40">
        <f>(财务基础数据!L183+财务基础数据!L184)*目录!$D$6</f>
        <v>0</v>
      </c>
      <c r="H60" s="40">
        <f>(财务基础数据!M183+财务基础数据!M184)*目录!$D$6</f>
        <v>0</v>
      </c>
      <c r="I60" s="40">
        <f>(财务基础数据!N183+财务基础数据!N184)*目录!$D$6</f>
        <v>0</v>
      </c>
      <c r="J60" s="40">
        <f>(财务基础数据!O183+财务基础数据!O184)*目录!$D$6</f>
        <v>0</v>
      </c>
      <c r="K60" s="40">
        <f>(财务基础数据!P183+财务基础数据!P184)*目录!$D$6</f>
        <v>0</v>
      </c>
      <c r="L60" s="40">
        <f>(财务基础数据!Q183+财务基础数据!Q184)*目录!$D$6</f>
        <v>0</v>
      </c>
      <c r="M60" s="40">
        <f>(财务基础数据!R183+财务基础数据!R184)*目录!$D$6</f>
        <v>0</v>
      </c>
      <c r="N60" s="40">
        <f>(财务基础数据!S183+财务基础数据!S184)*目录!$D$6</f>
        <v>0</v>
      </c>
      <c r="O60" s="40">
        <f>(财务基础数据!T183+财务基础数据!T184)*目录!$D$6</f>
        <v>0</v>
      </c>
      <c r="P60" s="40">
        <f>(财务基础数据!U183+财务基础数据!U184)*目录!$D$6</f>
        <v>0</v>
      </c>
      <c r="Q60" s="40">
        <f>(财务基础数据!V183+财务基础数据!V184)*目录!$D$6</f>
        <v>0</v>
      </c>
      <c r="R60" s="40">
        <f>(财务基础数据!W183+财务基础数据!W184)*目录!$D$6</f>
        <v>0</v>
      </c>
      <c r="S60" s="40">
        <f>(财务基础数据!X183+财务基础数据!X184)*目录!$D$6</f>
        <v>0</v>
      </c>
      <c r="T60" s="40">
        <f>(财务基础数据!Y183+财务基础数据!Y184)*目录!$D$6</f>
        <v>0</v>
      </c>
      <c r="U60" s="40">
        <f>(财务基础数据!Z183+财务基础数据!Z184)*目录!$D$6</f>
        <v>0</v>
      </c>
      <c r="V60" s="40">
        <f>(财务基础数据!AA183+财务基础数据!AA184)*目录!$D$6</f>
        <v>0</v>
      </c>
      <c r="W60" s="40">
        <f>(财务基础数据!AB183+财务基础数据!AB184)*目录!$D$6</f>
        <v>0</v>
      </c>
      <c r="X60" s="40">
        <f>(财务基础数据!AC183+财务基础数据!AC184)*目录!$D$6</f>
        <v>0</v>
      </c>
      <c r="Y60" s="40">
        <f>(财务基础数据!AD183+财务基础数据!AD184)*目录!$D$6</f>
        <v>0</v>
      </c>
      <c r="Z60" s="40">
        <f>(财务基础数据!AE183+财务基础数据!AE184)*目录!$D$6</f>
        <v>0</v>
      </c>
      <c r="AA60" s="40">
        <f>(财务基础数据!AF183+财务基础数据!AF184)*目录!$D$6</f>
        <v>0</v>
      </c>
      <c r="AB60" s="40">
        <f>(财务基础数据!AG183+财务基础数据!AG184)*目录!$D$6</f>
        <v>0</v>
      </c>
      <c r="AC60" s="40">
        <f>(财务基础数据!AH183+财务基础数据!AH184)*目录!$D$6</f>
        <v>0</v>
      </c>
      <c r="AD60" s="40">
        <f>(财务基础数据!AI183+财务基础数据!AI184)*目录!$D$6</f>
        <v>0</v>
      </c>
      <c r="AE60" s="40">
        <f>(财务基础数据!AJ183+财务基础数据!AJ184)*目录!$D$6</f>
        <v>0</v>
      </c>
      <c r="AF60" s="40">
        <f>(财务基础数据!AK183+财务基础数据!AK184)*目录!$D$6</f>
        <v>0</v>
      </c>
      <c r="AG60" s="40">
        <f>(财务基础数据!AL183+财务基础数据!AL184)*目录!$D$6</f>
        <v>0</v>
      </c>
      <c r="AH60" s="491">
        <f>(财务基础数据!AM183+财务基础数据!AM184)*目录!$D$6</f>
        <v>0</v>
      </c>
      <c r="AI60" s="491">
        <f>(财务基础数据!AN183+财务基础数据!AN184)*目录!$D$6</f>
        <v>0</v>
      </c>
      <c r="AJ60" s="491">
        <f>(财务基础数据!AO183+财务基础数据!AO184)*目录!$D$6</f>
        <v>0</v>
      </c>
      <c r="AK60" s="491">
        <f>(财务基础数据!AP183+财务基础数据!AP184)*目录!$D$6</f>
        <v>0</v>
      </c>
      <c r="AL60" s="108">
        <f>AG60</f>
        <v>0</v>
      </c>
      <c r="AM60" s="108">
        <f>AL60</f>
        <v>0</v>
      </c>
      <c r="AN60" s="108">
        <f>AM60</f>
        <v>0</v>
      </c>
      <c r="AO60" s="108">
        <f t="shared" ref="AO60:AU60" si="15">AN60</f>
        <v>0</v>
      </c>
      <c r="AP60" s="108">
        <f t="shared" si="15"/>
        <v>0</v>
      </c>
      <c r="AQ60" s="108">
        <f t="shared" si="15"/>
        <v>0</v>
      </c>
      <c r="AR60" s="108">
        <f t="shared" si="15"/>
        <v>0</v>
      </c>
      <c r="AS60" s="108">
        <f t="shared" si="15"/>
        <v>0</v>
      </c>
      <c r="AT60" s="108">
        <f t="shared" si="15"/>
        <v>0</v>
      </c>
      <c r="AU60" s="108">
        <f t="shared" si="15"/>
        <v>0</v>
      </c>
      <c r="AW60" s="4"/>
    </row>
    <row r="61" spans="1:49" s="48" customFormat="1" ht="13.75">
      <c r="A61" s="262"/>
      <c r="B61" s="665" t="s">
        <v>142</v>
      </c>
      <c r="C61" s="412"/>
      <c r="D61" s="285"/>
      <c r="E61" s="49">
        <f>财务基础数据!J185*目录!$D$6</f>
        <v>0</v>
      </c>
      <c r="F61" s="49">
        <f>财务基础数据!K185*目录!$D$6</f>
        <v>0</v>
      </c>
      <c r="G61" s="49">
        <f>财务基础数据!L185*目录!$D$6</f>
        <v>0</v>
      </c>
      <c r="H61" s="49">
        <f>财务基础数据!M185*目录!$D$6</f>
        <v>0</v>
      </c>
      <c r="I61" s="49">
        <f>财务基础数据!N185*目录!$D$6</f>
        <v>0</v>
      </c>
      <c r="J61" s="49">
        <f>财务基础数据!O185*目录!$D$6</f>
        <v>0</v>
      </c>
      <c r="K61" s="49">
        <f>财务基础数据!P185*目录!$D$6</f>
        <v>0</v>
      </c>
      <c r="L61" s="49">
        <f>财务基础数据!Q185*目录!$D$6</f>
        <v>0</v>
      </c>
      <c r="M61" s="49">
        <f>财务基础数据!R185*目录!$D$6</f>
        <v>0</v>
      </c>
      <c r="N61" s="49">
        <f>财务基础数据!S185*目录!$D$6</f>
        <v>0</v>
      </c>
      <c r="O61" s="49">
        <f>财务基础数据!T185*目录!$D$6</f>
        <v>0</v>
      </c>
      <c r="P61" s="49">
        <f>财务基础数据!U185*目录!$D$6</f>
        <v>0</v>
      </c>
      <c r="Q61" s="49">
        <f>财务基础数据!V185*目录!$D$6</f>
        <v>0</v>
      </c>
      <c r="R61" s="49">
        <f>财务基础数据!W185*目录!$D$6</f>
        <v>0</v>
      </c>
      <c r="S61" s="49">
        <f>财务基础数据!X185*目录!$D$6</f>
        <v>0</v>
      </c>
      <c r="T61" s="49">
        <f>财务基础数据!Y185*目录!$D$6</f>
        <v>0</v>
      </c>
      <c r="U61" s="49">
        <f>财务基础数据!Z185*目录!$D$6</f>
        <v>0</v>
      </c>
      <c r="V61" s="49">
        <f>财务基础数据!AA185*目录!$D$6</f>
        <v>0</v>
      </c>
      <c r="W61" s="49">
        <f>财务基础数据!AB185*目录!$D$6</f>
        <v>0</v>
      </c>
      <c r="X61" s="49">
        <f>财务基础数据!AC185*目录!$D$6</f>
        <v>0</v>
      </c>
      <c r="Y61" s="49">
        <f>财务基础数据!AD185*目录!$D$6</f>
        <v>0</v>
      </c>
      <c r="Z61" s="49">
        <f>财务基础数据!AE185*目录!$D$6</f>
        <v>0</v>
      </c>
      <c r="AA61" s="49">
        <f>财务基础数据!AF185*目录!$D$6</f>
        <v>0</v>
      </c>
      <c r="AB61" s="49">
        <f>财务基础数据!AG185*目录!$D$6</f>
        <v>0</v>
      </c>
      <c r="AC61" s="49">
        <f>财务基础数据!AH185*目录!$D$6</f>
        <v>0</v>
      </c>
      <c r="AD61" s="49">
        <f>财务基础数据!AI185*目录!$D$6</f>
        <v>0</v>
      </c>
      <c r="AE61" s="49">
        <f>财务基础数据!AJ185*目录!$D$6</f>
        <v>0</v>
      </c>
      <c r="AF61" s="49">
        <f>财务基础数据!AK185*目录!$D$6</f>
        <v>0</v>
      </c>
      <c r="AG61" s="49">
        <f>财务基础数据!AL185*目录!$D$6</f>
        <v>0</v>
      </c>
      <c r="AH61" s="617">
        <f>财务基础数据!AM185*目录!$D$6</f>
        <v>0</v>
      </c>
      <c r="AI61" s="617">
        <f>财务基础数据!AN185*目录!$D$6</f>
        <v>0</v>
      </c>
      <c r="AJ61" s="617">
        <f>财务基础数据!AO185*目录!$D$6</f>
        <v>0</v>
      </c>
      <c r="AK61" s="617">
        <f>财务基础数据!AP185*目录!$D$6</f>
        <v>0</v>
      </c>
      <c r="AL61" s="615">
        <f>IF(ISERROR(资产预测!P88),"—",资产预测!P88)</f>
        <v>0</v>
      </c>
      <c r="AM61" s="615">
        <f>IF(ISERROR(资产预测!Q88),"—",资产预测!Q88)</f>
        <v>0</v>
      </c>
      <c r="AN61" s="615">
        <f>IF(ISERROR(资产预测!R88),"—",资产预测!R88)</f>
        <v>0</v>
      </c>
      <c r="AO61" s="615">
        <f>IF(ISERROR(资产预测!S88),"—",资产预测!S88)</f>
        <v>0</v>
      </c>
      <c r="AP61" s="615">
        <f>IF(ISERROR(资产预测!T88),"—",资产预测!T88)</f>
        <v>0</v>
      </c>
      <c r="AQ61" s="615">
        <f>IF(ISERROR(资产预测!U88),"—",资产预测!U88)</f>
        <v>0</v>
      </c>
      <c r="AR61" s="615">
        <f>IF(ISERROR(资产预测!V88),"—",资产预测!V88)</f>
        <v>0</v>
      </c>
      <c r="AS61" s="615">
        <f>IF(ISERROR(资产预测!W88),"—",资产预测!W88)</f>
        <v>0</v>
      </c>
      <c r="AT61" s="615">
        <f>IF(ISERROR(资产预测!X88),"—",资产预测!X88)</f>
        <v>0</v>
      </c>
      <c r="AU61" s="615">
        <f>IF(ISERROR(资产预测!Y88),"—",资产预测!Y88)</f>
        <v>0</v>
      </c>
      <c r="AW61" s="5"/>
    </row>
    <row r="62" spans="1:49" s="48" customFormat="1" ht="14.15">
      <c r="A62" s="1"/>
      <c r="B62" s="271" t="s">
        <v>685</v>
      </c>
      <c r="C62" s="20"/>
      <c r="D62" s="282"/>
      <c r="E62" s="47">
        <f t="shared" ref="E62:AU62" si="16">SUM(E49:E61)</f>
        <v>0</v>
      </c>
      <c r="F62" s="47">
        <f t="shared" si="16"/>
        <v>0</v>
      </c>
      <c r="G62" s="47">
        <f t="shared" si="16"/>
        <v>0</v>
      </c>
      <c r="H62" s="47">
        <f t="shared" si="16"/>
        <v>0</v>
      </c>
      <c r="I62" s="47">
        <f t="shared" si="16"/>
        <v>0</v>
      </c>
      <c r="J62" s="47">
        <f t="shared" si="16"/>
        <v>0</v>
      </c>
      <c r="K62" s="47">
        <f t="shared" si="16"/>
        <v>0</v>
      </c>
      <c r="L62" s="47">
        <f t="shared" si="16"/>
        <v>0</v>
      </c>
      <c r="M62" s="47">
        <f t="shared" si="16"/>
        <v>0</v>
      </c>
      <c r="N62" s="47">
        <f t="shared" si="16"/>
        <v>0</v>
      </c>
      <c r="O62" s="47">
        <f t="shared" si="16"/>
        <v>0</v>
      </c>
      <c r="P62" s="47">
        <f t="shared" si="16"/>
        <v>0</v>
      </c>
      <c r="Q62" s="47">
        <f t="shared" si="16"/>
        <v>0</v>
      </c>
      <c r="R62" s="47">
        <f t="shared" si="16"/>
        <v>0</v>
      </c>
      <c r="S62" s="47">
        <f t="shared" si="16"/>
        <v>0</v>
      </c>
      <c r="T62" s="47">
        <f t="shared" si="16"/>
        <v>0</v>
      </c>
      <c r="U62" s="47">
        <f t="shared" si="16"/>
        <v>0</v>
      </c>
      <c r="V62" s="47">
        <f t="shared" si="16"/>
        <v>0</v>
      </c>
      <c r="W62" s="47">
        <f t="shared" si="16"/>
        <v>0</v>
      </c>
      <c r="X62" s="47">
        <f t="shared" si="16"/>
        <v>0</v>
      </c>
      <c r="Y62" s="47">
        <f t="shared" si="16"/>
        <v>0</v>
      </c>
      <c r="Z62" s="47">
        <f t="shared" si="16"/>
        <v>0</v>
      </c>
      <c r="AA62" s="47">
        <f t="shared" si="16"/>
        <v>0</v>
      </c>
      <c r="AB62" s="47">
        <f t="shared" si="16"/>
        <v>0</v>
      </c>
      <c r="AC62" s="47">
        <f t="shared" si="16"/>
        <v>0</v>
      </c>
      <c r="AD62" s="47">
        <f t="shared" si="16"/>
        <v>0</v>
      </c>
      <c r="AE62" s="47">
        <f t="shared" si="16"/>
        <v>0</v>
      </c>
      <c r="AF62" s="47">
        <f t="shared" si="16"/>
        <v>0</v>
      </c>
      <c r="AG62" s="47">
        <f t="shared" si="16"/>
        <v>0</v>
      </c>
      <c r="AH62" s="492">
        <f t="shared" si="16"/>
        <v>0</v>
      </c>
      <c r="AI62" s="492">
        <f t="shared" si="16"/>
        <v>0</v>
      </c>
      <c r="AJ62" s="492">
        <f t="shared" si="16"/>
        <v>0</v>
      </c>
      <c r="AK62" s="492">
        <f t="shared" si="16"/>
        <v>0</v>
      </c>
      <c r="AL62" s="47">
        <f t="shared" si="16"/>
        <v>0</v>
      </c>
      <c r="AM62" s="47">
        <f t="shared" si="16"/>
        <v>0</v>
      </c>
      <c r="AN62" s="47">
        <f t="shared" si="16"/>
        <v>0</v>
      </c>
      <c r="AO62" s="47">
        <f t="shared" si="16"/>
        <v>0</v>
      </c>
      <c r="AP62" s="47">
        <f t="shared" si="16"/>
        <v>0</v>
      </c>
      <c r="AQ62" s="47">
        <f t="shared" si="16"/>
        <v>0</v>
      </c>
      <c r="AR62" s="47">
        <f t="shared" si="16"/>
        <v>0</v>
      </c>
      <c r="AS62" s="47">
        <f t="shared" si="16"/>
        <v>0</v>
      </c>
      <c r="AT62" s="47">
        <f t="shared" si="16"/>
        <v>0</v>
      </c>
      <c r="AU62" s="47">
        <f t="shared" si="16"/>
        <v>0</v>
      </c>
      <c r="AW62" s="4"/>
    </row>
    <row r="63" spans="1:49" s="611" customFormat="1" ht="14.15">
      <c r="A63" s="600"/>
      <c r="B63" s="593" t="s">
        <v>1102</v>
      </c>
      <c r="C63" s="608"/>
      <c r="D63" s="609"/>
      <c r="E63" s="602">
        <f>财务基础数据!J186*目录!$D$6-E62</f>
        <v>0</v>
      </c>
      <c r="F63" s="602">
        <f>财务基础数据!K186*目录!$D$6-F62</f>
        <v>0</v>
      </c>
      <c r="G63" s="602">
        <f>财务基础数据!L186*目录!$D$6-G62</f>
        <v>0</v>
      </c>
      <c r="H63" s="602">
        <f>财务基础数据!M186*目录!$D$6-H62</f>
        <v>0</v>
      </c>
      <c r="I63" s="602">
        <f>财务基础数据!N186*目录!$D$6-I62</f>
        <v>0</v>
      </c>
      <c r="J63" s="602">
        <f>财务基础数据!O186*目录!$D$6-J62</f>
        <v>0</v>
      </c>
      <c r="K63" s="602">
        <f>财务基础数据!P186*目录!$D$6-K62</f>
        <v>0</v>
      </c>
      <c r="L63" s="602">
        <f>财务基础数据!Q186*目录!$D$6-L62</f>
        <v>0</v>
      </c>
      <c r="M63" s="602">
        <f>财务基础数据!R186*目录!$D$6-M62</f>
        <v>0</v>
      </c>
      <c r="N63" s="602">
        <f>财务基础数据!S186*目录!$D$6-N62</f>
        <v>0</v>
      </c>
      <c r="O63" s="602">
        <f>财务基础数据!T186*目录!$D$6-O62</f>
        <v>0</v>
      </c>
      <c r="P63" s="602">
        <f>财务基础数据!U186*目录!$D$6-P62</f>
        <v>0</v>
      </c>
      <c r="Q63" s="602">
        <f>财务基础数据!V186*目录!$D$6-Q62</f>
        <v>0</v>
      </c>
      <c r="R63" s="602">
        <f>财务基础数据!W186*目录!$D$6-R62</f>
        <v>0</v>
      </c>
      <c r="S63" s="602">
        <f>财务基础数据!X186*目录!$D$6-S62</f>
        <v>0</v>
      </c>
      <c r="T63" s="602">
        <f>财务基础数据!Y186*目录!$D$6-T62</f>
        <v>0</v>
      </c>
      <c r="U63" s="602">
        <f>财务基础数据!Z186*目录!$D$6-U62</f>
        <v>0</v>
      </c>
      <c r="V63" s="602">
        <f>财务基础数据!AA186*目录!$D$6-V62</f>
        <v>0</v>
      </c>
      <c r="W63" s="602">
        <f>财务基础数据!AB186*目录!$D$6-W62</f>
        <v>0</v>
      </c>
      <c r="X63" s="602">
        <f>财务基础数据!AC186*目录!$D$6-X62</f>
        <v>0</v>
      </c>
      <c r="Y63" s="602">
        <f>财务基础数据!AD186*目录!$D$6-Y62</f>
        <v>0</v>
      </c>
      <c r="Z63" s="602">
        <f>财务基础数据!AE186*目录!$D$6-Z62</f>
        <v>0</v>
      </c>
      <c r="AA63" s="602">
        <f>财务基础数据!AF186*目录!$D$6-AA62</f>
        <v>0</v>
      </c>
      <c r="AB63" s="602">
        <f>财务基础数据!AG186*目录!$D$6-AB62</f>
        <v>0</v>
      </c>
      <c r="AC63" s="602">
        <f>财务基础数据!AH186*目录!$D$6-AC62</f>
        <v>0</v>
      </c>
      <c r="AD63" s="602">
        <f>财务基础数据!AI186*目录!$D$6-AD62</f>
        <v>0</v>
      </c>
      <c r="AE63" s="602">
        <f>财务基础数据!AJ186*目录!$D$6-AE62</f>
        <v>0</v>
      </c>
      <c r="AF63" s="602">
        <f>财务基础数据!AK186*目录!$D$6-AF62</f>
        <v>0</v>
      </c>
      <c r="AG63" s="602">
        <f>财务基础数据!AL186*目录!$D$6-AG62</f>
        <v>0</v>
      </c>
      <c r="AH63" s="614">
        <f>财务基础数据!AM186*目录!$D$6-AH62</f>
        <v>0</v>
      </c>
      <c r="AI63" s="614">
        <f>财务基础数据!AN186*目录!$D$6-AI62</f>
        <v>0</v>
      </c>
      <c r="AJ63" s="614">
        <f>财务基础数据!AO186*目录!$D$6-AJ62</f>
        <v>0</v>
      </c>
      <c r="AK63" s="614">
        <f>财务基础数据!AP186*目录!$D$6-AK62</f>
        <v>0</v>
      </c>
      <c r="AL63" s="610"/>
      <c r="AM63" s="610"/>
      <c r="AN63" s="610"/>
      <c r="AO63" s="610"/>
      <c r="AP63" s="610"/>
      <c r="AQ63" s="610"/>
      <c r="AR63" s="610"/>
      <c r="AS63" s="610"/>
      <c r="AT63" s="610"/>
      <c r="AU63" s="610"/>
      <c r="AW63" s="4"/>
    </row>
    <row r="64" spans="1:49" s="48" customFormat="1" ht="14.15">
      <c r="A64" s="1"/>
      <c r="B64" s="20"/>
      <c r="C64" s="20"/>
      <c r="D64" s="282"/>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89"/>
      <c r="AI64" s="489"/>
      <c r="AJ64" s="489"/>
      <c r="AK64" s="489"/>
      <c r="AL64" s="46"/>
      <c r="AM64" s="46"/>
      <c r="AN64" s="46"/>
      <c r="AO64" s="46"/>
      <c r="AP64" s="46"/>
      <c r="AQ64" s="46"/>
      <c r="AR64" s="46"/>
      <c r="AS64" s="46"/>
      <c r="AT64" s="46"/>
      <c r="AU64" s="46"/>
      <c r="AW64" s="4"/>
    </row>
    <row r="65" spans="1:49" ht="13.75">
      <c r="B65" s="261" t="s">
        <v>416</v>
      </c>
      <c r="E65" s="41">
        <f>财务基础数据!J187*目录!$D$6</f>
        <v>0</v>
      </c>
      <c r="F65" s="41">
        <f>财务基础数据!K187*目录!$D$6</f>
        <v>0</v>
      </c>
      <c r="G65" s="41">
        <f>财务基础数据!L187*目录!$D$6</f>
        <v>0</v>
      </c>
      <c r="H65" s="41">
        <f>财务基础数据!M187*目录!$D$6</f>
        <v>0</v>
      </c>
      <c r="I65" s="41">
        <f>财务基础数据!N187*目录!$D$6</f>
        <v>0</v>
      </c>
      <c r="J65" s="41">
        <f>财务基础数据!O187*目录!$D$6</f>
        <v>0</v>
      </c>
      <c r="K65" s="41">
        <f>财务基础数据!P187*目录!$D$6</f>
        <v>0</v>
      </c>
      <c r="L65" s="41">
        <f>财务基础数据!Q187*目录!$D$6</f>
        <v>0</v>
      </c>
      <c r="M65" s="41">
        <f>财务基础数据!R187*目录!$D$6</f>
        <v>0</v>
      </c>
      <c r="N65" s="41">
        <f>财务基础数据!S187*目录!$D$6</f>
        <v>0</v>
      </c>
      <c r="O65" s="41">
        <f>财务基础数据!T187*目录!$D$6</f>
        <v>0</v>
      </c>
      <c r="P65" s="41">
        <f>财务基础数据!U187*目录!$D$6</f>
        <v>0</v>
      </c>
      <c r="Q65" s="41">
        <f>财务基础数据!V187*目录!$D$6</f>
        <v>0</v>
      </c>
      <c r="R65" s="41">
        <f>财务基础数据!W187*目录!$D$6</f>
        <v>0</v>
      </c>
      <c r="S65" s="41">
        <f>财务基础数据!X187*目录!$D$6</f>
        <v>0</v>
      </c>
      <c r="T65" s="41">
        <f>财务基础数据!Y187*目录!$D$6</f>
        <v>0</v>
      </c>
      <c r="U65" s="41">
        <f>财务基础数据!Z187*目录!$D$6</f>
        <v>0</v>
      </c>
      <c r="V65" s="41">
        <f>财务基础数据!AA187*目录!$D$6</f>
        <v>0</v>
      </c>
      <c r="W65" s="41">
        <f>财务基础数据!AB187*目录!$D$6</f>
        <v>0</v>
      </c>
      <c r="X65" s="41">
        <f>财务基础数据!AC187*目录!$D$6</f>
        <v>0</v>
      </c>
      <c r="Y65" s="41">
        <f>财务基础数据!AD187*目录!$D$6</f>
        <v>0</v>
      </c>
      <c r="Z65" s="41">
        <f>财务基础数据!AE187*目录!$D$6</f>
        <v>0</v>
      </c>
      <c r="AA65" s="41">
        <f>财务基础数据!AF187*目录!$D$6</f>
        <v>0</v>
      </c>
      <c r="AB65" s="41">
        <f>财务基础数据!AG187*目录!$D$6</f>
        <v>0</v>
      </c>
      <c r="AC65" s="41">
        <f>财务基础数据!AH187*目录!$D$6</f>
        <v>0</v>
      </c>
      <c r="AD65" s="41">
        <f>财务基础数据!AI187*目录!$D$6</f>
        <v>0</v>
      </c>
      <c r="AE65" s="41">
        <f>财务基础数据!AJ187*目录!$D$6</f>
        <v>0</v>
      </c>
      <c r="AF65" s="41">
        <f>财务基础数据!AK187*目录!$D$6</f>
        <v>0</v>
      </c>
      <c r="AG65" s="41">
        <f>财务基础数据!AL187*目录!$D$6</f>
        <v>0</v>
      </c>
      <c r="AH65" s="489">
        <f>财务基础数据!AM187*目录!$D$6</f>
        <v>0</v>
      </c>
      <c r="AI65" s="489">
        <f>财务基础数据!AN187*目录!$D$6</f>
        <v>0</v>
      </c>
      <c r="AJ65" s="489">
        <f>财务基础数据!AO187*目录!$D$6</f>
        <v>0</v>
      </c>
      <c r="AK65" s="489">
        <f>财务基础数据!AP187*目录!$D$6</f>
        <v>0</v>
      </c>
      <c r="AL65" s="41">
        <f>IF(ISERROR(资产预测!P206),"—",资产预测!P206)</f>
        <v>0</v>
      </c>
      <c r="AM65" s="41">
        <f>IF(ISERROR(资产预测!Q206),"—",资产预测!Q206)</f>
        <v>0</v>
      </c>
      <c r="AN65" s="41">
        <f>IF(ISERROR(资产预测!R206),"—",资产预测!R206)</f>
        <v>0</v>
      </c>
      <c r="AO65" s="41">
        <f>IF(ISERROR(资产预测!S206),"—",资产预测!S206)</f>
        <v>0</v>
      </c>
      <c r="AP65" s="41">
        <f>IF(ISERROR(资产预测!T206),"—",资产预测!T206)</f>
        <v>0</v>
      </c>
      <c r="AQ65" s="41">
        <f>IF(ISERROR(资产预测!U206),"—",资产预测!U206)</f>
        <v>0</v>
      </c>
      <c r="AR65" s="41">
        <f>IF(ISERROR(资产预测!V206),"—",资产预测!V206)</f>
        <v>0</v>
      </c>
      <c r="AS65" s="41">
        <f>IF(ISERROR(资产预测!W206),"—",资产预测!W206)</f>
        <v>0</v>
      </c>
      <c r="AT65" s="41">
        <f>IF(ISERROR(资产预测!X206),"—",资产预测!X206)</f>
        <v>0</v>
      </c>
      <c r="AU65" s="41">
        <f>IF(ISERROR(资产预测!Y206),"—",资产预测!Y206)</f>
        <v>0</v>
      </c>
      <c r="AW65" s="4"/>
    </row>
    <row r="66" spans="1:49" s="52" customFormat="1" ht="14.15">
      <c r="A66" s="1"/>
      <c r="B66" s="261" t="s">
        <v>888</v>
      </c>
      <c r="C66" s="1"/>
      <c r="D66" s="67"/>
      <c r="E66" s="41">
        <f>财务基础数据!J188*目录!$D$6</f>
        <v>0</v>
      </c>
      <c r="F66" s="41">
        <f>财务基础数据!K188*目录!$D$6</f>
        <v>0</v>
      </c>
      <c r="G66" s="41">
        <f>财务基础数据!L188*目录!$D$6</f>
        <v>0</v>
      </c>
      <c r="H66" s="41">
        <f>财务基础数据!M188*目录!$D$6</f>
        <v>0</v>
      </c>
      <c r="I66" s="41">
        <f>财务基础数据!N188*目录!$D$6</f>
        <v>0</v>
      </c>
      <c r="J66" s="41">
        <f>财务基础数据!O188*目录!$D$6</f>
        <v>0</v>
      </c>
      <c r="K66" s="41">
        <f>财务基础数据!P188*目录!$D$6</f>
        <v>0</v>
      </c>
      <c r="L66" s="41">
        <f>财务基础数据!Q188*目录!$D$6</f>
        <v>0</v>
      </c>
      <c r="M66" s="41">
        <f>财务基础数据!R188*目录!$D$6</f>
        <v>0</v>
      </c>
      <c r="N66" s="41">
        <f>财务基础数据!S188*目录!$D$6</f>
        <v>0</v>
      </c>
      <c r="O66" s="41">
        <f>财务基础数据!T188*目录!$D$6</f>
        <v>0</v>
      </c>
      <c r="P66" s="41">
        <f>财务基础数据!U188*目录!$D$6</f>
        <v>0</v>
      </c>
      <c r="Q66" s="41">
        <f>财务基础数据!V188*目录!$D$6</f>
        <v>0</v>
      </c>
      <c r="R66" s="41">
        <f>财务基础数据!W188*目录!$D$6</f>
        <v>0</v>
      </c>
      <c r="S66" s="41">
        <f>财务基础数据!X188*目录!$D$6</f>
        <v>0</v>
      </c>
      <c r="T66" s="41">
        <f>财务基础数据!Y188*目录!$D$6</f>
        <v>0</v>
      </c>
      <c r="U66" s="41">
        <f>财务基础数据!Z188*目录!$D$6</f>
        <v>0</v>
      </c>
      <c r="V66" s="41">
        <f>财务基础数据!AA188*目录!$D$6</f>
        <v>0</v>
      </c>
      <c r="W66" s="41">
        <f>财务基础数据!AB188*目录!$D$6</f>
        <v>0</v>
      </c>
      <c r="X66" s="41">
        <f>财务基础数据!AC188*目录!$D$6</f>
        <v>0</v>
      </c>
      <c r="Y66" s="41">
        <f>财务基础数据!AD188*目录!$D$6</f>
        <v>0</v>
      </c>
      <c r="Z66" s="41">
        <f>财务基础数据!AE188*目录!$D$6</f>
        <v>0</v>
      </c>
      <c r="AA66" s="41">
        <f>财务基础数据!AF188*目录!$D$6</f>
        <v>0</v>
      </c>
      <c r="AB66" s="41">
        <f>财务基础数据!AG188*目录!$D$6</f>
        <v>0</v>
      </c>
      <c r="AC66" s="41">
        <f>财务基础数据!AH188*目录!$D$6</f>
        <v>0</v>
      </c>
      <c r="AD66" s="41">
        <f>财务基础数据!AI188*目录!$D$6</f>
        <v>0</v>
      </c>
      <c r="AE66" s="41">
        <f>财务基础数据!AJ188*目录!$D$6</f>
        <v>0</v>
      </c>
      <c r="AF66" s="41">
        <f>财务基础数据!AK188*目录!$D$6</f>
        <v>0</v>
      </c>
      <c r="AG66" s="41">
        <f>财务基础数据!AL188*目录!$D$6</f>
        <v>0</v>
      </c>
      <c r="AH66" s="489">
        <f>财务基础数据!AM188*目录!$D$6</f>
        <v>0</v>
      </c>
      <c r="AI66" s="489">
        <f>财务基础数据!AN188*目录!$D$6</f>
        <v>0</v>
      </c>
      <c r="AJ66" s="489">
        <f>财务基础数据!AO188*目录!$D$6</f>
        <v>0</v>
      </c>
      <c r="AK66" s="489">
        <f>财务基础数据!AP188*目录!$D$6</f>
        <v>0</v>
      </c>
      <c r="AL66" s="41">
        <f>IF(ISERROR(资产预测!P200),"—",资产预测!P200)</f>
        <v>0</v>
      </c>
      <c r="AM66" s="41">
        <f>IF(ISERROR(资产预测!Q200),"—",资产预测!Q200)</f>
        <v>0</v>
      </c>
      <c r="AN66" s="41">
        <f>IF(ISERROR(资产预测!R200),"—",资产预测!R200)</f>
        <v>0</v>
      </c>
      <c r="AO66" s="41">
        <f>IF(ISERROR(资产预测!S200),"—",资产预测!S200)</f>
        <v>0</v>
      </c>
      <c r="AP66" s="41">
        <f>IF(ISERROR(资产预测!T200),"—",资产预测!T200)</f>
        <v>0</v>
      </c>
      <c r="AQ66" s="41">
        <f>IF(ISERROR(资产预测!U200),"—",资产预测!U200)</f>
        <v>0</v>
      </c>
      <c r="AR66" s="41">
        <f>IF(ISERROR(资产预测!V200),"—",资产预测!V200)</f>
        <v>0</v>
      </c>
      <c r="AS66" s="41">
        <f>IF(ISERROR(资产预测!W200),"—",资产预测!W200)</f>
        <v>0</v>
      </c>
      <c r="AT66" s="41">
        <f>IF(ISERROR(资产预测!X200),"—",资产预测!X200)</f>
        <v>0</v>
      </c>
      <c r="AU66" s="41">
        <f>IF(ISERROR(资产预测!Y200),"—",资产预测!Y200)</f>
        <v>0</v>
      </c>
      <c r="AW66" s="4"/>
    </row>
    <row r="67" spans="1:49" s="52" customFormat="1" ht="13.75">
      <c r="A67" s="262"/>
      <c r="B67" s="558" t="s">
        <v>1024</v>
      </c>
      <c r="C67" s="1"/>
      <c r="D67" s="23" t="s">
        <v>1258</v>
      </c>
      <c r="E67" s="41">
        <f>财务基础数据!J249*目录!$D$6</f>
        <v>0</v>
      </c>
      <c r="F67" s="41">
        <f>财务基础数据!K249*目录!$D$6</f>
        <v>0</v>
      </c>
      <c r="G67" s="41">
        <f>财务基础数据!L249*目录!$D$6</f>
        <v>0</v>
      </c>
      <c r="H67" s="41">
        <f>财务基础数据!M249*目录!$D$6</f>
        <v>0</v>
      </c>
      <c r="I67" s="41">
        <f>财务基础数据!N249*目录!$D$6</f>
        <v>0</v>
      </c>
      <c r="J67" s="41">
        <f>财务基础数据!O249*目录!$D$6</f>
        <v>0</v>
      </c>
      <c r="K67" s="41">
        <f>财务基础数据!P249*目录!$D$6</f>
        <v>0</v>
      </c>
      <c r="L67" s="41">
        <f>财务基础数据!Q249*目录!$D$6</f>
        <v>0</v>
      </c>
      <c r="M67" s="41">
        <f>财务基础数据!R249*目录!$D$6</f>
        <v>0</v>
      </c>
      <c r="N67" s="41">
        <f>财务基础数据!S249*目录!$D$6</f>
        <v>0</v>
      </c>
      <c r="O67" s="41">
        <f>财务基础数据!T249*目录!$D$6</f>
        <v>0</v>
      </c>
      <c r="P67" s="41">
        <f>财务基础数据!U249*目录!$D$6</f>
        <v>0</v>
      </c>
      <c r="Q67" s="41">
        <f>财务基础数据!V249*目录!$D$6</f>
        <v>0</v>
      </c>
      <c r="R67" s="41">
        <f>财务基础数据!W249*目录!$D$6</f>
        <v>0</v>
      </c>
      <c r="S67" s="41">
        <f>财务基础数据!X249*目录!$D$6</f>
        <v>0</v>
      </c>
      <c r="T67" s="41">
        <f>财务基础数据!Y249*目录!$D$6</f>
        <v>0</v>
      </c>
      <c r="U67" s="41">
        <f>财务基础数据!Z249*目录!$D$6</f>
        <v>0</v>
      </c>
      <c r="V67" s="41">
        <f>财务基础数据!AA249*目录!$D$6</f>
        <v>0</v>
      </c>
      <c r="W67" s="41">
        <f>财务基础数据!AB249*目录!$D$6</f>
        <v>0</v>
      </c>
      <c r="X67" s="41">
        <f>财务基础数据!AC249*目录!$D$6</f>
        <v>0</v>
      </c>
      <c r="Y67" s="41">
        <f>财务基础数据!AD249*目录!$D$6</f>
        <v>0</v>
      </c>
      <c r="Z67" s="41">
        <f>财务基础数据!AE249*目录!$D$6</f>
        <v>0</v>
      </c>
      <c r="AA67" s="41">
        <f>财务基础数据!AF249*目录!$D$6</f>
        <v>0</v>
      </c>
      <c r="AB67" s="41">
        <f>财务基础数据!AG249*目录!$D$6</f>
        <v>0</v>
      </c>
      <c r="AC67" s="41">
        <f>财务基础数据!AH249*目录!$D$6</f>
        <v>0</v>
      </c>
      <c r="AD67" s="41">
        <f>财务基础数据!AI249*目录!$D$6</f>
        <v>0</v>
      </c>
      <c r="AE67" s="41">
        <f>财务基础数据!AJ249*目录!$D$6</f>
        <v>0</v>
      </c>
      <c r="AF67" s="41">
        <f>财务基础数据!AK249*目录!$D$6</f>
        <v>0</v>
      </c>
      <c r="AG67" s="41">
        <f>财务基础数据!AL249*目录!$D$6</f>
        <v>0</v>
      </c>
      <c r="AH67" s="489">
        <f>财务基础数据!AM249*目录!$D$6</f>
        <v>0</v>
      </c>
      <c r="AI67" s="489">
        <f>财务基础数据!AN249*目录!$D$6</f>
        <v>0</v>
      </c>
      <c r="AJ67" s="489">
        <f>财务基础数据!AO249*目录!$D$6</f>
        <v>0</v>
      </c>
      <c r="AK67" s="489">
        <f>财务基础数据!AP249*目录!$D$6</f>
        <v>0</v>
      </c>
      <c r="AL67" s="108">
        <f t="shared" ref="AL67:AL72" si="17">AG67</f>
        <v>0</v>
      </c>
      <c r="AM67" s="108">
        <f t="shared" ref="AM67:AN72" si="18">AL67</f>
        <v>0</v>
      </c>
      <c r="AN67" s="108">
        <f t="shared" si="18"/>
        <v>0</v>
      </c>
      <c r="AO67" s="108">
        <f t="shared" ref="AO67:AU67" si="19">AN67</f>
        <v>0</v>
      </c>
      <c r="AP67" s="108">
        <f t="shared" si="19"/>
        <v>0</v>
      </c>
      <c r="AQ67" s="108">
        <f t="shared" si="19"/>
        <v>0</v>
      </c>
      <c r="AR67" s="108">
        <f t="shared" si="19"/>
        <v>0</v>
      </c>
      <c r="AS67" s="108">
        <f t="shared" si="19"/>
        <v>0</v>
      </c>
      <c r="AT67" s="108">
        <f t="shared" si="19"/>
        <v>0</v>
      </c>
      <c r="AU67" s="108">
        <f t="shared" si="19"/>
        <v>0</v>
      </c>
      <c r="AW67" s="4"/>
    </row>
    <row r="68" spans="1:49" s="52" customFormat="1" ht="13.75">
      <c r="A68" s="1"/>
      <c r="B68" s="261" t="s">
        <v>889</v>
      </c>
      <c r="C68" s="1"/>
      <c r="D68" s="23" t="s">
        <v>1258</v>
      </c>
      <c r="E68" s="41">
        <f>(财务基础数据!J241)*目录!$D$6</f>
        <v>0</v>
      </c>
      <c r="F68" s="41">
        <f>(财务基础数据!K241+财务基础数据!K222)*目录!$D$6</f>
        <v>0</v>
      </c>
      <c r="G68" s="41">
        <f>(财务基础数据!L241+财务基础数据!L222)*目录!$D$6</f>
        <v>0</v>
      </c>
      <c r="H68" s="41">
        <f>(财务基础数据!M241+财务基础数据!M222)*目录!$D$6</f>
        <v>0</v>
      </c>
      <c r="I68" s="41">
        <f>(财务基础数据!N241+财务基础数据!N222)*目录!$D$6</f>
        <v>0</v>
      </c>
      <c r="J68" s="41">
        <f>(财务基础数据!O241+财务基础数据!O222)*目录!$D$6</f>
        <v>0</v>
      </c>
      <c r="K68" s="41">
        <f>(财务基础数据!P241+财务基础数据!P222)*目录!$D$6</f>
        <v>0</v>
      </c>
      <c r="L68" s="41">
        <f>(财务基础数据!Q241+财务基础数据!Q222)*目录!$D$6</f>
        <v>0</v>
      </c>
      <c r="M68" s="41">
        <f>(财务基础数据!R241+财务基础数据!R222)*目录!$D$6</f>
        <v>0</v>
      </c>
      <c r="N68" s="41">
        <f>(财务基础数据!S241+财务基础数据!S222)*目录!$D$6</f>
        <v>0</v>
      </c>
      <c r="O68" s="41">
        <f>(财务基础数据!T241+财务基础数据!T222)*目录!$D$6</f>
        <v>0</v>
      </c>
      <c r="P68" s="41">
        <f>(财务基础数据!U241+财务基础数据!U222)*目录!$D$6</f>
        <v>0</v>
      </c>
      <c r="Q68" s="41">
        <f>(财务基础数据!V241+财务基础数据!V222)*目录!$D$6</f>
        <v>0</v>
      </c>
      <c r="R68" s="41">
        <f>(财务基础数据!W241+财务基础数据!W222)*目录!$D$6</f>
        <v>0</v>
      </c>
      <c r="S68" s="41">
        <f>(财务基础数据!X241+财务基础数据!X222)*目录!$D$6</f>
        <v>0</v>
      </c>
      <c r="T68" s="41">
        <f>(财务基础数据!Y241+财务基础数据!Y222)*目录!$D$6</f>
        <v>0</v>
      </c>
      <c r="U68" s="41">
        <f>(财务基础数据!Z241+财务基础数据!Z222)*目录!$D$6</f>
        <v>0</v>
      </c>
      <c r="V68" s="41">
        <f>(财务基础数据!AA241+财务基础数据!AA222)*目录!$D$6</f>
        <v>0</v>
      </c>
      <c r="W68" s="41">
        <f>(财务基础数据!AB241+财务基础数据!AB222)*目录!$D$6</f>
        <v>0</v>
      </c>
      <c r="X68" s="41">
        <f>(财务基础数据!AC241+财务基础数据!AC222)*目录!$D$6</f>
        <v>0</v>
      </c>
      <c r="Y68" s="41">
        <f>(财务基础数据!AD241+财务基础数据!AD222)*目录!$D$6</f>
        <v>0</v>
      </c>
      <c r="Z68" s="41">
        <f>(财务基础数据!AE241+财务基础数据!AE222)*目录!$D$6</f>
        <v>0</v>
      </c>
      <c r="AA68" s="41">
        <f>(财务基础数据!AF241+财务基础数据!AF222)*目录!$D$6</f>
        <v>0</v>
      </c>
      <c r="AB68" s="41">
        <f>(财务基础数据!AG241+财务基础数据!AG222)*目录!$D$6</f>
        <v>0</v>
      </c>
      <c r="AC68" s="41">
        <f>(财务基础数据!AH241+财务基础数据!AH222)*目录!$D$6</f>
        <v>0</v>
      </c>
      <c r="AD68" s="41">
        <f>(财务基础数据!AI241+财务基础数据!AI222)*目录!$D$6</f>
        <v>0</v>
      </c>
      <c r="AE68" s="41">
        <f>(财务基础数据!AJ241+财务基础数据!AJ222)*目录!$D$6</f>
        <v>0</v>
      </c>
      <c r="AF68" s="41">
        <f>(财务基础数据!AK241+财务基础数据!AK222)*目录!$D$6</f>
        <v>0</v>
      </c>
      <c r="AG68" s="41">
        <f>(财务基础数据!AL241+财务基础数据!AL222)*目录!$D$6</f>
        <v>0</v>
      </c>
      <c r="AH68" s="489">
        <f>(财务基础数据!AM241+财务基础数据!AM222)*目录!$D$6</f>
        <v>0</v>
      </c>
      <c r="AI68" s="489">
        <f>(财务基础数据!AN241+财务基础数据!AN222)*目录!$D$6</f>
        <v>0</v>
      </c>
      <c r="AJ68" s="489">
        <f>(财务基础数据!AO241+财务基础数据!AO222)*目录!$D$6</f>
        <v>0</v>
      </c>
      <c r="AK68" s="489">
        <f>(财务基础数据!AP241+财务基础数据!AP222)*目录!$D$6</f>
        <v>0</v>
      </c>
      <c r="AL68" s="108">
        <f t="shared" si="17"/>
        <v>0</v>
      </c>
      <c r="AM68" s="108">
        <f t="shared" si="18"/>
        <v>0</v>
      </c>
      <c r="AN68" s="108">
        <f t="shared" si="18"/>
        <v>0</v>
      </c>
      <c r="AO68" s="108">
        <f t="shared" ref="AO68:AU71" si="20">AN68</f>
        <v>0</v>
      </c>
      <c r="AP68" s="108">
        <f t="shared" si="20"/>
        <v>0</v>
      </c>
      <c r="AQ68" s="108">
        <f t="shared" si="20"/>
        <v>0</v>
      </c>
      <c r="AR68" s="108">
        <f t="shared" si="20"/>
        <v>0</v>
      </c>
      <c r="AS68" s="108">
        <f t="shared" si="20"/>
        <v>0</v>
      </c>
      <c r="AT68" s="108">
        <f t="shared" si="20"/>
        <v>0</v>
      </c>
      <c r="AU68" s="108">
        <f t="shared" si="20"/>
        <v>0</v>
      </c>
      <c r="AW68" s="5"/>
    </row>
    <row r="69" spans="1:49" s="52" customFormat="1" ht="13.75">
      <c r="A69" s="1"/>
      <c r="B69" s="261" t="s">
        <v>890</v>
      </c>
      <c r="C69" s="1"/>
      <c r="D69" s="23" t="s">
        <v>1258</v>
      </c>
      <c r="E69" s="41">
        <f>财务基础数据!J182*目录!$D$6</f>
        <v>0</v>
      </c>
      <c r="F69" s="41">
        <f>(财务基础数据!K182+财务基础数据!K190)*目录!$D$6</f>
        <v>0</v>
      </c>
      <c r="G69" s="41">
        <f>(财务基础数据!L182+财务基础数据!L190)*目录!$D$6</f>
        <v>0</v>
      </c>
      <c r="H69" s="41">
        <f>(财务基础数据!M182+财务基础数据!M190)*目录!$D$6</f>
        <v>0</v>
      </c>
      <c r="I69" s="41">
        <f>(财务基础数据!N182+财务基础数据!N190)*目录!$D$6</f>
        <v>0</v>
      </c>
      <c r="J69" s="41">
        <f>(财务基础数据!O182+财务基础数据!O190)*目录!$D$6</f>
        <v>0</v>
      </c>
      <c r="K69" s="41">
        <f>(财务基础数据!P182+财务基础数据!P190)*目录!$D$6</f>
        <v>0</v>
      </c>
      <c r="L69" s="41">
        <f>(财务基础数据!Q182+财务基础数据!Q190)*目录!$D$6</f>
        <v>0</v>
      </c>
      <c r="M69" s="41">
        <f>(财务基础数据!R182+财务基础数据!R190)*目录!$D$6</f>
        <v>0</v>
      </c>
      <c r="N69" s="41">
        <f>(财务基础数据!S182+财务基础数据!S190)*目录!$D$6</f>
        <v>0</v>
      </c>
      <c r="O69" s="41">
        <f>(财务基础数据!T182+财务基础数据!T190)*目录!$D$6</f>
        <v>0</v>
      </c>
      <c r="P69" s="41">
        <f>(财务基础数据!U182+财务基础数据!U190)*目录!$D$6</f>
        <v>0</v>
      </c>
      <c r="Q69" s="41">
        <f>(财务基础数据!V182+财务基础数据!V190)*目录!$D$6</f>
        <v>0</v>
      </c>
      <c r="R69" s="41">
        <f>(财务基础数据!W182+财务基础数据!W190)*目录!$D$6</f>
        <v>0</v>
      </c>
      <c r="S69" s="41">
        <f>(财务基础数据!X182+财务基础数据!X190)*目录!$D$6</f>
        <v>0</v>
      </c>
      <c r="T69" s="41">
        <f>(财务基础数据!Y182+财务基础数据!Y190)*目录!$D$6</f>
        <v>0</v>
      </c>
      <c r="U69" s="41">
        <f>(财务基础数据!Z182+财务基础数据!Z190)*目录!$D$6</f>
        <v>0</v>
      </c>
      <c r="V69" s="41">
        <f>(财务基础数据!AA182+财务基础数据!AA190)*目录!$D$6</f>
        <v>0</v>
      </c>
      <c r="W69" s="41">
        <f>(财务基础数据!AB182+财务基础数据!AB190)*目录!$D$6</f>
        <v>0</v>
      </c>
      <c r="X69" s="41">
        <f>(财务基础数据!AC182+财务基础数据!AC190)*目录!$D$6</f>
        <v>0</v>
      </c>
      <c r="Y69" s="41">
        <f>(财务基础数据!AD182+财务基础数据!AD190)*目录!$D$6</f>
        <v>0</v>
      </c>
      <c r="Z69" s="41">
        <f>(财务基础数据!AE182+财务基础数据!AE190)*目录!$D$6</f>
        <v>0</v>
      </c>
      <c r="AA69" s="41">
        <f>(财务基础数据!AF182+财务基础数据!AF190)*目录!$D$6</f>
        <v>0</v>
      </c>
      <c r="AB69" s="41">
        <f>(财务基础数据!AG182+财务基础数据!AG190)*目录!$D$6</f>
        <v>0</v>
      </c>
      <c r="AC69" s="41">
        <f>(财务基础数据!AH182+财务基础数据!AH190)*目录!$D$6</f>
        <v>0</v>
      </c>
      <c r="AD69" s="41">
        <f>(财务基础数据!AI182+财务基础数据!AI190)*目录!$D$6</f>
        <v>0</v>
      </c>
      <c r="AE69" s="41">
        <f>(财务基础数据!AJ182+财务基础数据!AJ190)*目录!$D$6</f>
        <v>0</v>
      </c>
      <c r="AF69" s="41">
        <f>(财务基础数据!AK182+财务基础数据!AK190)*目录!$D$6</f>
        <v>0</v>
      </c>
      <c r="AG69" s="41">
        <f>(财务基础数据!AL182+财务基础数据!AL190)*目录!$D$6</f>
        <v>0</v>
      </c>
      <c r="AH69" s="489">
        <f>(财务基础数据!AM182+财务基础数据!AM190)*目录!$D$6</f>
        <v>0</v>
      </c>
      <c r="AI69" s="489">
        <f>(财务基础数据!AN182+财务基础数据!AN190)*目录!$D$6</f>
        <v>0</v>
      </c>
      <c r="AJ69" s="489">
        <f>(财务基础数据!AO182+财务基础数据!AO190)*目录!$D$6</f>
        <v>0</v>
      </c>
      <c r="AK69" s="489">
        <f>(财务基础数据!AP182+财务基础数据!AP190)*目录!$D$6</f>
        <v>0</v>
      </c>
      <c r="AL69" s="108">
        <f t="shared" si="17"/>
        <v>0</v>
      </c>
      <c r="AM69" s="108">
        <f t="shared" si="18"/>
        <v>0</v>
      </c>
      <c r="AN69" s="108">
        <f t="shared" si="18"/>
        <v>0</v>
      </c>
      <c r="AO69" s="108">
        <f t="shared" si="20"/>
        <v>0</v>
      </c>
      <c r="AP69" s="108">
        <f t="shared" si="20"/>
        <v>0</v>
      </c>
      <c r="AQ69" s="108">
        <f t="shared" si="20"/>
        <v>0</v>
      </c>
      <c r="AR69" s="108">
        <f t="shared" si="20"/>
        <v>0</v>
      </c>
      <c r="AS69" s="108">
        <f t="shared" si="20"/>
        <v>0</v>
      </c>
      <c r="AT69" s="108">
        <f t="shared" si="20"/>
        <v>0</v>
      </c>
      <c r="AU69" s="108">
        <f t="shared" si="20"/>
        <v>0</v>
      </c>
    </row>
    <row r="70" spans="1:49" s="52" customFormat="1" ht="13.75">
      <c r="A70" s="1"/>
      <c r="B70" s="261" t="s">
        <v>891</v>
      </c>
      <c r="C70" s="1"/>
      <c r="D70" s="23" t="s">
        <v>1258</v>
      </c>
      <c r="E70" s="41">
        <f>(财务基础数据!J233+财务基础数据!J235)*目录!$D$6</f>
        <v>0</v>
      </c>
      <c r="F70" s="41">
        <f>(财务基础数据!K233+财务基础数据!K235)*目录!$D$6</f>
        <v>0</v>
      </c>
      <c r="G70" s="41">
        <f>(财务基础数据!L233+财务基础数据!L235)*目录!$D$6</f>
        <v>0</v>
      </c>
      <c r="H70" s="41">
        <f>(财务基础数据!M233+财务基础数据!M235)*目录!$D$6</f>
        <v>0</v>
      </c>
      <c r="I70" s="41">
        <f>(财务基础数据!N233+财务基础数据!N235)*目录!$D$6</f>
        <v>0</v>
      </c>
      <c r="J70" s="41">
        <f>(财务基础数据!O233+财务基础数据!O235)*目录!$D$6</f>
        <v>0</v>
      </c>
      <c r="K70" s="41">
        <f>(财务基础数据!P233+财务基础数据!P235)*目录!$D$6</f>
        <v>0</v>
      </c>
      <c r="L70" s="41">
        <f>(财务基础数据!Q233+财务基础数据!Q235)*目录!$D$6</f>
        <v>0</v>
      </c>
      <c r="M70" s="41">
        <f>(财务基础数据!R233+财务基础数据!R235)*目录!$D$6</f>
        <v>0</v>
      </c>
      <c r="N70" s="41">
        <f>(财务基础数据!S233+财务基础数据!S235)*目录!$D$6</f>
        <v>0</v>
      </c>
      <c r="O70" s="41">
        <f>(财务基础数据!T233+财务基础数据!T235)*目录!$D$6</f>
        <v>0</v>
      </c>
      <c r="P70" s="41">
        <f>(财务基础数据!U233+财务基础数据!U235)*目录!$D$6</f>
        <v>0</v>
      </c>
      <c r="Q70" s="41">
        <f>(财务基础数据!V233+财务基础数据!V235)*目录!$D$6</f>
        <v>0</v>
      </c>
      <c r="R70" s="41">
        <f>(财务基础数据!W233+财务基础数据!W235)*目录!$D$6</f>
        <v>0</v>
      </c>
      <c r="S70" s="41">
        <f>(财务基础数据!X233+财务基础数据!X235)*目录!$D$6</f>
        <v>0</v>
      </c>
      <c r="T70" s="41">
        <f>(财务基础数据!Y233+财务基础数据!Y235)*目录!$D$6</f>
        <v>0</v>
      </c>
      <c r="U70" s="41">
        <f>(财务基础数据!Z233+财务基础数据!Z235)*目录!$D$6</f>
        <v>0</v>
      </c>
      <c r="V70" s="41">
        <f>(财务基础数据!AA233+财务基础数据!AA235)*目录!$D$6</f>
        <v>0</v>
      </c>
      <c r="W70" s="41">
        <f>(财务基础数据!AB233+财务基础数据!AB235)*目录!$D$6</f>
        <v>0</v>
      </c>
      <c r="X70" s="41">
        <f>(财务基础数据!AC233+财务基础数据!AC235)*目录!$D$6</f>
        <v>0</v>
      </c>
      <c r="Y70" s="41">
        <f>(财务基础数据!AD233+财务基础数据!AD235)*目录!$D$6</f>
        <v>0</v>
      </c>
      <c r="Z70" s="41">
        <f>(财务基础数据!AE233+财务基础数据!AE235)*目录!$D$6</f>
        <v>0</v>
      </c>
      <c r="AA70" s="41">
        <f>(财务基础数据!AF233+财务基础数据!AF235)*目录!$D$6</f>
        <v>0</v>
      </c>
      <c r="AB70" s="41">
        <f>(财务基础数据!AG233+财务基础数据!AG235)*目录!$D$6</f>
        <v>0</v>
      </c>
      <c r="AC70" s="41">
        <f>(财务基础数据!AH233+财务基础数据!AH235)*目录!$D$6</f>
        <v>0</v>
      </c>
      <c r="AD70" s="41">
        <f>(财务基础数据!AI233+财务基础数据!AI235)*目录!$D$6</f>
        <v>0</v>
      </c>
      <c r="AE70" s="41">
        <f>(财务基础数据!AJ233+财务基础数据!AJ235)*目录!$D$6</f>
        <v>0</v>
      </c>
      <c r="AF70" s="41">
        <f>(财务基础数据!AK233+财务基础数据!AK235)*目录!$D$6</f>
        <v>0</v>
      </c>
      <c r="AG70" s="41">
        <f>(财务基础数据!AL233+财务基础数据!AL235)*目录!$D$6</f>
        <v>0</v>
      </c>
      <c r="AH70" s="489">
        <f>(财务基础数据!AM233+财务基础数据!AM235)*目录!$D$6</f>
        <v>0</v>
      </c>
      <c r="AI70" s="489">
        <f>(财务基础数据!AN233+财务基础数据!AN235)*目录!$D$6</f>
        <v>0</v>
      </c>
      <c r="AJ70" s="489">
        <f>(财务基础数据!AO233+财务基础数据!AO235)*目录!$D$6</f>
        <v>0</v>
      </c>
      <c r="AK70" s="489">
        <f>(财务基础数据!AP233+财务基础数据!AP235)*目录!$D$6</f>
        <v>0</v>
      </c>
      <c r="AL70" s="108">
        <f t="shared" si="17"/>
        <v>0</v>
      </c>
      <c r="AM70" s="108">
        <f t="shared" si="18"/>
        <v>0</v>
      </c>
      <c r="AN70" s="108">
        <f t="shared" si="18"/>
        <v>0</v>
      </c>
      <c r="AO70" s="108">
        <f t="shared" si="20"/>
        <v>0</v>
      </c>
      <c r="AP70" s="108">
        <f t="shared" si="20"/>
        <v>0</v>
      </c>
      <c r="AQ70" s="108">
        <f t="shared" si="20"/>
        <v>0</v>
      </c>
      <c r="AR70" s="108">
        <f t="shared" si="20"/>
        <v>0</v>
      </c>
      <c r="AS70" s="108">
        <f t="shared" si="20"/>
        <v>0</v>
      </c>
      <c r="AT70" s="108">
        <f t="shared" si="20"/>
        <v>0</v>
      </c>
      <c r="AU70" s="108">
        <f t="shared" si="20"/>
        <v>0</v>
      </c>
    </row>
    <row r="71" spans="1:49" ht="13.75">
      <c r="B71" s="261" t="s">
        <v>892</v>
      </c>
      <c r="D71" s="23" t="s">
        <v>1258</v>
      </c>
      <c r="E71" s="41">
        <f>(财务基础数据!J195+财务基础数据!J197)*目录!$D$6</f>
        <v>0</v>
      </c>
      <c r="F71" s="41">
        <f>(财务基础数据!K195+财务基础数据!K197)*目录!$D$6</f>
        <v>0</v>
      </c>
      <c r="G71" s="41">
        <f>(财务基础数据!L195+财务基础数据!L197)*目录!$D$6</f>
        <v>0</v>
      </c>
      <c r="H71" s="41">
        <f>(财务基础数据!M195+财务基础数据!M197)*目录!$D$6</f>
        <v>0</v>
      </c>
      <c r="I71" s="41">
        <f>(财务基础数据!N195+财务基础数据!N197)*目录!$D$6</f>
        <v>0</v>
      </c>
      <c r="J71" s="41">
        <f>(财务基础数据!O195+财务基础数据!O197)*目录!$D$6</f>
        <v>0</v>
      </c>
      <c r="K71" s="41">
        <f>(财务基础数据!P195+财务基础数据!P197)*目录!$D$6</f>
        <v>0</v>
      </c>
      <c r="L71" s="41">
        <f>(财务基础数据!Q195+财务基础数据!Q197)*目录!$D$6</f>
        <v>0</v>
      </c>
      <c r="M71" s="41">
        <f>(财务基础数据!R195+财务基础数据!R197)*目录!$D$6</f>
        <v>0</v>
      </c>
      <c r="N71" s="41">
        <f>(财务基础数据!S195+财务基础数据!S197)*目录!$D$6</f>
        <v>0</v>
      </c>
      <c r="O71" s="41">
        <f>(财务基础数据!T195+财务基础数据!T197)*目录!$D$6</f>
        <v>0</v>
      </c>
      <c r="P71" s="41">
        <f>(财务基础数据!U195+财务基础数据!U197)*目录!$D$6</f>
        <v>0</v>
      </c>
      <c r="Q71" s="41">
        <f>(财务基础数据!V195+财务基础数据!V197)*目录!$D$6</f>
        <v>0</v>
      </c>
      <c r="R71" s="41">
        <f>(财务基础数据!W195+财务基础数据!W197)*目录!$D$6</f>
        <v>0</v>
      </c>
      <c r="S71" s="41">
        <f>(财务基础数据!X195+财务基础数据!X197)*目录!$D$6</f>
        <v>0</v>
      </c>
      <c r="T71" s="41">
        <f>(财务基础数据!Y195+财务基础数据!Y197)*目录!$D$6</f>
        <v>0</v>
      </c>
      <c r="U71" s="41">
        <f>(财务基础数据!Z195+财务基础数据!Z197)*目录!$D$6</f>
        <v>0</v>
      </c>
      <c r="V71" s="41">
        <f>(财务基础数据!AA195+财务基础数据!AA197)*目录!$D$6</f>
        <v>0</v>
      </c>
      <c r="W71" s="41">
        <f>(财务基础数据!AB195+财务基础数据!AB197)*目录!$D$6</f>
        <v>0</v>
      </c>
      <c r="X71" s="41">
        <f>(财务基础数据!AC195+财务基础数据!AC197)*目录!$D$6</f>
        <v>0</v>
      </c>
      <c r="Y71" s="41">
        <f>(财务基础数据!AD195+财务基础数据!AD197)*目录!$D$6</f>
        <v>0</v>
      </c>
      <c r="Z71" s="41">
        <f>(财务基础数据!AE195+财务基础数据!AE197)*目录!$D$6</f>
        <v>0</v>
      </c>
      <c r="AA71" s="41">
        <f>(财务基础数据!AF195+财务基础数据!AF197)*目录!$D$6</f>
        <v>0</v>
      </c>
      <c r="AB71" s="41">
        <f>(财务基础数据!AG195+财务基础数据!AG197)*目录!$D$6</f>
        <v>0</v>
      </c>
      <c r="AC71" s="41">
        <f>(财务基础数据!AH195+财务基础数据!AH197)*目录!$D$6</f>
        <v>0</v>
      </c>
      <c r="AD71" s="41">
        <f>(财务基础数据!AI195+财务基础数据!AI197)*目录!$D$6</f>
        <v>0</v>
      </c>
      <c r="AE71" s="41">
        <f>(财务基础数据!AJ195+财务基础数据!AJ197)*目录!$D$6</f>
        <v>0</v>
      </c>
      <c r="AF71" s="41">
        <f>(财务基础数据!AK195+财务基础数据!AK197)*目录!$D$6</f>
        <v>0</v>
      </c>
      <c r="AG71" s="41">
        <f>(财务基础数据!AL195+财务基础数据!AL197)*目录!$D$6</f>
        <v>0</v>
      </c>
      <c r="AH71" s="489">
        <f>(财务基础数据!AM195+财务基础数据!AM197)*目录!$D$6</f>
        <v>0</v>
      </c>
      <c r="AI71" s="489">
        <f>(财务基础数据!AN195+财务基础数据!AN197)*目录!$D$6</f>
        <v>0</v>
      </c>
      <c r="AJ71" s="489">
        <f>(财务基础数据!AO195+财务基础数据!AO197)*目录!$D$6</f>
        <v>0</v>
      </c>
      <c r="AK71" s="489">
        <f>(财务基础数据!AP195+财务基础数据!AP197)*目录!$D$6</f>
        <v>0</v>
      </c>
      <c r="AL71" s="108">
        <f t="shared" si="17"/>
        <v>0</v>
      </c>
      <c r="AM71" s="108">
        <f t="shared" si="18"/>
        <v>0</v>
      </c>
      <c r="AN71" s="108">
        <f t="shared" si="18"/>
        <v>0</v>
      </c>
      <c r="AO71" s="108">
        <f t="shared" si="20"/>
        <v>0</v>
      </c>
      <c r="AP71" s="108">
        <f t="shared" si="20"/>
        <v>0</v>
      </c>
      <c r="AQ71" s="108">
        <f t="shared" si="20"/>
        <v>0</v>
      </c>
      <c r="AR71" s="108">
        <f t="shared" si="20"/>
        <v>0</v>
      </c>
      <c r="AS71" s="108">
        <f t="shared" si="20"/>
        <v>0</v>
      </c>
      <c r="AT71" s="108">
        <f t="shared" si="20"/>
        <v>0</v>
      </c>
      <c r="AU71" s="108">
        <f t="shared" si="20"/>
        <v>0</v>
      </c>
    </row>
    <row r="72" spans="1:49" ht="14.15">
      <c r="A72" s="39"/>
      <c r="B72" s="666" t="s">
        <v>692</v>
      </c>
      <c r="C72" s="410"/>
      <c r="D72" s="281" t="s">
        <v>1258</v>
      </c>
      <c r="E72" s="45">
        <f>(财务基础数据!J194-财务基础数据!J233-财务基础数据!J235)*目录!$D$6</f>
        <v>0</v>
      </c>
      <c r="F72" s="45">
        <f>(财务基础数据!K194-财务基础数据!K233-财务基础数据!K235)*目录!$D$6</f>
        <v>0</v>
      </c>
      <c r="G72" s="45">
        <f>(财务基础数据!L194-财务基础数据!L233-财务基础数据!L235)*目录!$D$6</f>
        <v>0</v>
      </c>
      <c r="H72" s="45">
        <f>(财务基础数据!M194-财务基础数据!M233-财务基础数据!M235)*目录!$D$6</f>
        <v>0</v>
      </c>
      <c r="I72" s="45">
        <f>(财务基础数据!N194-财务基础数据!N233-财务基础数据!N235)*目录!$D$6</f>
        <v>0</v>
      </c>
      <c r="J72" s="45">
        <f>(财务基础数据!O194-财务基础数据!O233-财务基础数据!O235)*目录!$D$6</f>
        <v>0</v>
      </c>
      <c r="K72" s="45">
        <f>(财务基础数据!P194-财务基础数据!P233-财务基础数据!P235)*目录!$D$6</f>
        <v>0</v>
      </c>
      <c r="L72" s="45">
        <f>(财务基础数据!Q194-财务基础数据!Q233-财务基础数据!Q235)*目录!$D$6</f>
        <v>0</v>
      </c>
      <c r="M72" s="45">
        <f>(财务基础数据!R194-财务基础数据!R233-财务基础数据!R235)*目录!$D$6</f>
        <v>0</v>
      </c>
      <c r="N72" s="45">
        <f>(财务基础数据!S194-财务基础数据!S233-财务基础数据!S235)*目录!$D$6</f>
        <v>0</v>
      </c>
      <c r="O72" s="45">
        <f>(财务基础数据!T194-财务基础数据!T233-财务基础数据!T235)*目录!$D$6</f>
        <v>0</v>
      </c>
      <c r="P72" s="45">
        <f>(财务基础数据!U194-财务基础数据!U233-财务基础数据!U235)*目录!$D$6</f>
        <v>0</v>
      </c>
      <c r="Q72" s="45">
        <f>(财务基础数据!V194-财务基础数据!V233-财务基础数据!V235)*目录!$D$6</f>
        <v>0</v>
      </c>
      <c r="R72" s="45">
        <f>(财务基础数据!W194-财务基础数据!W233-财务基础数据!W235)*目录!$D$6</f>
        <v>0</v>
      </c>
      <c r="S72" s="45">
        <f>(财务基础数据!X194-财务基础数据!X233-财务基础数据!X235)*目录!$D$6</f>
        <v>0</v>
      </c>
      <c r="T72" s="45">
        <f>(财务基础数据!Y194-财务基础数据!Y233-财务基础数据!Y235)*目录!$D$6</f>
        <v>0</v>
      </c>
      <c r="U72" s="45">
        <f>(财务基础数据!Z194-财务基础数据!Z233-财务基础数据!Z235)*目录!$D$6</f>
        <v>0</v>
      </c>
      <c r="V72" s="45">
        <f>(财务基础数据!AA194-财务基础数据!AA233-财务基础数据!AA235)*目录!$D$6</f>
        <v>0</v>
      </c>
      <c r="W72" s="45">
        <f>(财务基础数据!AB194-财务基础数据!AB233-财务基础数据!AB235)*目录!$D$6</f>
        <v>0</v>
      </c>
      <c r="X72" s="45">
        <f>(财务基础数据!AC194-财务基础数据!AC233-财务基础数据!AC235)*目录!$D$6</f>
        <v>0</v>
      </c>
      <c r="Y72" s="45">
        <f>(财务基础数据!AD194-财务基础数据!AD233-财务基础数据!AD235)*目录!$D$6</f>
        <v>0</v>
      </c>
      <c r="Z72" s="45">
        <f>(财务基础数据!AE194-财务基础数据!AE233-财务基础数据!AE235)*目录!$D$6</f>
        <v>0</v>
      </c>
      <c r="AA72" s="45">
        <f>(财务基础数据!AF194-财务基础数据!AF233-财务基础数据!AF235)*目录!$D$6</f>
        <v>0</v>
      </c>
      <c r="AB72" s="45">
        <f>(财务基础数据!AG194-财务基础数据!AG233-财务基础数据!AG235)*目录!$D$6</f>
        <v>0</v>
      </c>
      <c r="AC72" s="45">
        <f>(财务基础数据!AH194-财务基础数据!AH233-财务基础数据!AH235)*目录!$D$6</f>
        <v>0</v>
      </c>
      <c r="AD72" s="45">
        <f>(财务基础数据!AI194-财务基础数据!AI233-财务基础数据!AI235)*目录!$D$6</f>
        <v>0</v>
      </c>
      <c r="AE72" s="45">
        <f>(财务基础数据!AJ194-财务基础数据!AJ233-财务基础数据!AJ235)*目录!$D$6</f>
        <v>0</v>
      </c>
      <c r="AF72" s="45">
        <f>(财务基础数据!AK194-财务基础数据!AK233-财务基础数据!AK235)*目录!$D$6</f>
        <v>0</v>
      </c>
      <c r="AG72" s="45">
        <f>(财务基础数据!AL194-财务基础数据!AL233-财务基础数据!AL235)*目录!$D$6</f>
        <v>0</v>
      </c>
      <c r="AH72" s="615">
        <f>(财务基础数据!AM194-财务基础数据!AM233-财务基础数据!AM235)*目录!$D$6</f>
        <v>0</v>
      </c>
      <c r="AI72" s="615">
        <f>(财务基础数据!AN194-财务基础数据!AN233-财务基础数据!AN235)*目录!$D$6</f>
        <v>0</v>
      </c>
      <c r="AJ72" s="615">
        <f>(财务基础数据!AO194-财务基础数据!AO233-财务基础数据!AO235)*目录!$D$6</f>
        <v>0</v>
      </c>
      <c r="AK72" s="615">
        <f>(财务基础数据!AP194-财务基础数据!AP233-财务基础数据!AP235)*目录!$D$6</f>
        <v>0</v>
      </c>
      <c r="AL72" s="131">
        <f t="shared" si="17"/>
        <v>0</v>
      </c>
      <c r="AM72" s="131">
        <f t="shared" si="18"/>
        <v>0</v>
      </c>
      <c r="AN72" s="131">
        <f t="shared" si="18"/>
        <v>0</v>
      </c>
      <c r="AO72" s="131">
        <f t="shared" ref="AO72:AU72" si="21">AN72</f>
        <v>0</v>
      </c>
      <c r="AP72" s="131">
        <f t="shared" si="21"/>
        <v>0</v>
      </c>
      <c r="AQ72" s="131">
        <f t="shared" si="21"/>
        <v>0</v>
      </c>
      <c r="AR72" s="131">
        <f t="shared" si="21"/>
        <v>0</v>
      </c>
      <c r="AS72" s="131">
        <f t="shared" si="21"/>
        <v>0</v>
      </c>
      <c r="AT72" s="131">
        <f t="shared" si="21"/>
        <v>0</v>
      </c>
      <c r="AU72" s="131">
        <f t="shared" si="21"/>
        <v>0</v>
      </c>
    </row>
    <row r="73" spans="1:49" ht="14.15">
      <c r="A73" s="39"/>
      <c r="B73" s="53" t="s">
        <v>572</v>
      </c>
      <c r="C73" s="39"/>
      <c r="E73" s="46">
        <f>SUM(E65:E72)</f>
        <v>0</v>
      </c>
      <c r="F73" s="46">
        <f t="shared" ref="F73:AU73" si="22">SUM(F65:F72)</f>
        <v>0</v>
      </c>
      <c r="G73" s="46">
        <f t="shared" si="22"/>
        <v>0</v>
      </c>
      <c r="H73" s="46">
        <f t="shared" si="22"/>
        <v>0</v>
      </c>
      <c r="I73" s="46">
        <f t="shared" si="22"/>
        <v>0</v>
      </c>
      <c r="J73" s="46">
        <f t="shared" si="22"/>
        <v>0</v>
      </c>
      <c r="K73" s="46">
        <f t="shared" si="22"/>
        <v>0</v>
      </c>
      <c r="L73" s="46">
        <f t="shared" si="22"/>
        <v>0</v>
      </c>
      <c r="M73" s="46">
        <f t="shared" si="22"/>
        <v>0</v>
      </c>
      <c r="N73" s="46">
        <f t="shared" si="22"/>
        <v>0</v>
      </c>
      <c r="O73" s="46">
        <f t="shared" si="22"/>
        <v>0</v>
      </c>
      <c r="P73" s="46">
        <f t="shared" si="22"/>
        <v>0</v>
      </c>
      <c r="Q73" s="46">
        <f t="shared" si="22"/>
        <v>0</v>
      </c>
      <c r="R73" s="46">
        <f t="shared" si="22"/>
        <v>0</v>
      </c>
      <c r="S73" s="46">
        <f t="shared" si="22"/>
        <v>0</v>
      </c>
      <c r="T73" s="46">
        <f t="shared" si="22"/>
        <v>0</v>
      </c>
      <c r="U73" s="46">
        <f t="shared" si="22"/>
        <v>0</v>
      </c>
      <c r="V73" s="46">
        <f t="shared" si="22"/>
        <v>0</v>
      </c>
      <c r="W73" s="46">
        <f t="shared" si="22"/>
        <v>0</v>
      </c>
      <c r="X73" s="46">
        <f t="shared" si="22"/>
        <v>0</v>
      </c>
      <c r="Y73" s="46">
        <f t="shared" si="22"/>
        <v>0</v>
      </c>
      <c r="Z73" s="46">
        <f t="shared" si="22"/>
        <v>0</v>
      </c>
      <c r="AA73" s="46">
        <f t="shared" si="22"/>
        <v>0</v>
      </c>
      <c r="AB73" s="46">
        <f t="shared" si="22"/>
        <v>0</v>
      </c>
      <c r="AC73" s="46">
        <f t="shared" si="22"/>
        <v>0</v>
      </c>
      <c r="AD73" s="46">
        <f t="shared" si="22"/>
        <v>0</v>
      </c>
      <c r="AE73" s="46">
        <f t="shared" si="22"/>
        <v>0</v>
      </c>
      <c r="AF73" s="46">
        <f t="shared" si="22"/>
        <v>0</v>
      </c>
      <c r="AG73" s="46">
        <f t="shared" si="22"/>
        <v>0</v>
      </c>
      <c r="AH73" s="46">
        <f t="shared" si="22"/>
        <v>0</v>
      </c>
      <c r="AI73" s="46">
        <f t="shared" si="22"/>
        <v>0</v>
      </c>
      <c r="AJ73" s="46">
        <f t="shared" si="22"/>
        <v>0</v>
      </c>
      <c r="AK73" s="46">
        <f t="shared" si="22"/>
        <v>0</v>
      </c>
      <c r="AL73" s="46">
        <f t="shared" si="22"/>
        <v>0</v>
      </c>
      <c r="AM73" s="46">
        <f t="shared" si="22"/>
        <v>0</v>
      </c>
      <c r="AN73" s="46">
        <f t="shared" si="22"/>
        <v>0</v>
      </c>
      <c r="AO73" s="46">
        <f t="shared" si="22"/>
        <v>0</v>
      </c>
      <c r="AP73" s="46">
        <f t="shared" si="22"/>
        <v>0</v>
      </c>
      <c r="AQ73" s="46">
        <f t="shared" si="22"/>
        <v>0</v>
      </c>
      <c r="AR73" s="46">
        <f t="shared" si="22"/>
        <v>0</v>
      </c>
      <c r="AS73" s="46">
        <f t="shared" si="22"/>
        <v>0</v>
      </c>
      <c r="AT73" s="46">
        <f t="shared" si="22"/>
        <v>0</v>
      </c>
      <c r="AU73" s="46">
        <f t="shared" si="22"/>
        <v>0</v>
      </c>
    </row>
    <row r="74" spans="1:49" s="604" customFormat="1" ht="14.15">
      <c r="A74" s="605"/>
      <c r="B74" s="593" t="s">
        <v>1102</v>
      </c>
      <c r="C74" s="605"/>
      <c r="D74" s="601"/>
      <c r="E74" s="602">
        <f>财务基础数据!J196*目录!$D$6-E73</f>
        <v>0</v>
      </c>
      <c r="F74" s="602">
        <f>财务基础数据!K196*目录!$D$6-F73</f>
        <v>0</v>
      </c>
      <c r="G74" s="602">
        <f>财务基础数据!L196*目录!$D$6-G73</f>
        <v>0</v>
      </c>
      <c r="H74" s="602">
        <f>财务基础数据!M196*目录!$D$6-H73</f>
        <v>0</v>
      </c>
      <c r="I74" s="602">
        <f>财务基础数据!N196*目录!$D$6-I73</f>
        <v>0</v>
      </c>
      <c r="J74" s="602">
        <f>财务基础数据!O196*目录!$D$6-J73</f>
        <v>0</v>
      </c>
      <c r="K74" s="602">
        <f>财务基础数据!P196*目录!$D$6-K73</f>
        <v>0</v>
      </c>
      <c r="L74" s="602">
        <f>财务基础数据!Q196*目录!$D$6-L73</f>
        <v>0</v>
      </c>
      <c r="M74" s="614">
        <f>财务基础数据!R196*目录!$D$6-M73</f>
        <v>0</v>
      </c>
      <c r="N74" s="602">
        <f>财务基础数据!S196*目录!$D$6-N73</f>
        <v>0</v>
      </c>
      <c r="O74" s="602">
        <f>财务基础数据!T196*目录!$D$6-O73</f>
        <v>0</v>
      </c>
      <c r="P74" s="602">
        <f>财务基础数据!U196*目录!$D$6-P73</f>
        <v>0</v>
      </c>
      <c r="Q74" s="602">
        <f>财务基础数据!V196*目录!$D$6-Q73</f>
        <v>0</v>
      </c>
      <c r="R74" s="602">
        <f>财务基础数据!W196*目录!$D$6-R73</f>
        <v>0</v>
      </c>
      <c r="S74" s="602">
        <f>财务基础数据!X196*目录!$D$6-S73</f>
        <v>0</v>
      </c>
      <c r="T74" s="602">
        <f>财务基础数据!Y196*目录!$D$6-T73</f>
        <v>0</v>
      </c>
      <c r="U74" s="602">
        <f>财务基础数据!Z196*目录!$D$6-U73</f>
        <v>0</v>
      </c>
      <c r="V74" s="602">
        <f>财务基础数据!AA196*目录!$D$6-V73</f>
        <v>0</v>
      </c>
      <c r="W74" s="602">
        <f>财务基础数据!AB196*目录!$D$6-W73</f>
        <v>0</v>
      </c>
      <c r="X74" s="602">
        <f>财务基础数据!AC196*目录!$D$6-X73</f>
        <v>0</v>
      </c>
      <c r="Y74" s="602">
        <f>财务基础数据!AD196*目录!$D$6-Y73</f>
        <v>0</v>
      </c>
      <c r="Z74" s="602">
        <f>财务基础数据!AE196*目录!$D$6-Z73</f>
        <v>0</v>
      </c>
      <c r="AA74" s="602">
        <f>财务基础数据!AF196*目录!$D$6-AA73</f>
        <v>0</v>
      </c>
      <c r="AB74" s="602">
        <f>财务基础数据!AG196*目录!$D$6-AB73</f>
        <v>0</v>
      </c>
      <c r="AC74" s="602">
        <f>财务基础数据!AH196*目录!$D$6-AC73</f>
        <v>0</v>
      </c>
      <c r="AD74" s="602">
        <f>财务基础数据!AI196*目录!$D$6-AD73</f>
        <v>0</v>
      </c>
      <c r="AE74" s="602">
        <f>财务基础数据!AJ196*目录!$D$6-AE73</f>
        <v>0</v>
      </c>
      <c r="AF74" s="602">
        <f>财务基础数据!AK196*目录!$D$6-AF73</f>
        <v>0</v>
      </c>
      <c r="AG74" s="602">
        <f>财务基础数据!AL196*目录!$D$6-AG73</f>
        <v>0</v>
      </c>
      <c r="AH74" s="614">
        <f>财务基础数据!AM196*目录!$D$6-AH73</f>
        <v>0</v>
      </c>
      <c r="AI74" s="614">
        <f>财务基础数据!AN196*目录!$D$6-AI73</f>
        <v>0</v>
      </c>
      <c r="AJ74" s="614">
        <f>财务基础数据!AO196*目录!$D$6-AJ73</f>
        <v>0</v>
      </c>
      <c r="AK74" s="614">
        <f>财务基础数据!AP196*目录!$D$6-AK73</f>
        <v>0</v>
      </c>
      <c r="AL74" s="607"/>
      <c r="AM74" s="607"/>
      <c r="AN74" s="607"/>
      <c r="AO74" s="607"/>
      <c r="AP74" s="607"/>
      <c r="AQ74" s="607"/>
      <c r="AR74" s="607"/>
      <c r="AS74" s="607"/>
      <c r="AT74" s="607"/>
      <c r="AU74" s="607"/>
    </row>
    <row r="75" spans="1:49" ht="13.75">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92"/>
      <c r="AI75" s="492"/>
      <c r="AJ75" s="492"/>
      <c r="AK75" s="492"/>
      <c r="AL75" s="41"/>
      <c r="AM75" s="41"/>
      <c r="AN75" s="41"/>
      <c r="AO75" s="41"/>
      <c r="AP75" s="41"/>
      <c r="AQ75" s="41"/>
      <c r="AR75" s="41"/>
      <c r="AS75" s="41"/>
      <c r="AT75" s="41"/>
      <c r="AU75" s="41"/>
    </row>
    <row r="76" spans="1:49" ht="14.15">
      <c r="A76" s="39"/>
      <c r="B76" s="270" t="s">
        <v>684</v>
      </c>
      <c r="C76" s="39"/>
      <c r="E76" s="46">
        <f t="shared" ref="E76:AL76" si="23">E62+E73</f>
        <v>0</v>
      </c>
      <c r="F76" s="46">
        <f t="shared" si="23"/>
        <v>0</v>
      </c>
      <c r="G76" s="46">
        <f t="shared" si="23"/>
        <v>0</v>
      </c>
      <c r="H76" s="46">
        <f t="shared" si="23"/>
        <v>0</v>
      </c>
      <c r="I76" s="46">
        <f t="shared" si="23"/>
        <v>0</v>
      </c>
      <c r="J76" s="46">
        <f t="shared" si="23"/>
        <v>0</v>
      </c>
      <c r="K76" s="46">
        <f t="shared" si="23"/>
        <v>0</v>
      </c>
      <c r="L76" s="46">
        <f t="shared" si="23"/>
        <v>0</v>
      </c>
      <c r="M76" s="46">
        <f t="shared" si="23"/>
        <v>0</v>
      </c>
      <c r="N76" s="46">
        <f t="shared" si="23"/>
        <v>0</v>
      </c>
      <c r="O76" s="46">
        <f t="shared" si="23"/>
        <v>0</v>
      </c>
      <c r="P76" s="46">
        <f t="shared" si="23"/>
        <v>0</v>
      </c>
      <c r="Q76" s="46">
        <f t="shared" si="23"/>
        <v>0</v>
      </c>
      <c r="R76" s="46">
        <f t="shared" si="23"/>
        <v>0</v>
      </c>
      <c r="S76" s="46">
        <f t="shared" si="23"/>
        <v>0</v>
      </c>
      <c r="T76" s="46">
        <f t="shared" si="23"/>
        <v>0</v>
      </c>
      <c r="U76" s="46">
        <f t="shared" si="23"/>
        <v>0</v>
      </c>
      <c r="V76" s="46">
        <f t="shared" si="23"/>
        <v>0</v>
      </c>
      <c r="W76" s="46">
        <f t="shared" si="23"/>
        <v>0</v>
      </c>
      <c r="X76" s="46">
        <f t="shared" si="23"/>
        <v>0</v>
      </c>
      <c r="Y76" s="46">
        <f t="shared" si="23"/>
        <v>0</v>
      </c>
      <c r="Z76" s="46">
        <f t="shared" si="23"/>
        <v>0</v>
      </c>
      <c r="AA76" s="46">
        <f t="shared" si="23"/>
        <v>0</v>
      </c>
      <c r="AB76" s="46">
        <f t="shared" si="23"/>
        <v>0</v>
      </c>
      <c r="AC76" s="46">
        <f t="shared" si="23"/>
        <v>0</v>
      </c>
      <c r="AD76" s="46">
        <f t="shared" si="23"/>
        <v>0</v>
      </c>
      <c r="AE76" s="46">
        <f t="shared" si="23"/>
        <v>0</v>
      </c>
      <c r="AF76" s="46">
        <f t="shared" si="23"/>
        <v>0</v>
      </c>
      <c r="AG76" s="46">
        <f t="shared" si="23"/>
        <v>0</v>
      </c>
      <c r="AH76" s="493">
        <f t="shared" si="23"/>
        <v>0</v>
      </c>
      <c r="AI76" s="493">
        <f t="shared" si="23"/>
        <v>0</v>
      </c>
      <c r="AJ76" s="493">
        <f t="shared" si="23"/>
        <v>0</v>
      </c>
      <c r="AK76" s="493">
        <f t="shared" si="23"/>
        <v>0</v>
      </c>
      <c r="AL76" s="46">
        <f t="shared" si="23"/>
        <v>0</v>
      </c>
      <c r="AM76" s="46">
        <f t="shared" ref="AM76:AU76" si="24">AM62+AM73</f>
        <v>0</v>
      </c>
      <c r="AN76" s="46">
        <f t="shared" si="24"/>
        <v>0</v>
      </c>
      <c r="AO76" s="46">
        <f t="shared" si="24"/>
        <v>0</v>
      </c>
      <c r="AP76" s="46">
        <f t="shared" si="24"/>
        <v>0</v>
      </c>
      <c r="AQ76" s="46">
        <f t="shared" si="24"/>
        <v>0</v>
      </c>
      <c r="AR76" s="46">
        <f t="shared" si="24"/>
        <v>0</v>
      </c>
      <c r="AS76" s="46">
        <f t="shared" si="24"/>
        <v>0</v>
      </c>
      <c r="AT76" s="46">
        <f t="shared" si="24"/>
        <v>0</v>
      </c>
      <c r="AU76" s="46">
        <f t="shared" si="24"/>
        <v>0</v>
      </c>
    </row>
    <row r="77" spans="1:49" ht="14.15">
      <c r="A77" s="39"/>
      <c r="B77" s="42"/>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89"/>
      <c r="AI77" s="489"/>
      <c r="AJ77" s="489"/>
      <c r="AK77" s="489"/>
      <c r="AL77" s="653"/>
      <c r="AM77" s="41"/>
      <c r="AN77" s="41"/>
      <c r="AO77" s="41"/>
      <c r="AP77" s="41"/>
      <c r="AQ77" s="41"/>
      <c r="AR77" s="41"/>
      <c r="AS77" s="41"/>
      <c r="AT77" s="41"/>
      <c r="AU77" s="41"/>
    </row>
    <row r="78" spans="1:49" ht="14.15">
      <c r="A78" s="39"/>
      <c r="B78" s="558" t="s">
        <v>1025</v>
      </c>
      <c r="D78" s="67"/>
      <c r="E78" s="40">
        <f>财务基础数据!J202*目录!$D$6</f>
        <v>0</v>
      </c>
      <c r="F78" s="40">
        <f>财务基础数据!K202*目录!$D$6</f>
        <v>0</v>
      </c>
      <c r="G78" s="40">
        <f>财务基础数据!L202*目录!$D$6</f>
        <v>0</v>
      </c>
      <c r="H78" s="40">
        <f>财务基础数据!M202*目录!$D$6</f>
        <v>0</v>
      </c>
      <c r="I78" s="40">
        <f>财务基础数据!N202*目录!$D$6</f>
        <v>0</v>
      </c>
      <c r="J78" s="40">
        <f>财务基础数据!O202*目录!$D$6</f>
        <v>0</v>
      </c>
      <c r="K78" s="40">
        <f>财务基础数据!P202*目录!$D$6</f>
        <v>0</v>
      </c>
      <c r="L78" s="40">
        <f>财务基础数据!Q202*目录!$D$6</f>
        <v>0</v>
      </c>
      <c r="M78" s="40">
        <f>财务基础数据!R202*目录!$D$6</f>
        <v>0</v>
      </c>
      <c r="N78" s="40">
        <f>财务基础数据!S202*目录!$D$6</f>
        <v>0</v>
      </c>
      <c r="O78" s="40">
        <f>财务基础数据!T202*目录!$D$6</f>
        <v>0</v>
      </c>
      <c r="P78" s="40">
        <f>财务基础数据!U202*目录!$D$6</f>
        <v>0</v>
      </c>
      <c r="Q78" s="40">
        <f>财务基础数据!V202*目录!$D$6</f>
        <v>0</v>
      </c>
      <c r="R78" s="40">
        <f>财务基础数据!W202*目录!$D$6</f>
        <v>0</v>
      </c>
      <c r="S78" s="40">
        <f>财务基础数据!X202*目录!$D$6</f>
        <v>0</v>
      </c>
      <c r="T78" s="40">
        <f>财务基础数据!Y202*目录!$D$6</f>
        <v>0</v>
      </c>
      <c r="U78" s="40">
        <f>财务基础数据!Z202*目录!$D$6</f>
        <v>0</v>
      </c>
      <c r="V78" s="40">
        <f>财务基础数据!AA202*目录!$D$6</f>
        <v>0</v>
      </c>
      <c r="W78" s="40">
        <f>财务基础数据!AB202*目录!$D$6</f>
        <v>0</v>
      </c>
      <c r="X78" s="40">
        <f>财务基础数据!AC202*目录!$D$6</f>
        <v>0</v>
      </c>
      <c r="Y78" s="40">
        <f>财务基础数据!AD202*目录!$D$6</f>
        <v>0</v>
      </c>
      <c r="Z78" s="40">
        <f>财务基础数据!AE202*目录!$D$6</f>
        <v>0</v>
      </c>
      <c r="AA78" s="40">
        <f>财务基础数据!AF202*目录!$D$6</f>
        <v>0</v>
      </c>
      <c r="AB78" s="40">
        <f>财务基础数据!AG202*目录!$D$6</f>
        <v>0</v>
      </c>
      <c r="AC78" s="40">
        <f>财务基础数据!AH202*目录!$D$6</f>
        <v>0</v>
      </c>
      <c r="AD78" s="40">
        <f>财务基础数据!AI202*目录!$D$6</f>
        <v>0</v>
      </c>
      <c r="AE78" s="40">
        <f>财务基础数据!AJ202*目录!$D$6</f>
        <v>0</v>
      </c>
      <c r="AF78" s="40">
        <f>财务基础数据!AK202*目录!$D$6</f>
        <v>0</v>
      </c>
      <c r="AG78" s="40">
        <f>财务基础数据!AL202*目录!$D$6</f>
        <v>0</v>
      </c>
      <c r="AH78" s="491">
        <f>财务基础数据!AM202*目录!$D$6</f>
        <v>0</v>
      </c>
      <c r="AI78" s="491">
        <f>财务基础数据!AN202*目录!$D$6</f>
        <v>0</v>
      </c>
      <c r="AJ78" s="491">
        <f>财务基础数据!AO202*目录!$D$6</f>
        <v>0</v>
      </c>
      <c r="AK78" s="491">
        <f>财务基础数据!AP202*目录!$D$6</f>
        <v>0</v>
      </c>
      <c r="AL78" s="489">
        <f>资产负债表!AG78+资产预测!P189+资产预测!P210+资产预测!P216-资产预测!P223</f>
        <v>0</v>
      </c>
      <c r="AM78" s="489">
        <f>AL78</f>
        <v>0</v>
      </c>
      <c r="AN78" s="489">
        <f t="shared" ref="AN78:AU78" si="25">AM78</f>
        <v>0</v>
      </c>
      <c r="AO78" s="489">
        <f t="shared" si="25"/>
        <v>0</v>
      </c>
      <c r="AP78" s="489">
        <f t="shared" si="25"/>
        <v>0</v>
      </c>
      <c r="AQ78" s="489">
        <f t="shared" si="25"/>
        <v>0</v>
      </c>
      <c r="AR78" s="489">
        <f t="shared" si="25"/>
        <v>0</v>
      </c>
      <c r="AS78" s="489">
        <f t="shared" si="25"/>
        <v>0</v>
      </c>
      <c r="AT78" s="489">
        <f t="shared" si="25"/>
        <v>0</v>
      </c>
      <c r="AU78" s="489">
        <f t="shared" si="25"/>
        <v>0</v>
      </c>
    </row>
    <row r="79" spans="1:49" ht="14.15">
      <c r="A79" s="367"/>
      <c r="B79" s="558" t="s">
        <v>821</v>
      </c>
      <c r="D79" s="23" t="s">
        <v>1258</v>
      </c>
      <c r="E79" s="40">
        <f>财务基础数据!J224*目录!$D$6</f>
        <v>0</v>
      </c>
      <c r="F79" s="40">
        <f>财务基础数据!K224*目录!$D$6</f>
        <v>0</v>
      </c>
      <c r="G79" s="40">
        <f>财务基础数据!L224*目录!$D$6</f>
        <v>0</v>
      </c>
      <c r="H79" s="40">
        <f>财务基础数据!M224*目录!$D$6</f>
        <v>0</v>
      </c>
      <c r="I79" s="40">
        <f>财务基础数据!N224*目录!$D$6</f>
        <v>0</v>
      </c>
      <c r="J79" s="40">
        <f>财务基础数据!O224*目录!$D$6</f>
        <v>0</v>
      </c>
      <c r="K79" s="40">
        <f>财务基础数据!P224*目录!$D$6</f>
        <v>0</v>
      </c>
      <c r="L79" s="40">
        <f>财务基础数据!Q224*目录!$D$6</f>
        <v>0</v>
      </c>
      <c r="M79" s="40">
        <f>财务基础数据!R224*目录!$D$6</f>
        <v>0</v>
      </c>
      <c r="N79" s="40">
        <f>财务基础数据!S224*目录!$D$6</f>
        <v>0</v>
      </c>
      <c r="O79" s="40">
        <f>财务基础数据!T224*目录!$D$6</f>
        <v>0</v>
      </c>
      <c r="P79" s="40">
        <f>财务基础数据!U224*目录!$D$6</f>
        <v>0</v>
      </c>
      <c r="Q79" s="40">
        <f>财务基础数据!V224*目录!$D$6</f>
        <v>0</v>
      </c>
      <c r="R79" s="40">
        <f>财务基础数据!W224*目录!$D$6</f>
        <v>0</v>
      </c>
      <c r="S79" s="40">
        <f>财务基础数据!X224*目录!$D$6</f>
        <v>0</v>
      </c>
      <c r="T79" s="40">
        <f>财务基础数据!Y224*目录!$D$6</f>
        <v>0</v>
      </c>
      <c r="U79" s="40">
        <f>财务基础数据!Z224*目录!$D$6</f>
        <v>0</v>
      </c>
      <c r="V79" s="40">
        <f>财务基础数据!AA224*目录!$D$6</f>
        <v>0</v>
      </c>
      <c r="W79" s="40">
        <f>财务基础数据!AB224*目录!$D$6</f>
        <v>0</v>
      </c>
      <c r="X79" s="40">
        <f>财务基础数据!AC224*目录!$D$6</f>
        <v>0</v>
      </c>
      <c r="Y79" s="40">
        <f>财务基础数据!AD224*目录!$D$6</f>
        <v>0</v>
      </c>
      <c r="Z79" s="40">
        <f>财务基础数据!AE224*目录!$D$6</f>
        <v>0</v>
      </c>
      <c r="AA79" s="40">
        <f>财务基础数据!AF224*目录!$D$6</f>
        <v>0</v>
      </c>
      <c r="AB79" s="40">
        <f>财务基础数据!AG224*目录!$D$6</f>
        <v>0</v>
      </c>
      <c r="AC79" s="40">
        <f>财务基础数据!AH224*目录!$D$6</f>
        <v>0</v>
      </c>
      <c r="AD79" s="40">
        <f>财务基础数据!AI224*目录!$D$6</f>
        <v>0</v>
      </c>
      <c r="AE79" s="40">
        <f>财务基础数据!AJ224*目录!$D$6</f>
        <v>0</v>
      </c>
      <c r="AF79" s="40">
        <f>财务基础数据!AK224*目录!$D$6</f>
        <v>0</v>
      </c>
      <c r="AG79" s="40">
        <f>财务基础数据!AL224*目录!$D$6</f>
        <v>0</v>
      </c>
      <c r="AH79" s="491">
        <f>财务基础数据!AM224*目录!$D$6</f>
        <v>0</v>
      </c>
      <c r="AI79" s="491">
        <f>财务基础数据!AN224*目录!$D$6</f>
        <v>0</v>
      </c>
      <c r="AJ79" s="491">
        <f>财务基础数据!AO224*目录!$D$6</f>
        <v>0</v>
      </c>
      <c r="AK79" s="491">
        <f>财务基础数据!AP224*目录!$D$6</f>
        <v>0</v>
      </c>
      <c r="AL79" s="108">
        <f>AG79</f>
        <v>0</v>
      </c>
      <c r="AM79" s="108">
        <f>AL79</f>
        <v>0</v>
      </c>
      <c r="AN79" s="108">
        <f>AM79</f>
        <v>0</v>
      </c>
      <c r="AO79" s="108">
        <f t="shared" ref="AO79:AU79" si="26">AN79</f>
        <v>0</v>
      </c>
      <c r="AP79" s="108">
        <f t="shared" si="26"/>
        <v>0</v>
      </c>
      <c r="AQ79" s="108">
        <f t="shared" si="26"/>
        <v>0</v>
      </c>
      <c r="AR79" s="108">
        <f t="shared" si="26"/>
        <v>0</v>
      </c>
      <c r="AS79" s="108">
        <f t="shared" si="26"/>
        <v>0</v>
      </c>
      <c r="AT79" s="108">
        <f t="shared" si="26"/>
        <v>0</v>
      </c>
      <c r="AU79" s="108">
        <f t="shared" si="26"/>
        <v>0</v>
      </c>
    </row>
    <row r="80" spans="1:49" ht="14.15">
      <c r="A80" s="367"/>
      <c r="B80" s="558" t="s">
        <v>1022</v>
      </c>
      <c r="D80" s="67"/>
      <c r="E80" s="40">
        <f>E79-E81</f>
        <v>0</v>
      </c>
      <c r="F80" s="40">
        <f t="shared" ref="F80:AK80" si="27">F79-F81</f>
        <v>0</v>
      </c>
      <c r="G80" s="40">
        <f t="shared" si="27"/>
        <v>0</v>
      </c>
      <c r="H80" s="40">
        <f t="shared" si="27"/>
        <v>0</v>
      </c>
      <c r="I80" s="40">
        <f t="shared" si="27"/>
        <v>0</v>
      </c>
      <c r="J80" s="40">
        <f t="shared" si="27"/>
        <v>0</v>
      </c>
      <c r="K80" s="40">
        <f t="shared" si="27"/>
        <v>0</v>
      </c>
      <c r="L80" s="40">
        <f t="shared" si="27"/>
        <v>0</v>
      </c>
      <c r="M80" s="40">
        <f t="shared" si="27"/>
        <v>0</v>
      </c>
      <c r="N80" s="40">
        <f t="shared" si="27"/>
        <v>0</v>
      </c>
      <c r="O80" s="40">
        <f t="shared" si="27"/>
        <v>0</v>
      </c>
      <c r="P80" s="40">
        <f t="shared" si="27"/>
        <v>0</v>
      </c>
      <c r="Q80" s="40">
        <f t="shared" si="27"/>
        <v>0</v>
      </c>
      <c r="R80" s="40">
        <f t="shared" si="27"/>
        <v>0</v>
      </c>
      <c r="S80" s="40">
        <f t="shared" si="27"/>
        <v>0</v>
      </c>
      <c r="T80" s="40">
        <f t="shared" si="27"/>
        <v>0</v>
      </c>
      <c r="U80" s="40">
        <f t="shared" si="27"/>
        <v>0</v>
      </c>
      <c r="V80" s="40">
        <f t="shared" si="27"/>
        <v>0</v>
      </c>
      <c r="W80" s="40">
        <f t="shared" si="27"/>
        <v>0</v>
      </c>
      <c r="X80" s="40">
        <f t="shared" si="27"/>
        <v>0</v>
      </c>
      <c r="Y80" s="40">
        <f t="shared" si="27"/>
        <v>0</v>
      </c>
      <c r="Z80" s="40">
        <f t="shared" si="27"/>
        <v>0</v>
      </c>
      <c r="AA80" s="40">
        <f t="shared" si="27"/>
        <v>0</v>
      </c>
      <c r="AB80" s="40">
        <f t="shared" si="27"/>
        <v>0</v>
      </c>
      <c r="AC80" s="40">
        <f t="shared" si="27"/>
        <v>0</v>
      </c>
      <c r="AD80" s="40">
        <f t="shared" si="27"/>
        <v>0</v>
      </c>
      <c r="AE80" s="40">
        <f t="shared" si="27"/>
        <v>0</v>
      </c>
      <c r="AF80" s="40">
        <f t="shared" si="27"/>
        <v>0</v>
      </c>
      <c r="AG80" s="40">
        <f t="shared" si="27"/>
        <v>0</v>
      </c>
      <c r="AH80" s="491">
        <f t="shared" si="27"/>
        <v>0</v>
      </c>
      <c r="AI80" s="491">
        <f t="shared" si="27"/>
        <v>0</v>
      </c>
      <c r="AJ80" s="491">
        <f t="shared" si="27"/>
        <v>0</v>
      </c>
      <c r="AK80" s="491">
        <f t="shared" si="27"/>
        <v>0</v>
      </c>
      <c r="AL80" s="489"/>
      <c r="AM80" s="41"/>
      <c r="AN80" s="41"/>
      <c r="AO80" s="41"/>
      <c r="AP80" s="41"/>
      <c r="AQ80" s="41"/>
      <c r="AR80" s="41"/>
      <c r="AS80" s="41"/>
      <c r="AT80" s="41"/>
      <c r="AU80" s="41"/>
    </row>
    <row r="81" spans="1:47" ht="14.15">
      <c r="A81" s="367"/>
      <c r="B81" s="558" t="s">
        <v>1023</v>
      </c>
      <c r="D81" s="67"/>
      <c r="E81" s="40">
        <f>财务基础数据!J246*目录!$D$6</f>
        <v>0</v>
      </c>
      <c r="F81" s="40">
        <f>财务基础数据!K246*目录!$D$6</f>
        <v>0</v>
      </c>
      <c r="G81" s="40">
        <f>财务基础数据!L246*目录!$D$6</f>
        <v>0</v>
      </c>
      <c r="H81" s="40">
        <f>财务基础数据!M246*目录!$D$6</f>
        <v>0</v>
      </c>
      <c r="I81" s="40">
        <f>财务基础数据!N246*目录!$D$6</f>
        <v>0</v>
      </c>
      <c r="J81" s="40">
        <f>财务基础数据!O246*目录!$D$6</f>
        <v>0</v>
      </c>
      <c r="K81" s="40">
        <f>财务基础数据!P246*目录!$D$6</f>
        <v>0</v>
      </c>
      <c r="L81" s="40">
        <f>财务基础数据!Q246*目录!$D$6</f>
        <v>0</v>
      </c>
      <c r="M81" s="40">
        <f>财务基础数据!R246*目录!$D$6</f>
        <v>0</v>
      </c>
      <c r="N81" s="40">
        <f>财务基础数据!S246*目录!$D$6</f>
        <v>0</v>
      </c>
      <c r="O81" s="40">
        <f>财务基础数据!T246*目录!$D$6</f>
        <v>0</v>
      </c>
      <c r="P81" s="40">
        <f>财务基础数据!U246*目录!$D$6</f>
        <v>0</v>
      </c>
      <c r="Q81" s="40">
        <f>财务基础数据!V246*目录!$D$6</f>
        <v>0</v>
      </c>
      <c r="R81" s="40">
        <f>财务基础数据!W246*目录!$D$6</f>
        <v>0</v>
      </c>
      <c r="S81" s="40">
        <f>财务基础数据!X246*目录!$D$6</f>
        <v>0</v>
      </c>
      <c r="T81" s="40">
        <f>财务基础数据!Y246*目录!$D$6</f>
        <v>0</v>
      </c>
      <c r="U81" s="40">
        <f>财务基础数据!Z246*目录!$D$6</f>
        <v>0</v>
      </c>
      <c r="V81" s="40">
        <f>财务基础数据!AA246*目录!$D$6</f>
        <v>0</v>
      </c>
      <c r="W81" s="40">
        <f>财务基础数据!AB246*目录!$D$6</f>
        <v>0</v>
      </c>
      <c r="X81" s="40">
        <f>财务基础数据!AC246*目录!$D$6</f>
        <v>0</v>
      </c>
      <c r="Y81" s="40">
        <f>财务基础数据!AD246*目录!$D$6</f>
        <v>0</v>
      </c>
      <c r="Z81" s="40">
        <f>财务基础数据!AE246*目录!$D$6</f>
        <v>0</v>
      </c>
      <c r="AA81" s="40">
        <f>财务基础数据!AF246*目录!$D$6</f>
        <v>0</v>
      </c>
      <c r="AB81" s="40">
        <f>财务基础数据!AG246*目录!$D$6</f>
        <v>0</v>
      </c>
      <c r="AC81" s="40">
        <f>财务基础数据!AH246*目录!$D$6</f>
        <v>0</v>
      </c>
      <c r="AD81" s="40">
        <f>财务基础数据!AI246*目录!$D$6</f>
        <v>0</v>
      </c>
      <c r="AE81" s="40">
        <f>财务基础数据!AJ246*目录!$D$6</f>
        <v>0</v>
      </c>
      <c r="AF81" s="40">
        <f>财务基础数据!AK246*目录!$D$6</f>
        <v>0</v>
      </c>
      <c r="AG81" s="40">
        <f>财务基础数据!AL246*目录!$D$6</f>
        <v>0</v>
      </c>
      <c r="AH81" s="491">
        <f>财务基础数据!AM246*目录!$D$6</f>
        <v>0</v>
      </c>
      <c r="AI81" s="491">
        <f>财务基础数据!AN246*目录!$D$6</f>
        <v>0</v>
      </c>
      <c r="AJ81" s="491">
        <f>财务基础数据!AO246*目录!$D$6</f>
        <v>0</v>
      </c>
      <c r="AK81" s="491">
        <f>财务基础数据!AP246*目录!$D$6</f>
        <v>0</v>
      </c>
      <c r="AL81" s="489"/>
      <c r="AM81" s="41"/>
      <c r="AN81" s="41"/>
      <c r="AO81" s="41"/>
      <c r="AP81" s="41"/>
      <c r="AQ81" s="41"/>
      <c r="AR81" s="41"/>
      <c r="AS81" s="41"/>
      <c r="AT81" s="41"/>
      <c r="AU81" s="41"/>
    </row>
    <row r="82" spans="1:47" ht="14.15">
      <c r="A82" s="367"/>
      <c r="B82" s="261" t="s">
        <v>47</v>
      </c>
      <c r="C82" s="39"/>
      <c r="E82" s="40">
        <f>财务基础数据!J203*目录!$D$6</f>
        <v>0</v>
      </c>
      <c r="F82" s="40">
        <f>财务基础数据!K203*目录!$D$6</f>
        <v>0</v>
      </c>
      <c r="G82" s="40">
        <f>财务基础数据!L203*目录!$D$6</f>
        <v>0</v>
      </c>
      <c r="H82" s="40">
        <f>财务基础数据!M203*目录!$D$6</f>
        <v>0</v>
      </c>
      <c r="I82" s="40">
        <f>财务基础数据!N203*目录!$D$6</f>
        <v>0</v>
      </c>
      <c r="J82" s="40">
        <f>财务基础数据!O203*目录!$D$6</f>
        <v>0</v>
      </c>
      <c r="K82" s="40">
        <f>财务基础数据!P203*目录!$D$6</f>
        <v>0</v>
      </c>
      <c r="L82" s="40">
        <f>财务基础数据!Q203*目录!$D$6</f>
        <v>0</v>
      </c>
      <c r="M82" s="40">
        <f>财务基础数据!R203*目录!$D$6</f>
        <v>0</v>
      </c>
      <c r="N82" s="40">
        <f>财务基础数据!S203*目录!$D$6</f>
        <v>0</v>
      </c>
      <c r="O82" s="40">
        <f>财务基础数据!T203*目录!$D$6</f>
        <v>0</v>
      </c>
      <c r="P82" s="40">
        <f>财务基础数据!U203*目录!$D$6</f>
        <v>0</v>
      </c>
      <c r="Q82" s="40">
        <f>财务基础数据!V203*目录!$D$6</f>
        <v>0</v>
      </c>
      <c r="R82" s="40">
        <f>财务基础数据!W203*目录!$D$6</f>
        <v>0</v>
      </c>
      <c r="S82" s="40">
        <f>财务基础数据!X203*目录!$D$6</f>
        <v>0</v>
      </c>
      <c r="T82" s="40">
        <f>财务基础数据!Y203*目录!$D$6</f>
        <v>0</v>
      </c>
      <c r="U82" s="40">
        <f>财务基础数据!Z203*目录!$D$6</f>
        <v>0</v>
      </c>
      <c r="V82" s="40">
        <f>财务基础数据!AA203*目录!$D$6</f>
        <v>0</v>
      </c>
      <c r="W82" s="40">
        <f>财务基础数据!AB203*目录!$D$6</f>
        <v>0</v>
      </c>
      <c r="X82" s="40">
        <f>财务基础数据!AC203*目录!$D$6</f>
        <v>0</v>
      </c>
      <c r="Y82" s="40">
        <f>财务基础数据!AD203*目录!$D$6</f>
        <v>0</v>
      </c>
      <c r="Z82" s="40">
        <f>财务基础数据!AE203*目录!$D$6</f>
        <v>0</v>
      </c>
      <c r="AA82" s="40">
        <f>财务基础数据!AF203*目录!$D$6</f>
        <v>0</v>
      </c>
      <c r="AB82" s="40">
        <f>财务基础数据!AG203*目录!$D$6</f>
        <v>0</v>
      </c>
      <c r="AC82" s="40">
        <f>财务基础数据!AH203*目录!$D$6</f>
        <v>0</v>
      </c>
      <c r="AD82" s="40">
        <f>财务基础数据!AI203*目录!$D$6</f>
        <v>0</v>
      </c>
      <c r="AE82" s="40">
        <f>财务基础数据!AJ203*目录!$D$6</f>
        <v>0</v>
      </c>
      <c r="AF82" s="40">
        <f>财务基础数据!AK203*目录!$D$6</f>
        <v>0</v>
      </c>
      <c r="AG82" s="40">
        <f>财务基础数据!AL203*目录!$D$6</f>
        <v>0</v>
      </c>
      <c r="AH82" s="491">
        <f>财务基础数据!AM203*目录!$D$6</f>
        <v>0</v>
      </c>
      <c r="AI82" s="491">
        <f>财务基础数据!AN203*目录!$D$6</f>
        <v>0</v>
      </c>
      <c r="AJ82" s="491">
        <f>财务基础数据!AO203*目录!$D$6</f>
        <v>0</v>
      </c>
      <c r="AK82" s="491">
        <f>财务基础数据!AP203*目录!$D$6</f>
        <v>0</v>
      </c>
      <c r="AL82" s="489">
        <f>IF(ISERROR(AG82+资产预测!P193+资产预测!P211-资产预测!P224),"—",AG82+资产预测!P193+资产预测!P211-资产预测!P224)</f>
        <v>0</v>
      </c>
      <c r="AM82" s="489">
        <f>IF(ISERROR(AL82+资产预测!Q193+资产预测!Q211-资产预测!Q224),"—",AL82+资产预测!Q193+资产预测!Q211-资产预测!Q224)</f>
        <v>0</v>
      </c>
      <c r="AN82" s="489">
        <f>IF(ISERROR(AM82+资产预测!R193+资产预测!R211-资产预测!R224),"—",AM82+资产预测!R193+资产预测!R211-资产预测!R224)</f>
        <v>0</v>
      </c>
      <c r="AO82" s="489">
        <f>IF(ISERROR(AN82+资产预测!S193+资产预测!S211-资产预测!S224),"—",AN82+资产预测!S193+资产预测!S211-资产预测!S224)</f>
        <v>0</v>
      </c>
      <c r="AP82" s="489">
        <f>IF(ISERROR(AO82+资产预测!T193+资产预测!T211-资产预测!T224),"—",AO82+资产预测!T193+资产预测!T211-资产预测!T224)</f>
        <v>0</v>
      </c>
      <c r="AQ82" s="489">
        <f>IF(ISERROR(AP82+资产预测!U193+资产预测!U211-资产预测!U224),"—",AP82+资产预测!U193+资产预测!U211-资产预测!U224)</f>
        <v>0</v>
      </c>
      <c r="AR82" s="489">
        <f>IF(ISERROR(AQ82+资产预测!V193+资产预测!V211-资产预测!V224),"—",AQ82+资产预测!V193+资产预测!V211-资产预测!V224)</f>
        <v>0</v>
      </c>
      <c r="AS82" s="489">
        <f>IF(ISERROR(AR82+资产预测!W193+资产预测!W211-资产预测!W224),"—",AR82+资产预测!W193+资产预测!W211-资产预测!W224)</f>
        <v>0</v>
      </c>
      <c r="AT82" s="489">
        <f>IF(ISERROR(AS82+资产预测!X193+资产预测!X211-资产预测!X224),"—",AS82+资产预测!X193+资产预测!X211-资产预测!X224)</f>
        <v>0</v>
      </c>
      <c r="AU82" s="489">
        <f>IF(ISERROR(AT82+资产预测!Y193+资产预测!Y211-资产预测!Y224),"—",AT82+资产预测!Y193+资产预测!Y211-资产预测!Y224)</f>
        <v>0</v>
      </c>
    </row>
    <row r="83" spans="1:47" ht="14.15">
      <c r="A83" s="262"/>
      <c r="B83" s="261" t="s">
        <v>48</v>
      </c>
      <c r="D83" s="67"/>
      <c r="E83" s="40">
        <f>财务基础数据!J205*目录!$D$6</f>
        <v>0</v>
      </c>
      <c r="F83" s="40">
        <f>财务基础数据!K205*目录!$D$6</f>
        <v>0</v>
      </c>
      <c r="G83" s="40">
        <f>财务基础数据!L205*目录!$D$6</f>
        <v>0</v>
      </c>
      <c r="H83" s="40">
        <f>财务基础数据!M205*目录!$D$6</f>
        <v>0</v>
      </c>
      <c r="I83" s="40">
        <f>财务基础数据!N205*目录!$D$6</f>
        <v>0</v>
      </c>
      <c r="J83" s="40">
        <f>财务基础数据!O205*目录!$D$6</f>
        <v>0</v>
      </c>
      <c r="K83" s="40">
        <f>财务基础数据!P205*目录!$D$6</f>
        <v>0</v>
      </c>
      <c r="L83" s="40">
        <f>财务基础数据!Q205*目录!$D$6</f>
        <v>0</v>
      </c>
      <c r="M83" s="40">
        <f>财务基础数据!R205*目录!$D$6</f>
        <v>0</v>
      </c>
      <c r="N83" s="40">
        <f>财务基础数据!S205*目录!$D$6</f>
        <v>0</v>
      </c>
      <c r="O83" s="40">
        <f>财务基础数据!T205*目录!$D$6</f>
        <v>0</v>
      </c>
      <c r="P83" s="40">
        <f>财务基础数据!U205*目录!$D$6</f>
        <v>0</v>
      </c>
      <c r="Q83" s="40">
        <f>财务基础数据!V205*目录!$D$6</f>
        <v>0</v>
      </c>
      <c r="R83" s="40">
        <f>财务基础数据!W205*目录!$D$6</f>
        <v>0</v>
      </c>
      <c r="S83" s="40">
        <f>财务基础数据!X205*目录!$D$6</f>
        <v>0</v>
      </c>
      <c r="T83" s="40">
        <f>财务基础数据!Y205*目录!$D$6</f>
        <v>0</v>
      </c>
      <c r="U83" s="40">
        <f>财务基础数据!Z205*目录!$D$6</f>
        <v>0</v>
      </c>
      <c r="V83" s="40">
        <f>财务基础数据!AA205*目录!$D$6</f>
        <v>0</v>
      </c>
      <c r="W83" s="40">
        <f>财务基础数据!AB205*目录!$D$6</f>
        <v>0</v>
      </c>
      <c r="X83" s="40">
        <f>财务基础数据!AC205*目录!$D$6</f>
        <v>0</v>
      </c>
      <c r="Y83" s="40">
        <f>财务基础数据!AD205*目录!$D$6</f>
        <v>0</v>
      </c>
      <c r="Z83" s="40">
        <f>财务基础数据!AE205*目录!$D$6</f>
        <v>0</v>
      </c>
      <c r="AA83" s="40">
        <f>财务基础数据!AF205*目录!$D$6</f>
        <v>0</v>
      </c>
      <c r="AB83" s="40">
        <f>财务基础数据!AG205*目录!$D$6</f>
        <v>0</v>
      </c>
      <c r="AC83" s="40">
        <f>财务基础数据!AH205*目录!$D$6</f>
        <v>0</v>
      </c>
      <c r="AD83" s="40">
        <f>财务基础数据!AI205*目录!$D$6</f>
        <v>0</v>
      </c>
      <c r="AE83" s="40">
        <f>财务基础数据!AJ205*目录!$D$6</f>
        <v>0</v>
      </c>
      <c r="AF83" s="40">
        <f>财务基础数据!AK205*目录!$D$6</f>
        <v>0</v>
      </c>
      <c r="AG83" s="40">
        <f>财务基础数据!AL205*目录!$D$6</f>
        <v>0</v>
      </c>
      <c r="AH83" s="491">
        <f>财务基础数据!AM205*目录!$D$6</f>
        <v>0</v>
      </c>
      <c r="AI83" s="491">
        <f>财务基础数据!AN205*目录!$D$6</f>
        <v>0</v>
      </c>
      <c r="AJ83" s="491">
        <f>财务基础数据!AO205*目录!$D$6</f>
        <v>0</v>
      </c>
      <c r="AK83" s="491">
        <f>财务基础数据!AP205*目录!$D$6</f>
        <v>0</v>
      </c>
      <c r="AL83" s="489">
        <f>IF(ISERROR(AG83+资产预测!P221),"—",AG83+资产预测!P221)</f>
        <v>0</v>
      </c>
      <c r="AM83" s="489">
        <f>IF(ISERROR(AL83+资产预测!Q221),"—",AL83+资产预测!Q221)</f>
        <v>0</v>
      </c>
      <c r="AN83" s="489">
        <f>IF(ISERROR(AM83+资产预测!R221),"—",AM83+资产预测!R221)</f>
        <v>0</v>
      </c>
      <c r="AO83" s="489">
        <f>IF(ISERROR(AN83+资产预测!S221),"—",AN83+资产预测!S221)</f>
        <v>0</v>
      </c>
      <c r="AP83" s="489">
        <f>IF(ISERROR(AO83+资产预测!T221),"—",AO83+资产预测!T221)</f>
        <v>0</v>
      </c>
      <c r="AQ83" s="489">
        <f>IF(ISERROR(AP83+资产预测!U221),"—",AP83+资产预测!U221)</f>
        <v>0</v>
      </c>
      <c r="AR83" s="489">
        <f>IF(ISERROR(AQ83+资产预测!V221),"—",AQ83+资产预测!V221)</f>
        <v>0</v>
      </c>
      <c r="AS83" s="489">
        <f>IF(ISERROR(AR83+资产预测!W221),"—",AR83+资产预测!W221)</f>
        <v>0</v>
      </c>
      <c r="AT83" s="489">
        <f>IF(ISERROR(AS83+资产预测!X221),"—",AS83+资产预测!X221)</f>
        <v>0</v>
      </c>
      <c r="AU83" s="489">
        <f>IF(ISERROR(AT83+资产预测!Y221),"—",AT83+资产预测!Y221)</f>
        <v>0</v>
      </c>
    </row>
    <row r="84" spans="1:47" ht="13.75">
      <c r="B84" s="261" t="s">
        <v>912</v>
      </c>
      <c r="D84" s="23" t="s">
        <v>1258</v>
      </c>
      <c r="E84" s="40">
        <f>财务基础数据!J223*目录!$D$6</f>
        <v>0</v>
      </c>
      <c r="F84" s="40">
        <f>财务基础数据!K223*目录!$D$6</f>
        <v>0</v>
      </c>
      <c r="G84" s="40">
        <f>财务基础数据!L223*目录!$D$6</f>
        <v>0</v>
      </c>
      <c r="H84" s="40">
        <f>财务基础数据!M223*目录!$D$6</f>
        <v>0</v>
      </c>
      <c r="I84" s="40">
        <f>财务基础数据!N223*目录!$D$6</f>
        <v>0</v>
      </c>
      <c r="J84" s="40">
        <f>财务基础数据!O223*目录!$D$6</f>
        <v>0</v>
      </c>
      <c r="K84" s="40">
        <f>财务基础数据!P223*目录!$D$6</f>
        <v>0</v>
      </c>
      <c r="L84" s="40">
        <f>财务基础数据!Q223*目录!$D$6</f>
        <v>0</v>
      </c>
      <c r="M84" s="40">
        <f>财务基础数据!R223*目录!$D$6</f>
        <v>0</v>
      </c>
      <c r="N84" s="40">
        <f>财务基础数据!S223*目录!$D$6</f>
        <v>0</v>
      </c>
      <c r="O84" s="40">
        <f>财务基础数据!T223*目录!$D$6</f>
        <v>0</v>
      </c>
      <c r="P84" s="40">
        <f>财务基础数据!U223*目录!$D$6</f>
        <v>0</v>
      </c>
      <c r="Q84" s="40">
        <f>财务基础数据!V223*目录!$D$6</f>
        <v>0</v>
      </c>
      <c r="R84" s="40">
        <f>财务基础数据!W223*目录!$D$6</f>
        <v>0</v>
      </c>
      <c r="S84" s="40">
        <f>财务基础数据!X223*目录!$D$6</f>
        <v>0</v>
      </c>
      <c r="T84" s="40">
        <f>财务基础数据!Y223*目录!$D$6</f>
        <v>0</v>
      </c>
      <c r="U84" s="40">
        <f>财务基础数据!Z223*目录!$D$6</f>
        <v>0</v>
      </c>
      <c r="V84" s="40">
        <f>财务基础数据!AA223*目录!$D$6</f>
        <v>0</v>
      </c>
      <c r="W84" s="40">
        <f>财务基础数据!AB223*目录!$D$6</f>
        <v>0</v>
      </c>
      <c r="X84" s="40">
        <f>财务基础数据!AC223*目录!$D$6</f>
        <v>0</v>
      </c>
      <c r="Y84" s="40">
        <f>财务基础数据!AD223*目录!$D$6</f>
        <v>0</v>
      </c>
      <c r="Z84" s="40">
        <f>财务基础数据!AE223*目录!$D$6</f>
        <v>0</v>
      </c>
      <c r="AA84" s="40">
        <f>财务基础数据!AF223*目录!$D$6</f>
        <v>0</v>
      </c>
      <c r="AB84" s="40">
        <f>财务基础数据!AG223*目录!$D$6</f>
        <v>0</v>
      </c>
      <c r="AC84" s="40">
        <f>财务基础数据!AH223*目录!$D$6</f>
        <v>0</v>
      </c>
      <c r="AD84" s="40">
        <f>财务基础数据!AI223*目录!$D$6</f>
        <v>0</v>
      </c>
      <c r="AE84" s="40">
        <f>财务基础数据!AJ223*目录!$D$6</f>
        <v>0</v>
      </c>
      <c r="AF84" s="40">
        <f>财务基础数据!AK223*目录!$D$6</f>
        <v>0</v>
      </c>
      <c r="AG84" s="40">
        <f>财务基础数据!AL223*目录!$D$6</f>
        <v>0</v>
      </c>
      <c r="AH84" s="491">
        <f>财务基础数据!AM223*目录!$D$6</f>
        <v>0</v>
      </c>
      <c r="AI84" s="491">
        <f>财务基础数据!AN223*目录!$D$6</f>
        <v>0</v>
      </c>
      <c r="AJ84" s="491">
        <f>财务基础数据!AO223*目录!$D$6</f>
        <v>0</v>
      </c>
      <c r="AK84" s="491">
        <f>财务基础数据!AP223*目录!$D$6</f>
        <v>0</v>
      </c>
      <c r="AL84" s="108">
        <f>AG84</f>
        <v>0</v>
      </c>
      <c r="AM84" s="108">
        <f>AL84</f>
        <v>0</v>
      </c>
      <c r="AN84" s="108">
        <f>AM84</f>
        <v>0</v>
      </c>
      <c r="AO84" s="108">
        <f t="shared" ref="AO84:AU85" si="28">AN84</f>
        <v>0</v>
      </c>
      <c r="AP84" s="108">
        <f t="shared" si="28"/>
        <v>0</v>
      </c>
      <c r="AQ84" s="108">
        <f t="shared" si="28"/>
        <v>0</v>
      </c>
      <c r="AR84" s="108">
        <f t="shared" si="28"/>
        <v>0</v>
      </c>
      <c r="AS84" s="108">
        <f t="shared" si="28"/>
        <v>0</v>
      </c>
      <c r="AT84" s="108">
        <f t="shared" si="28"/>
        <v>0</v>
      </c>
      <c r="AU84" s="108">
        <f t="shared" si="28"/>
        <v>0</v>
      </c>
    </row>
    <row r="85" spans="1:47" ht="13.75">
      <c r="B85" s="558" t="s">
        <v>1026</v>
      </c>
      <c r="D85" s="23" t="s">
        <v>1258</v>
      </c>
      <c r="E85" s="40">
        <f>财务基础数据!J220*目录!$D$6</f>
        <v>0</v>
      </c>
      <c r="F85" s="40">
        <f>财务基础数据!K220*目录!$D$6</f>
        <v>0</v>
      </c>
      <c r="G85" s="40">
        <f>财务基础数据!L220*目录!$D$6</f>
        <v>0</v>
      </c>
      <c r="H85" s="40">
        <f>财务基础数据!M220*目录!$D$6</f>
        <v>0</v>
      </c>
      <c r="I85" s="40">
        <f>财务基础数据!N220*目录!$D$6</f>
        <v>0</v>
      </c>
      <c r="J85" s="40">
        <f>财务基础数据!O220*目录!$D$6</f>
        <v>0</v>
      </c>
      <c r="K85" s="40">
        <f>财务基础数据!P220*目录!$D$6</f>
        <v>0</v>
      </c>
      <c r="L85" s="40">
        <f>财务基础数据!Q220*目录!$D$6</f>
        <v>0</v>
      </c>
      <c r="M85" s="40">
        <f>财务基础数据!R220*目录!$D$6</f>
        <v>0</v>
      </c>
      <c r="N85" s="40">
        <f>财务基础数据!S220*目录!$D$6</f>
        <v>0</v>
      </c>
      <c r="O85" s="40">
        <f>财务基础数据!T220*目录!$D$6</f>
        <v>0</v>
      </c>
      <c r="P85" s="40">
        <f>财务基础数据!U220*目录!$D$6</f>
        <v>0</v>
      </c>
      <c r="Q85" s="40">
        <f>财务基础数据!V220*目录!$D$6</f>
        <v>0</v>
      </c>
      <c r="R85" s="40">
        <f>财务基础数据!W220*目录!$D$6</f>
        <v>0</v>
      </c>
      <c r="S85" s="40">
        <f>财务基础数据!X220*目录!$D$6</f>
        <v>0</v>
      </c>
      <c r="T85" s="40">
        <f>财务基础数据!Y220*目录!$D$6</f>
        <v>0</v>
      </c>
      <c r="U85" s="40">
        <f>财务基础数据!Z220*目录!$D$6</f>
        <v>0</v>
      </c>
      <c r="V85" s="40">
        <f>财务基础数据!AA220*目录!$D$6</f>
        <v>0</v>
      </c>
      <c r="W85" s="40">
        <f>财务基础数据!AB220*目录!$D$6</f>
        <v>0</v>
      </c>
      <c r="X85" s="40">
        <f>财务基础数据!AC220*目录!$D$6</f>
        <v>0</v>
      </c>
      <c r="Y85" s="40">
        <f>财务基础数据!AD220*目录!$D$6</f>
        <v>0</v>
      </c>
      <c r="Z85" s="40">
        <f>财务基础数据!AE220*目录!$D$6</f>
        <v>0</v>
      </c>
      <c r="AA85" s="40">
        <f>财务基础数据!AF220*目录!$D$6</f>
        <v>0</v>
      </c>
      <c r="AB85" s="40">
        <f>财务基础数据!AG220*目录!$D$6</f>
        <v>0</v>
      </c>
      <c r="AC85" s="40">
        <f>财务基础数据!AH220*目录!$D$6</f>
        <v>0</v>
      </c>
      <c r="AD85" s="40">
        <f>财务基础数据!AI220*目录!$D$6</f>
        <v>0</v>
      </c>
      <c r="AE85" s="40">
        <f>财务基础数据!AJ220*目录!$D$6</f>
        <v>0</v>
      </c>
      <c r="AF85" s="40">
        <f>财务基础数据!AK220*目录!$D$6</f>
        <v>0</v>
      </c>
      <c r="AG85" s="40">
        <f>财务基础数据!AL220*目录!$D$6</f>
        <v>0</v>
      </c>
      <c r="AH85" s="491">
        <f>财务基础数据!AM220*目录!$D$6</f>
        <v>0</v>
      </c>
      <c r="AI85" s="491">
        <f>财务基础数据!AN220*目录!$D$6</f>
        <v>0</v>
      </c>
      <c r="AJ85" s="491">
        <f>财务基础数据!AO220*目录!$D$6</f>
        <v>0</v>
      </c>
      <c r="AK85" s="491">
        <f>财务基础数据!AP220*目录!$D$6</f>
        <v>0</v>
      </c>
      <c r="AL85" s="108">
        <f>AG85</f>
        <v>0</v>
      </c>
      <c r="AM85" s="108">
        <f>AL85</f>
        <v>0</v>
      </c>
      <c r="AN85" s="108">
        <f>AM85</f>
        <v>0</v>
      </c>
      <c r="AO85" s="108">
        <f t="shared" si="28"/>
        <v>0</v>
      </c>
      <c r="AP85" s="108">
        <f t="shared" si="28"/>
        <v>0</v>
      </c>
      <c r="AQ85" s="108">
        <f t="shared" si="28"/>
        <v>0</v>
      </c>
      <c r="AR85" s="108">
        <f t="shared" si="28"/>
        <v>0</v>
      </c>
      <c r="AS85" s="108">
        <f t="shared" si="28"/>
        <v>0</v>
      </c>
      <c r="AT85" s="108">
        <f t="shared" si="28"/>
        <v>0</v>
      </c>
      <c r="AU85" s="108">
        <f t="shared" si="28"/>
        <v>0</v>
      </c>
    </row>
    <row r="86" spans="1:47" ht="14.15">
      <c r="B86" s="42" t="s">
        <v>49</v>
      </c>
      <c r="D86" s="67"/>
      <c r="E86" s="40">
        <f>财务基础数据!J206*目录!$D$6</f>
        <v>0</v>
      </c>
      <c r="F86" s="40">
        <f>财务基础数据!K206*目录!$D$6</f>
        <v>0</v>
      </c>
      <c r="G86" s="40">
        <f>财务基础数据!L206*目录!$D$6</f>
        <v>0</v>
      </c>
      <c r="H86" s="40">
        <f>财务基础数据!M206*目录!$D$6</f>
        <v>0</v>
      </c>
      <c r="I86" s="40">
        <f>财务基础数据!N206*目录!$D$6</f>
        <v>0</v>
      </c>
      <c r="J86" s="40">
        <f>财务基础数据!O206*目录!$D$6</f>
        <v>0</v>
      </c>
      <c r="K86" s="40">
        <f>财务基础数据!P206*目录!$D$6</f>
        <v>0</v>
      </c>
      <c r="L86" s="40">
        <f>财务基础数据!Q206*目录!$D$6</f>
        <v>0</v>
      </c>
      <c r="M86" s="40">
        <f>财务基础数据!R206*目录!$D$6</f>
        <v>0</v>
      </c>
      <c r="N86" s="40">
        <f>财务基础数据!S206*目录!$D$6</f>
        <v>0</v>
      </c>
      <c r="O86" s="40">
        <f>财务基础数据!T206*目录!$D$6</f>
        <v>0</v>
      </c>
      <c r="P86" s="40">
        <f>财务基础数据!U206*目录!$D$6</f>
        <v>0</v>
      </c>
      <c r="Q86" s="40">
        <f>财务基础数据!V206*目录!$D$6</f>
        <v>0</v>
      </c>
      <c r="R86" s="40">
        <f>财务基础数据!W206*目录!$D$6</f>
        <v>0</v>
      </c>
      <c r="S86" s="40">
        <f>财务基础数据!X206*目录!$D$6</f>
        <v>0</v>
      </c>
      <c r="T86" s="40">
        <f>财务基础数据!Y206*目录!$D$6</f>
        <v>0</v>
      </c>
      <c r="U86" s="40">
        <f>财务基础数据!Z206*目录!$D$6</f>
        <v>0</v>
      </c>
      <c r="V86" s="40">
        <f>财务基础数据!AA206*目录!$D$6</f>
        <v>0</v>
      </c>
      <c r="W86" s="40">
        <f>财务基础数据!AB206*目录!$D$6</f>
        <v>0</v>
      </c>
      <c r="X86" s="40">
        <f>财务基础数据!AC206*目录!$D$6</f>
        <v>0</v>
      </c>
      <c r="Y86" s="40">
        <f>财务基础数据!AD206*目录!$D$6</f>
        <v>0</v>
      </c>
      <c r="Z86" s="40">
        <f>财务基础数据!AE206*目录!$D$6</f>
        <v>0</v>
      </c>
      <c r="AA86" s="40">
        <f>财务基础数据!AF206*目录!$D$6</f>
        <v>0</v>
      </c>
      <c r="AB86" s="40">
        <f>财务基础数据!AG206*目录!$D$6</f>
        <v>0</v>
      </c>
      <c r="AC86" s="40">
        <f>财务基础数据!AH206*目录!$D$6</f>
        <v>0</v>
      </c>
      <c r="AD86" s="40">
        <f>财务基础数据!AI206*目录!$D$6</f>
        <v>0</v>
      </c>
      <c r="AE86" s="40">
        <f>财务基础数据!AJ206*目录!$D$6</f>
        <v>0</v>
      </c>
      <c r="AF86" s="40">
        <f>财务基础数据!AK206*目录!$D$6</f>
        <v>0</v>
      </c>
      <c r="AG86" s="40">
        <f>财务基础数据!AL206*目录!$D$6</f>
        <v>0</v>
      </c>
      <c r="AH86" s="491">
        <f>财务基础数据!AM206*目录!$D$6</f>
        <v>0</v>
      </c>
      <c r="AI86" s="491">
        <f>财务基础数据!AN206*目录!$D$6</f>
        <v>0</v>
      </c>
      <c r="AJ86" s="491">
        <f>财务基础数据!AO206*目录!$D$6</f>
        <v>0</v>
      </c>
      <c r="AK86" s="491">
        <f>财务基础数据!AP206*目录!$D$6</f>
        <v>0</v>
      </c>
      <c r="AL86" s="489">
        <f>IF(利润表!AL84&gt;=0,利润表!AL84*15%+资产负债表!AG86,资产负债表!AG86)</f>
        <v>0</v>
      </c>
      <c r="AM86" s="489">
        <f>IF(利润表!AM84&gt;=0,利润表!AM84*15%+资产负债表!AL86,资产负债表!AL86)</f>
        <v>0</v>
      </c>
      <c r="AN86" s="489">
        <f>IF(利润表!AN84&gt;=0,利润表!AN84*15%+资产负债表!AM86,资产负债表!AM86)</f>
        <v>0</v>
      </c>
      <c r="AO86" s="489">
        <f>IF(利润表!AO84&gt;=0,利润表!AO84*15%+资产负债表!AN86,资产负债表!AN86)</f>
        <v>0</v>
      </c>
      <c r="AP86" s="489">
        <f>IF(利润表!AP84&gt;=0,利润表!AP84*15%+资产负债表!AO86,资产负债表!AO86)</f>
        <v>0</v>
      </c>
      <c r="AQ86" s="489">
        <f>IF(利润表!AQ84&gt;=0,利润表!AQ84*15%+资产负债表!AP86,资产负债表!AP86)</f>
        <v>0</v>
      </c>
      <c r="AR86" s="489">
        <f>IF(利润表!AR84&gt;=0,利润表!AR84*15%+资产负债表!AQ86,资产负债表!AQ86)</f>
        <v>0</v>
      </c>
      <c r="AS86" s="489">
        <f>IF(利润表!AS84&gt;=0,利润表!AS84*15%+资产负债表!AR86,资产负债表!AR86)</f>
        <v>0</v>
      </c>
      <c r="AT86" s="489">
        <f>IF(利润表!AT84&gt;=0,利润表!AT84*15%+资产负债表!AS86,资产负债表!AS86)</f>
        <v>0</v>
      </c>
      <c r="AU86" s="489">
        <f>IF(利润表!AU84&gt;=0,利润表!AU84*15%+资产负债表!AT86,资产负债表!AT86)</f>
        <v>0</v>
      </c>
    </row>
    <row r="87" spans="1:47" ht="14.15">
      <c r="A87" s="39"/>
      <c r="B87" s="42" t="s">
        <v>50</v>
      </c>
      <c r="C87" s="39"/>
      <c r="D87" s="67"/>
      <c r="E87" s="40">
        <f>财务基础数据!J209*目录!$D$6</f>
        <v>0</v>
      </c>
      <c r="F87" s="40">
        <f>(财务基础数据!K209+财务基础数据!K212)*目录!$D$6</f>
        <v>0</v>
      </c>
      <c r="G87" s="40">
        <f>(财务基础数据!L209+财务基础数据!L212)*目录!$D$6</f>
        <v>0</v>
      </c>
      <c r="H87" s="40">
        <f>(财务基础数据!M209+财务基础数据!M212)*目录!$D$6</f>
        <v>0</v>
      </c>
      <c r="I87" s="40">
        <f>(财务基础数据!N209+财务基础数据!N212)*目录!$D$6</f>
        <v>0</v>
      </c>
      <c r="J87" s="40">
        <f>(财务基础数据!O209+财务基础数据!O212)*目录!$D$6</f>
        <v>0</v>
      </c>
      <c r="K87" s="40">
        <f>(财务基础数据!P209+财务基础数据!P212)*目录!$D$6</f>
        <v>0</v>
      </c>
      <c r="L87" s="40">
        <f>(财务基础数据!Q209+财务基础数据!Q212)*目录!$D$6</f>
        <v>0</v>
      </c>
      <c r="M87" s="40">
        <f>(财务基础数据!R209+财务基础数据!R212)*目录!$D$6</f>
        <v>0</v>
      </c>
      <c r="N87" s="40">
        <f>(财务基础数据!S209+财务基础数据!S212)*目录!$D$6</f>
        <v>0</v>
      </c>
      <c r="O87" s="40">
        <f>(财务基础数据!T209+财务基础数据!T212)*目录!$D$6</f>
        <v>0</v>
      </c>
      <c r="P87" s="40">
        <f>(财务基础数据!U209+财务基础数据!U212)*目录!$D$6</f>
        <v>0</v>
      </c>
      <c r="Q87" s="40">
        <f>(财务基础数据!V209+财务基础数据!V212)*目录!$D$6</f>
        <v>0</v>
      </c>
      <c r="R87" s="40">
        <f>(财务基础数据!W209+财务基础数据!W212)*目录!$D$6</f>
        <v>0</v>
      </c>
      <c r="S87" s="40">
        <f>(财务基础数据!X209+财务基础数据!X212)*目录!$D$6</f>
        <v>0</v>
      </c>
      <c r="T87" s="40">
        <f>(财务基础数据!Y209+财务基础数据!Y212)*目录!$D$6</f>
        <v>0</v>
      </c>
      <c r="U87" s="40">
        <f>(财务基础数据!Z209+财务基础数据!Z212)*目录!$D$6</f>
        <v>0</v>
      </c>
      <c r="V87" s="40">
        <f>(财务基础数据!AA209+财务基础数据!AA212)*目录!$D$6</f>
        <v>0</v>
      </c>
      <c r="W87" s="40">
        <f>(财务基础数据!AB209+财务基础数据!AB212)*目录!$D$6</f>
        <v>0</v>
      </c>
      <c r="X87" s="40">
        <f>(财务基础数据!AC209+财务基础数据!AC212)*目录!$D$6</f>
        <v>0</v>
      </c>
      <c r="Y87" s="40">
        <f>(财务基础数据!AD209+财务基础数据!AD212)*目录!$D$6</f>
        <v>0</v>
      </c>
      <c r="Z87" s="40">
        <f>(财务基础数据!AE209+财务基础数据!AE212)*目录!$D$6</f>
        <v>0</v>
      </c>
      <c r="AA87" s="40">
        <f>(财务基础数据!AF209+财务基础数据!AF212)*目录!$D$6</f>
        <v>0</v>
      </c>
      <c r="AB87" s="40">
        <f>(财务基础数据!AG209+财务基础数据!AG212)*目录!$D$6</f>
        <v>0</v>
      </c>
      <c r="AC87" s="40">
        <f>(财务基础数据!AH209+财务基础数据!AH212)*目录!$D$6</f>
        <v>0</v>
      </c>
      <c r="AD87" s="40">
        <f>(财务基础数据!AI209+财务基础数据!AI212)*目录!$D$6</f>
        <v>0</v>
      </c>
      <c r="AE87" s="40">
        <f>(财务基础数据!AJ209+财务基础数据!AJ212)*目录!$D$6</f>
        <v>0</v>
      </c>
      <c r="AF87" s="40">
        <f>(财务基础数据!AK209+财务基础数据!AK212)*目录!$D$6</f>
        <v>0</v>
      </c>
      <c r="AG87" s="40">
        <f>(财务基础数据!AL209+财务基础数据!AL212)*目录!$D$6</f>
        <v>0</v>
      </c>
      <c r="AH87" s="491">
        <f>(财务基础数据!AM209+财务基础数据!AM212)*目录!$D$6</f>
        <v>0</v>
      </c>
      <c r="AI87" s="491">
        <f>(财务基础数据!AN209+财务基础数据!AN212)*目录!$D$6</f>
        <v>0</v>
      </c>
      <c r="AJ87" s="491">
        <f>(财务基础数据!AO209+财务基础数据!AO212)*目录!$D$6</f>
        <v>0</v>
      </c>
      <c r="AK87" s="491">
        <f>(财务基础数据!AP209+财务基础数据!AP212)*目录!$D$6</f>
        <v>0</v>
      </c>
      <c r="AL87" s="489">
        <f>IF(利润表!AL84&gt;=0,AG87+利润表!AL84*0.85-资产预测!P217+现金流量表!AL81-销售预测!V47+资产预测!P276+资产预测!P126+资产预测!P127,AG87+利润表!AL84-资产预测!P217+现金流量表!AL81-销售预测!V47+资产预测!P276+资产预测!P126+资产预测!P127)</f>
        <v>0</v>
      </c>
      <c r="AM87" s="489">
        <f>IF(利润表!AM84&gt;=0,AL87+利润表!AM84*0.85-资产预测!Q217+现金流量表!AM81-销售预测!W47+资产预测!Q276+资产预测!Q126+资产预测!Q127,AL87+利润表!AM84-资产预测!Q217+现金流量表!AM81-销售预测!W47+资产预测!Q276+资产预测!Q126+资产预测!Q127)</f>
        <v>0</v>
      </c>
      <c r="AN87" s="489">
        <f>IF(利润表!AN84&gt;=0,AM87+利润表!AN84*0.85-资产预测!R217+现金流量表!AN81-销售预测!X47+资产预测!R276+资产预测!R126+资产预测!R127,AM87+利润表!AN84-资产预测!R217+现金流量表!AN81-销售预测!X47+资产预测!R276+资产预测!R126+资产预测!R127)</f>
        <v>0</v>
      </c>
      <c r="AO87" s="489">
        <f>IF(利润表!AO84&gt;=0,AN87+利润表!AO84*0.85-资产预测!S217+现金流量表!AO81-销售预测!Y47+资产预测!S276+资产预测!S126+资产预测!S127,AN87+利润表!AO84-资产预测!S217+现金流量表!AO81-销售预测!Y47+资产预测!S276+资产预测!S126+资产预测!S127)</f>
        <v>0</v>
      </c>
      <c r="AP87" s="489">
        <f>IF(利润表!AP84&gt;=0,AO87+利润表!AP84*0.85-资产预测!T217+现金流量表!AP81-销售预测!Z47+资产预测!T276+资产预测!T126+资产预测!T127,AO87+利润表!AP84-资产预测!T217+现金流量表!AP81-销售预测!Z47+资产预测!T276+资产预测!T126+资产预测!T127)</f>
        <v>0</v>
      </c>
      <c r="AQ87" s="489">
        <f>IF(利润表!AQ84&gt;=0,AP87+利润表!AQ84*0.85-资产预测!U217+现金流量表!AQ81-销售预测!AA47+资产预测!U276+资产预测!U126+资产预测!U127,AP87+利润表!AQ84-资产预测!U217+现金流量表!AQ81-销售预测!AA47+资产预测!U276+资产预测!U126+资产预测!U127)</f>
        <v>0</v>
      </c>
      <c r="AR87" s="489">
        <f>IF(利润表!AR84&gt;=0,AQ87+利润表!AR84*0.85-资产预测!V217+现金流量表!AR81-销售预测!AB47+资产预测!V276+资产预测!V126+资产预测!V127,AQ87+利润表!AR84-资产预测!V217+现金流量表!AR81-销售预测!AB47+资产预测!V276+资产预测!V126+资产预测!V127)</f>
        <v>0</v>
      </c>
      <c r="AS87" s="489">
        <f>IF(利润表!AS84&gt;=0,AR87+利润表!AS84*0.85-资产预测!W217+现金流量表!AS81-销售预测!AC47+资产预测!W276+资产预测!W126+资产预测!W127,AR87+利润表!AS84-资产预测!W217+现金流量表!AS81-销售预测!AC47+资产预测!W276+资产预测!W126+资产预测!W127)</f>
        <v>0</v>
      </c>
      <c r="AT87" s="489">
        <f>IF(利润表!AT84&gt;=0,AS87+利润表!AT84*0.85-资产预测!X217+现金流量表!AT81-销售预测!AD47+资产预测!X276+资产预测!X126+资产预测!X127,AS87+利润表!AT84-资产预测!X217+现金流量表!AT81-销售预测!AD47+资产预测!X276+资产预测!X126+资产预测!X127)</f>
        <v>0</v>
      </c>
      <c r="AU87" s="489">
        <f>IF(利润表!AU84&gt;=0,AT87+利润表!AU84*0.85-资产预测!Y217+现金流量表!AU81-销售预测!AE47+资产预测!Y276+资产预测!Y126+资产预测!Y127,AT87+利润表!AU84-资产预测!Y217+现金流量表!AU81-销售预测!AE47+资产预测!Y276+资产预测!Y126+资产预测!Y127)</f>
        <v>0</v>
      </c>
    </row>
    <row r="88" spans="1:47" ht="14.15">
      <c r="A88" s="39"/>
      <c r="B88" s="261" t="s">
        <v>51</v>
      </c>
      <c r="C88" s="39"/>
      <c r="D88" s="23" t="s">
        <v>1258</v>
      </c>
      <c r="E88" s="40">
        <f>财务基础数据!J210*目录!$D$6</f>
        <v>0</v>
      </c>
      <c r="F88" s="40">
        <f>财务基础数据!K210*目录!$D$6</f>
        <v>0</v>
      </c>
      <c r="G88" s="40">
        <f>财务基础数据!L210*目录!$D$6</f>
        <v>0</v>
      </c>
      <c r="H88" s="40">
        <f>财务基础数据!M210*目录!$D$6</f>
        <v>0</v>
      </c>
      <c r="I88" s="40">
        <f>财务基础数据!N210*目录!$D$6</f>
        <v>0</v>
      </c>
      <c r="J88" s="40">
        <f>财务基础数据!O210*目录!$D$6</f>
        <v>0</v>
      </c>
      <c r="K88" s="40">
        <f>财务基础数据!P210*目录!$D$6</f>
        <v>0</v>
      </c>
      <c r="L88" s="40">
        <f>财务基础数据!Q210*目录!$D$6</f>
        <v>0</v>
      </c>
      <c r="M88" s="40">
        <f>财务基础数据!R210*目录!$D$6</f>
        <v>0</v>
      </c>
      <c r="N88" s="40">
        <f>财务基础数据!S210*目录!$D$6</f>
        <v>0</v>
      </c>
      <c r="O88" s="40">
        <f>财务基础数据!T210*目录!$D$6</f>
        <v>0</v>
      </c>
      <c r="P88" s="40">
        <f>财务基础数据!U210*目录!$D$6</f>
        <v>0</v>
      </c>
      <c r="Q88" s="40">
        <f>财务基础数据!V210*目录!$D$6</f>
        <v>0</v>
      </c>
      <c r="R88" s="40">
        <f>财务基础数据!W210*目录!$D$6</f>
        <v>0</v>
      </c>
      <c r="S88" s="40">
        <f>财务基础数据!X210*目录!$D$6</f>
        <v>0</v>
      </c>
      <c r="T88" s="40">
        <f>财务基础数据!Y210*目录!$D$6</f>
        <v>0</v>
      </c>
      <c r="U88" s="40">
        <f>财务基础数据!Z210*目录!$D$6</f>
        <v>0</v>
      </c>
      <c r="V88" s="40">
        <f>财务基础数据!AA210*目录!$D$6</f>
        <v>0</v>
      </c>
      <c r="W88" s="40">
        <f>财务基础数据!AB210*目录!$D$6</f>
        <v>0</v>
      </c>
      <c r="X88" s="40">
        <f>财务基础数据!AC210*目录!$D$6</f>
        <v>0</v>
      </c>
      <c r="Y88" s="40">
        <f>财务基础数据!AD210*目录!$D$6</f>
        <v>0</v>
      </c>
      <c r="Z88" s="40">
        <f>财务基础数据!AE210*目录!$D$6</f>
        <v>0</v>
      </c>
      <c r="AA88" s="40">
        <f>财务基础数据!AF210*目录!$D$6</f>
        <v>0</v>
      </c>
      <c r="AB88" s="40">
        <f>财务基础数据!AG210*目录!$D$6</f>
        <v>0</v>
      </c>
      <c r="AC88" s="40">
        <f>财务基础数据!AH210*目录!$D$6</f>
        <v>0</v>
      </c>
      <c r="AD88" s="40">
        <f>财务基础数据!AI210*目录!$D$6</f>
        <v>0</v>
      </c>
      <c r="AE88" s="40">
        <f>财务基础数据!AJ210*目录!$D$6</f>
        <v>0</v>
      </c>
      <c r="AF88" s="40">
        <f>财务基础数据!AK210*目录!$D$6</f>
        <v>0</v>
      </c>
      <c r="AG88" s="40">
        <f>财务基础数据!AL210*目录!$D$6</f>
        <v>0</v>
      </c>
      <c r="AH88" s="491">
        <f>财务基础数据!AM210*目录!$D$6</f>
        <v>0</v>
      </c>
      <c r="AI88" s="491">
        <f>财务基础数据!AN210*目录!$D$6</f>
        <v>0</v>
      </c>
      <c r="AJ88" s="491">
        <f>财务基础数据!AO210*目录!$D$6</f>
        <v>0</v>
      </c>
      <c r="AK88" s="491">
        <f>财务基础数据!AP210*目录!$D$6</f>
        <v>0</v>
      </c>
      <c r="AL88" s="108">
        <f>AG88</f>
        <v>0</v>
      </c>
      <c r="AM88" s="108">
        <f>AL88</f>
        <v>0</v>
      </c>
      <c r="AN88" s="108">
        <f>AM88</f>
        <v>0</v>
      </c>
      <c r="AO88" s="108">
        <f t="shared" ref="AO88:AU88" si="29">AN88</f>
        <v>0</v>
      </c>
      <c r="AP88" s="108">
        <f t="shared" si="29"/>
        <v>0</v>
      </c>
      <c r="AQ88" s="108">
        <f t="shared" si="29"/>
        <v>0</v>
      </c>
      <c r="AR88" s="108">
        <f t="shared" si="29"/>
        <v>0</v>
      </c>
      <c r="AS88" s="108">
        <f t="shared" si="29"/>
        <v>0</v>
      </c>
      <c r="AT88" s="108">
        <f t="shared" si="29"/>
        <v>0</v>
      </c>
      <c r="AU88" s="108">
        <f t="shared" si="29"/>
        <v>0</v>
      </c>
    </row>
    <row r="89" spans="1:47" ht="14.15">
      <c r="A89" s="39"/>
      <c r="B89" s="276" t="s">
        <v>52</v>
      </c>
      <c r="C89" s="39"/>
      <c r="D89" s="67"/>
      <c r="E89" s="40">
        <f>SUM(E78:E79)+E82-E83+E84+E85+E86+E87+E88</f>
        <v>0</v>
      </c>
      <c r="F89" s="40">
        <f t="shared" ref="F89:AU89" si="30">SUM(F78:F79)+F82-F83+F84+F85+F86+F87+F88</f>
        <v>0</v>
      </c>
      <c r="G89" s="40">
        <f t="shared" si="30"/>
        <v>0</v>
      </c>
      <c r="H89" s="40">
        <f t="shared" si="30"/>
        <v>0</v>
      </c>
      <c r="I89" s="40">
        <f t="shared" si="30"/>
        <v>0</v>
      </c>
      <c r="J89" s="40">
        <f t="shared" si="30"/>
        <v>0</v>
      </c>
      <c r="K89" s="40">
        <f t="shared" si="30"/>
        <v>0</v>
      </c>
      <c r="L89" s="40">
        <f t="shared" si="30"/>
        <v>0</v>
      </c>
      <c r="M89" s="40">
        <f t="shared" si="30"/>
        <v>0</v>
      </c>
      <c r="N89" s="40">
        <f t="shared" si="30"/>
        <v>0</v>
      </c>
      <c r="O89" s="40">
        <f t="shared" si="30"/>
        <v>0</v>
      </c>
      <c r="P89" s="40">
        <f t="shared" si="30"/>
        <v>0</v>
      </c>
      <c r="Q89" s="40">
        <f t="shared" si="30"/>
        <v>0</v>
      </c>
      <c r="R89" s="40">
        <f t="shared" si="30"/>
        <v>0</v>
      </c>
      <c r="S89" s="40">
        <f t="shared" si="30"/>
        <v>0</v>
      </c>
      <c r="T89" s="40">
        <f t="shared" si="30"/>
        <v>0</v>
      </c>
      <c r="U89" s="40">
        <f t="shared" si="30"/>
        <v>0</v>
      </c>
      <c r="V89" s="40">
        <f t="shared" si="30"/>
        <v>0</v>
      </c>
      <c r="W89" s="40">
        <f t="shared" si="30"/>
        <v>0</v>
      </c>
      <c r="X89" s="40">
        <f t="shared" si="30"/>
        <v>0</v>
      </c>
      <c r="Y89" s="40">
        <f t="shared" si="30"/>
        <v>0</v>
      </c>
      <c r="Z89" s="40">
        <f t="shared" si="30"/>
        <v>0</v>
      </c>
      <c r="AA89" s="40">
        <f t="shared" si="30"/>
        <v>0</v>
      </c>
      <c r="AB89" s="40">
        <f t="shared" si="30"/>
        <v>0</v>
      </c>
      <c r="AC89" s="40">
        <f t="shared" si="30"/>
        <v>0</v>
      </c>
      <c r="AD89" s="40">
        <f t="shared" si="30"/>
        <v>0</v>
      </c>
      <c r="AE89" s="40">
        <f t="shared" si="30"/>
        <v>0</v>
      </c>
      <c r="AF89" s="40">
        <f t="shared" si="30"/>
        <v>0</v>
      </c>
      <c r="AG89" s="40">
        <f t="shared" si="30"/>
        <v>0</v>
      </c>
      <c r="AH89" s="491">
        <f t="shared" si="30"/>
        <v>0</v>
      </c>
      <c r="AI89" s="491">
        <f t="shared" si="30"/>
        <v>0</v>
      </c>
      <c r="AJ89" s="491">
        <f t="shared" si="30"/>
        <v>0</v>
      </c>
      <c r="AK89" s="491">
        <f t="shared" si="30"/>
        <v>0</v>
      </c>
      <c r="AL89" s="491">
        <f t="shared" si="30"/>
        <v>0</v>
      </c>
      <c r="AM89" s="491">
        <f t="shared" si="30"/>
        <v>0</v>
      </c>
      <c r="AN89" s="491">
        <f t="shared" si="30"/>
        <v>0</v>
      </c>
      <c r="AO89" s="491">
        <f t="shared" si="30"/>
        <v>0</v>
      </c>
      <c r="AP89" s="491">
        <f t="shared" si="30"/>
        <v>0</v>
      </c>
      <c r="AQ89" s="491">
        <f t="shared" si="30"/>
        <v>0</v>
      </c>
      <c r="AR89" s="491">
        <f t="shared" si="30"/>
        <v>0</v>
      </c>
      <c r="AS89" s="491">
        <f t="shared" si="30"/>
        <v>0</v>
      </c>
      <c r="AT89" s="491">
        <f t="shared" si="30"/>
        <v>0</v>
      </c>
      <c r="AU89" s="491">
        <f t="shared" si="30"/>
        <v>0</v>
      </c>
    </row>
    <row r="90" spans="1:47" ht="14.15">
      <c r="A90" s="39"/>
      <c r="B90" s="42"/>
      <c r="C90" s="39"/>
      <c r="D90" s="67"/>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89"/>
      <c r="AI90" s="489"/>
      <c r="AJ90" s="489"/>
      <c r="AK90" s="489"/>
      <c r="AL90" s="653"/>
      <c r="AM90" s="41"/>
      <c r="AN90" s="41"/>
      <c r="AO90" s="41"/>
      <c r="AP90" s="41"/>
      <c r="AQ90" s="41"/>
      <c r="AR90" s="41"/>
      <c r="AS90" s="41"/>
      <c r="AT90" s="41"/>
      <c r="AU90" s="41"/>
    </row>
    <row r="91" spans="1:47" ht="14.15">
      <c r="B91" s="42" t="s">
        <v>53</v>
      </c>
      <c r="D91" s="67"/>
      <c r="E91" s="40">
        <f>财务基础数据!J214*目录!$D$6</f>
        <v>0</v>
      </c>
      <c r="F91" s="40">
        <f>财务基础数据!K214*目录!$D$6</f>
        <v>0</v>
      </c>
      <c r="G91" s="40">
        <f>财务基础数据!L214*目录!$D$6</f>
        <v>0</v>
      </c>
      <c r="H91" s="40">
        <f>财务基础数据!M214*目录!$D$6</f>
        <v>0</v>
      </c>
      <c r="I91" s="40">
        <f>财务基础数据!N214*目录!$D$6</f>
        <v>0</v>
      </c>
      <c r="J91" s="40">
        <f>财务基础数据!O214*目录!$D$6</f>
        <v>0</v>
      </c>
      <c r="K91" s="40">
        <f>财务基础数据!P214*目录!$D$6</f>
        <v>0</v>
      </c>
      <c r="L91" s="40">
        <f>财务基础数据!Q214*目录!$D$6</f>
        <v>0</v>
      </c>
      <c r="M91" s="40">
        <f>财务基础数据!R214*目录!$D$6</f>
        <v>0</v>
      </c>
      <c r="N91" s="40">
        <f>财务基础数据!S214*目录!$D$6</f>
        <v>0</v>
      </c>
      <c r="O91" s="40">
        <f>财务基础数据!T214*目录!$D$6</f>
        <v>0</v>
      </c>
      <c r="P91" s="40">
        <f>财务基础数据!U214*目录!$D$6</f>
        <v>0</v>
      </c>
      <c r="Q91" s="40">
        <f>财务基础数据!V214*目录!$D$6</f>
        <v>0</v>
      </c>
      <c r="R91" s="40">
        <f>财务基础数据!W214*目录!$D$6</f>
        <v>0</v>
      </c>
      <c r="S91" s="40">
        <f>财务基础数据!X214*目录!$D$6</f>
        <v>0</v>
      </c>
      <c r="T91" s="40">
        <f>财务基础数据!Y214*目录!$D$6</f>
        <v>0</v>
      </c>
      <c r="U91" s="40">
        <f>财务基础数据!Z214*目录!$D$6</f>
        <v>0</v>
      </c>
      <c r="V91" s="40">
        <f>财务基础数据!AA214*目录!$D$6</f>
        <v>0</v>
      </c>
      <c r="W91" s="40">
        <f>财务基础数据!AB214*目录!$D$6</f>
        <v>0</v>
      </c>
      <c r="X91" s="40">
        <f>财务基础数据!AC214*目录!$D$6</f>
        <v>0</v>
      </c>
      <c r="Y91" s="40">
        <f>财务基础数据!AD214*目录!$D$6</f>
        <v>0</v>
      </c>
      <c r="Z91" s="40">
        <f>财务基础数据!AE214*目录!$D$6</f>
        <v>0</v>
      </c>
      <c r="AA91" s="40">
        <f>财务基础数据!AF214*目录!$D$6</f>
        <v>0</v>
      </c>
      <c r="AB91" s="40">
        <f>财务基础数据!AG214*目录!$D$6</f>
        <v>0</v>
      </c>
      <c r="AC91" s="40">
        <f>财务基础数据!AH214*目录!$D$6</f>
        <v>0</v>
      </c>
      <c r="AD91" s="40">
        <f>财务基础数据!AI214*目录!$D$6</f>
        <v>0</v>
      </c>
      <c r="AE91" s="40">
        <f>财务基础数据!AJ214*目录!$D$6</f>
        <v>0</v>
      </c>
      <c r="AF91" s="40">
        <f>财务基础数据!AK214*目录!$D$6</f>
        <v>0</v>
      </c>
      <c r="AG91" s="40">
        <f>财务基础数据!AL214*目录!$D$6</f>
        <v>0</v>
      </c>
      <c r="AH91" s="491">
        <f>财务基础数据!AM214*目录!$D$6</f>
        <v>0</v>
      </c>
      <c r="AI91" s="491">
        <f>财务基础数据!AN214*目录!$D$6</f>
        <v>0</v>
      </c>
      <c r="AJ91" s="491">
        <f>财务基础数据!AO214*目录!$D$6</f>
        <v>0</v>
      </c>
      <c r="AK91" s="491">
        <f>财务基础数据!AP214*目录!$D$6</f>
        <v>0</v>
      </c>
      <c r="AL91" s="489" t="str">
        <f>IF(ISERROR(AG91+利润表!AL81+销售预测!V47),"0",AG91+利润表!AL81+销售预测!V47)</f>
        <v>0</v>
      </c>
      <c r="AM91" s="489" t="str">
        <f>IF(ISERROR(AL91+利润表!AM81+销售预测!W47),"0",AL91+利润表!AM81+销售预测!W47)</f>
        <v>0</v>
      </c>
      <c r="AN91" s="489" t="str">
        <f>IF(ISERROR(AM91+利润表!AN81+销售预测!X47),"0",AM91+利润表!AN81+销售预测!X47)</f>
        <v>0</v>
      </c>
      <c r="AO91" s="489">
        <f>IF(ISERROR(AN91+利润表!AO81+销售预测!Y47),"0",AN91+利润表!AO81+销售预测!Y47)</f>
        <v>0</v>
      </c>
      <c r="AP91" s="489">
        <f>IF(ISERROR(AO91+利润表!AP81+销售预测!Z47),"0",AO91+利润表!AP81+销售预测!Z47)</f>
        <v>0</v>
      </c>
      <c r="AQ91" s="489">
        <f>IF(ISERROR(AP91+利润表!AQ81+销售预测!AA47),"0",AP91+利润表!AQ81+销售预测!AA47)</f>
        <v>0</v>
      </c>
      <c r="AR91" s="489">
        <f>IF(ISERROR(AQ91+利润表!AR81+销售预测!AB47),"0",AQ91+利润表!AR81+销售预测!AB47)</f>
        <v>0</v>
      </c>
      <c r="AS91" s="489">
        <f>IF(ISERROR(AR91+利润表!AS81+销售预测!AC47),"0",AR91+利润表!AS81+销售预测!AC47)</f>
        <v>0</v>
      </c>
      <c r="AT91" s="489">
        <f>IF(ISERROR(AS91+利润表!AT81+销售预测!AD47),"0",AS91+利润表!AT81+销售预测!AD47)</f>
        <v>0</v>
      </c>
      <c r="AU91" s="489">
        <f>IF(ISERROR(AT91+利润表!AU81+销售预测!AE47),"0",AT91+利润表!AU81+销售预测!AE47)</f>
        <v>0</v>
      </c>
    </row>
    <row r="92" spans="1:47" ht="13.75">
      <c r="A92" s="55"/>
      <c r="B92" s="43"/>
      <c r="C92" s="56"/>
      <c r="D92" s="281"/>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617"/>
      <c r="AI92" s="617"/>
      <c r="AJ92" s="617"/>
      <c r="AK92" s="617"/>
      <c r="AL92" s="45"/>
      <c r="AM92" s="45"/>
      <c r="AN92" s="45"/>
      <c r="AO92" s="45"/>
      <c r="AP92" s="45"/>
      <c r="AQ92" s="45"/>
      <c r="AR92" s="45"/>
      <c r="AS92" s="45"/>
      <c r="AT92" s="45"/>
      <c r="AU92" s="45"/>
    </row>
    <row r="93" spans="1:47" ht="14.15">
      <c r="B93" s="54" t="s">
        <v>54</v>
      </c>
      <c r="E93" s="46">
        <f t="shared" ref="E93:AU93" si="31">E89+E91</f>
        <v>0</v>
      </c>
      <c r="F93" s="46">
        <f t="shared" si="31"/>
        <v>0</v>
      </c>
      <c r="G93" s="46">
        <f t="shared" si="31"/>
        <v>0</v>
      </c>
      <c r="H93" s="46">
        <f t="shared" si="31"/>
        <v>0</v>
      </c>
      <c r="I93" s="46">
        <f t="shared" si="31"/>
        <v>0</v>
      </c>
      <c r="J93" s="46">
        <f t="shared" si="31"/>
        <v>0</v>
      </c>
      <c r="K93" s="46">
        <f t="shared" si="31"/>
        <v>0</v>
      </c>
      <c r="L93" s="46">
        <f t="shared" si="31"/>
        <v>0</v>
      </c>
      <c r="M93" s="46">
        <f t="shared" si="31"/>
        <v>0</v>
      </c>
      <c r="N93" s="46">
        <f t="shared" si="31"/>
        <v>0</v>
      </c>
      <c r="O93" s="46">
        <f t="shared" si="31"/>
        <v>0</v>
      </c>
      <c r="P93" s="46">
        <f t="shared" si="31"/>
        <v>0</v>
      </c>
      <c r="Q93" s="46">
        <f t="shared" si="31"/>
        <v>0</v>
      </c>
      <c r="R93" s="46">
        <f t="shared" si="31"/>
        <v>0</v>
      </c>
      <c r="S93" s="46">
        <f t="shared" si="31"/>
        <v>0</v>
      </c>
      <c r="T93" s="46">
        <f t="shared" si="31"/>
        <v>0</v>
      </c>
      <c r="U93" s="46">
        <f t="shared" si="31"/>
        <v>0</v>
      </c>
      <c r="V93" s="46">
        <f t="shared" si="31"/>
        <v>0</v>
      </c>
      <c r="W93" s="46">
        <f t="shared" si="31"/>
        <v>0</v>
      </c>
      <c r="X93" s="46">
        <f t="shared" si="31"/>
        <v>0</v>
      </c>
      <c r="Y93" s="46">
        <f t="shared" si="31"/>
        <v>0</v>
      </c>
      <c r="Z93" s="46">
        <f t="shared" si="31"/>
        <v>0</v>
      </c>
      <c r="AA93" s="46">
        <f t="shared" si="31"/>
        <v>0</v>
      </c>
      <c r="AB93" s="46">
        <f t="shared" si="31"/>
        <v>0</v>
      </c>
      <c r="AC93" s="46">
        <f t="shared" si="31"/>
        <v>0</v>
      </c>
      <c r="AD93" s="46">
        <f t="shared" si="31"/>
        <v>0</v>
      </c>
      <c r="AE93" s="46">
        <f t="shared" si="31"/>
        <v>0</v>
      </c>
      <c r="AF93" s="46">
        <f t="shared" si="31"/>
        <v>0</v>
      </c>
      <c r="AG93" s="46">
        <f t="shared" si="31"/>
        <v>0</v>
      </c>
      <c r="AH93" s="493">
        <f t="shared" si="31"/>
        <v>0</v>
      </c>
      <c r="AI93" s="493">
        <f t="shared" si="31"/>
        <v>0</v>
      </c>
      <c r="AJ93" s="493">
        <f t="shared" si="31"/>
        <v>0</v>
      </c>
      <c r="AK93" s="493">
        <f t="shared" si="31"/>
        <v>0</v>
      </c>
      <c r="AL93" s="46">
        <f t="shared" si="31"/>
        <v>0</v>
      </c>
      <c r="AM93" s="46">
        <f t="shared" si="31"/>
        <v>0</v>
      </c>
      <c r="AN93" s="46">
        <f t="shared" si="31"/>
        <v>0</v>
      </c>
      <c r="AO93" s="46">
        <f t="shared" si="31"/>
        <v>0</v>
      </c>
      <c r="AP93" s="46">
        <f t="shared" si="31"/>
        <v>0</v>
      </c>
      <c r="AQ93" s="46">
        <f t="shared" si="31"/>
        <v>0</v>
      </c>
      <c r="AR93" s="46">
        <f t="shared" si="31"/>
        <v>0</v>
      </c>
      <c r="AS93" s="46">
        <f t="shared" si="31"/>
        <v>0</v>
      </c>
      <c r="AT93" s="46">
        <f t="shared" si="31"/>
        <v>0</v>
      </c>
      <c r="AU93" s="46">
        <f t="shared" si="31"/>
        <v>0</v>
      </c>
    </row>
    <row r="94" spans="1:47" ht="14.15">
      <c r="B94" s="42"/>
      <c r="D94" s="67"/>
      <c r="E94" s="41"/>
      <c r="F94" s="41"/>
      <c r="G94" s="41"/>
      <c r="H94" s="41"/>
      <c r="I94" s="41"/>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89"/>
      <c r="AI94" s="489"/>
      <c r="AJ94" s="489"/>
      <c r="AK94" s="489"/>
      <c r="AL94" s="41"/>
      <c r="AM94" s="41"/>
      <c r="AN94" s="41"/>
      <c r="AO94" s="41"/>
      <c r="AP94" s="41"/>
      <c r="AQ94" s="41"/>
      <c r="AR94" s="41"/>
      <c r="AS94" s="41"/>
      <c r="AT94" s="41"/>
      <c r="AU94" s="41"/>
    </row>
    <row r="95" spans="1:47" ht="14.6" thickBot="1">
      <c r="A95" s="27"/>
      <c r="B95" s="268" t="s">
        <v>682</v>
      </c>
      <c r="C95" s="57"/>
      <c r="D95" s="283"/>
      <c r="E95" s="58">
        <f t="shared" ref="E95:AU95" si="32">E76+E93</f>
        <v>0</v>
      </c>
      <c r="F95" s="58">
        <f t="shared" si="32"/>
        <v>0</v>
      </c>
      <c r="G95" s="58">
        <f t="shared" si="32"/>
        <v>0</v>
      </c>
      <c r="H95" s="58">
        <f t="shared" si="32"/>
        <v>0</v>
      </c>
      <c r="I95" s="58">
        <f t="shared" si="32"/>
        <v>0</v>
      </c>
      <c r="J95" s="58">
        <f t="shared" si="32"/>
        <v>0</v>
      </c>
      <c r="K95" s="58">
        <f t="shared" si="32"/>
        <v>0</v>
      </c>
      <c r="L95" s="58">
        <f t="shared" si="32"/>
        <v>0</v>
      </c>
      <c r="M95" s="58">
        <f t="shared" si="32"/>
        <v>0</v>
      </c>
      <c r="N95" s="58">
        <f t="shared" si="32"/>
        <v>0</v>
      </c>
      <c r="O95" s="58">
        <f t="shared" si="32"/>
        <v>0</v>
      </c>
      <c r="P95" s="58">
        <f t="shared" si="32"/>
        <v>0</v>
      </c>
      <c r="Q95" s="58">
        <f t="shared" si="32"/>
        <v>0</v>
      </c>
      <c r="R95" s="58">
        <f t="shared" si="32"/>
        <v>0</v>
      </c>
      <c r="S95" s="58">
        <f t="shared" si="32"/>
        <v>0</v>
      </c>
      <c r="T95" s="58">
        <f t="shared" si="32"/>
        <v>0</v>
      </c>
      <c r="U95" s="58">
        <f t="shared" si="32"/>
        <v>0</v>
      </c>
      <c r="V95" s="58">
        <f t="shared" si="32"/>
        <v>0</v>
      </c>
      <c r="W95" s="58">
        <f t="shared" si="32"/>
        <v>0</v>
      </c>
      <c r="X95" s="58">
        <f t="shared" si="32"/>
        <v>0</v>
      </c>
      <c r="Y95" s="58">
        <f t="shared" si="32"/>
        <v>0</v>
      </c>
      <c r="Z95" s="58">
        <f t="shared" si="32"/>
        <v>0</v>
      </c>
      <c r="AA95" s="58">
        <f t="shared" si="32"/>
        <v>0</v>
      </c>
      <c r="AB95" s="58">
        <f t="shared" si="32"/>
        <v>0</v>
      </c>
      <c r="AC95" s="58">
        <f t="shared" si="32"/>
        <v>0</v>
      </c>
      <c r="AD95" s="58">
        <f t="shared" si="32"/>
        <v>0</v>
      </c>
      <c r="AE95" s="58">
        <f t="shared" si="32"/>
        <v>0</v>
      </c>
      <c r="AF95" s="58">
        <f t="shared" si="32"/>
        <v>0</v>
      </c>
      <c r="AG95" s="58">
        <f t="shared" si="32"/>
        <v>0</v>
      </c>
      <c r="AH95" s="619">
        <f t="shared" si="32"/>
        <v>0</v>
      </c>
      <c r="AI95" s="619">
        <f t="shared" si="32"/>
        <v>0</v>
      </c>
      <c r="AJ95" s="619">
        <f t="shared" si="32"/>
        <v>0</v>
      </c>
      <c r="AK95" s="619">
        <f t="shared" si="32"/>
        <v>0</v>
      </c>
      <c r="AL95" s="58">
        <f t="shared" si="32"/>
        <v>0</v>
      </c>
      <c r="AM95" s="58">
        <f t="shared" si="32"/>
        <v>0</v>
      </c>
      <c r="AN95" s="58">
        <f t="shared" si="32"/>
        <v>0</v>
      </c>
      <c r="AO95" s="58">
        <f t="shared" si="32"/>
        <v>0</v>
      </c>
      <c r="AP95" s="58">
        <f t="shared" si="32"/>
        <v>0</v>
      </c>
      <c r="AQ95" s="58">
        <f t="shared" si="32"/>
        <v>0</v>
      </c>
      <c r="AR95" s="58">
        <f t="shared" si="32"/>
        <v>0</v>
      </c>
      <c r="AS95" s="58">
        <f t="shared" si="32"/>
        <v>0</v>
      </c>
      <c r="AT95" s="58">
        <f t="shared" si="32"/>
        <v>0</v>
      </c>
      <c r="AU95" s="58">
        <f t="shared" si="32"/>
        <v>0</v>
      </c>
    </row>
    <row r="96" spans="1:47" ht="13.75" thickTop="1">
      <c r="E96" s="41"/>
      <c r="F96" s="41"/>
      <c r="G96" s="41"/>
      <c r="H96" s="41"/>
      <c r="I96" s="41"/>
      <c r="J96" s="41"/>
      <c r="K96" s="41"/>
      <c r="L96" s="41"/>
      <c r="M96" s="41"/>
      <c r="N96" s="41"/>
      <c r="O96" s="41"/>
      <c r="P96" s="41"/>
      <c r="Q96" s="41"/>
      <c r="R96" s="41"/>
      <c r="S96" s="41"/>
      <c r="T96" s="41"/>
      <c r="U96" s="41"/>
      <c r="V96" s="41"/>
      <c r="W96" s="41"/>
      <c r="X96" s="41"/>
      <c r="Y96" s="41"/>
      <c r="Z96" s="41"/>
      <c r="AA96" s="41"/>
      <c r="AB96" s="41"/>
      <c r="AC96" s="41"/>
      <c r="AD96" s="41"/>
      <c r="AE96" s="41"/>
      <c r="AF96" s="41"/>
      <c r="AG96" s="41"/>
      <c r="AH96" s="489"/>
      <c r="AI96" s="489"/>
      <c r="AJ96" s="489"/>
      <c r="AK96" s="489"/>
      <c r="AL96" s="41"/>
      <c r="AM96" s="41"/>
      <c r="AN96" s="41"/>
      <c r="AO96" s="41"/>
      <c r="AP96" s="41"/>
      <c r="AQ96" s="41"/>
      <c r="AR96" s="41"/>
      <c r="AS96" s="41"/>
      <c r="AT96" s="41"/>
      <c r="AU96" s="41"/>
    </row>
    <row r="97" spans="1:47" ht="13.75">
      <c r="B97" s="594" t="s">
        <v>1102</v>
      </c>
      <c r="D97" s="125"/>
      <c r="E97" s="60">
        <f t="shared" ref="E97:AU97" si="33">IF(ISERROR(E45-E95),"—",E45-E95)</f>
        <v>0</v>
      </c>
      <c r="F97" s="60">
        <f t="shared" si="33"/>
        <v>0</v>
      </c>
      <c r="G97" s="60">
        <f t="shared" si="33"/>
        <v>0</v>
      </c>
      <c r="H97" s="60">
        <f t="shared" si="33"/>
        <v>0</v>
      </c>
      <c r="I97" s="60">
        <f t="shared" si="33"/>
        <v>0</v>
      </c>
      <c r="J97" s="60">
        <f t="shared" si="33"/>
        <v>0</v>
      </c>
      <c r="K97" s="60">
        <f t="shared" si="33"/>
        <v>0</v>
      </c>
      <c r="L97" s="60">
        <f t="shared" si="33"/>
        <v>0</v>
      </c>
      <c r="M97" s="60">
        <f t="shared" si="33"/>
        <v>0</v>
      </c>
      <c r="N97" s="60">
        <f t="shared" si="33"/>
        <v>0</v>
      </c>
      <c r="O97" s="60">
        <f t="shared" si="33"/>
        <v>0</v>
      </c>
      <c r="P97" s="60">
        <f t="shared" si="33"/>
        <v>0</v>
      </c>
      <c r="Q97" s="60">
        <f t="shared" si="33"/>
        <v>0</v>
      </c>
      <c r="R97" s="60">
        <f t="shared" si="33"/>
        <v>0</v>
      </c>
      <c r="S97" s="60">
        <f t="shared" si="33"/>
        <v>0</v>
      </c>
      <c r="T97" s="60">
        <f t="shared" si="33"/>
        <v>0</v>
      </c>
      <c r="U97" s="60">
        <f t="shared" si="33"/>
        <v>0</v>
      </c>
      <c r="V97" s="60">
        <f t="shared" si="33"/>
        <v>0</v>
      </c>
      <c r="W97" s="60">
        <f t="shared" si="33"/>
        <v>0</v>
      </c>
      <c r="X97" s="60">
        <f t="shared" si="33"/>
        <v>0</v>
      </c>
      <c r="Y97" s="60">
        <f t="shared" si="33"/>
        <v>0</v>
      </c>
      <c r="Z97" s="60">
        <f t="shared" si="33"/>
        <v>0</v>
      </c>
      <c r="AA97" s="60">
        <f t="shared" si="33"/>
        <v>0</v>
      </c>
      <c r="AB97" s="60">
        <f t="shared" si="33"/>
        <v>0</v>
      </c>
      <c r="AC97" s="60">
        <f t="shared" si="33"/>
        <v>0</v>
      </c>
      <c r="AD97" s="60">
        <f t="shared" si="33"/>
        <v>0</v>
      </c>
      <c r="AE97" s="60">
        <f t="shared" si="33"/>
        <v>0</v>
      </c>
      <c r="AF97" s="60">
        <f t="shared" si="33"/>
        <v>0</v>
      </c>
      <c r="AG97" s="60">
        <f t="shared" si="33"/>
        <v>0</v>
      </c>
      <c r="AH97" s="494">
        <f t="shared" si="33"/>
        <v>0</v>
      </c>
      <c r="AI97" s="494">
        <f t="shared" si="33"/>
        <v>0</v>
      </c>
      <c r="AJ97" s="494">
        <f t="shared" si="33"/>
        <v>0</v>
      </c>
      <c r="AK97" s="494">
        <f t="shared" si="33"/>
        <v>0</v>
      </c>
      <c r="AL97" s="60">
        <f t="shared" si="33"/>
        <v>0</v>
      </c>
      <c r="AM97" s="60">
        <f t="shared" si="33"/>
        <v>0</v>
      </c>
      <c r="AN97" s="60">
        <f t="shared" si="33"/>
        <v>0</v>
      </c>
      <c r="AO97" s="60">
        <f t="shared" si="33"/>
        <v>0</v>
      </c>
      <c r="AP97" s="60">
        <f t="shared" si="33"/>
        <v>0</v>
      </c>
      <c r="AQ97" s="60">
        <f t="shared" si="33"/>
        <v>0</v>
      </c>
      <c r="AR97" s="60">
        <f t="shared" si="33"/>
        <v>0</v>
      </c>
      <c r="AS97" s="60">
        <f t="shared" si="33"/>
        <v>0</v>
      </c>
      <c r="AT97" s="60">
        <f t="shared" si="33"/>
        <v>0</v>
      </c>
      <c r="AU97" s="60">
        <f t="shared" si="33"/>
        <v>0</v>
      </c>
    </row>
    <row r="98" spans="1:47" s="260" customFormat="1" ht="13.75">
      <c r="A98" s="262"/>
      <c r="B98" s="669"/>
      <c r="C98" s="562"/>
      <c r="D98" s="670"/>
      <c r="E98" s="615"/>
      <c r="F98" s="615"/>
      <c r="G98" s="615"/>
      <c r="H98" s="615"/>
      <c r="I98" s="615"/>
      <c r="J98" s="615"/>
      <c r="K98" s="615"/>
      <c r="L98" s="615"/>
      <c r="M98" s="615"/>
      <c r="N98" s="615"/>
      <c r="O98" s="615"/>
      <c r="P98" s="615"/>
      <c r="Q98" s="615"/>
      <c r="R98" s="615"/>
      <c r="S98" s="615"/>
      <c r="T98" s="615"/>
      <c r="U98" s="615"/>
      <c r="V98" s="615"/>
      <c r="W98" s="615"/>
      <c r="X98" s="615"/>
      <c r="Y98" s="615"/>
      <c r="Z98" s="615"/>
      <c r="AA98" s="615"/>
      <c r="AB98" s="615"/>
      <c r="AC98" s="615"/>
      <c r="AD98" s="615"/>
      <c r="AE98" s="615"/>
      <c r="AF98" s="615"/>
      <c r="AG98" s="615"/>
      <c r="AH98" s="615"/>
      <c r="AI98" s="615"/>
      <c r="AJ98" s="615"/>
      <c r="AK98" s="615"/>
      <c r="AL98" s="615"/>
      <c r="AM98" s="615"/>
      <c r="AN98" s="615"/>
      <c r="AO98" s="615"/>
      <c r="AP98" s="615"/>
      <c r="AQ98" s="615"/>
      <c r="AR98" s="615"/>
      <c r="AS98" s="615"/>
      <c r="AT98" s="615"/>
      <c r="AU98" s="615"/>
    </row>
    <row r="99" spans="1:47" ht="13.75">
      <c r="B99" s="13" t="s">
        <v>56</v>
      </c>
      <c r="E99" s="41">
        <f t="shared" ref="E99:AU99" si="34">E21-E62</f>
        <v>0</v>
      </c>
      <c r="F99" s="41">
        <f t="shared" si="34"/>
        <v>0</v>
      </c>
      <c r="G99" s="41">
        <f t="shared" si="34"/>
        <v>0</v>
      </c>
      <c r="H99" s="41">
        <f t="shared" si="34"/>
        <v>0</v>
      </c>
      <c r="I99" s="41">
        <f t="shared" si="34"/>
        <v>0</v>
      </c>
      <c r="J99" s="41">
        <f t="shared" si="34"/>
        <v>0</v>
      </c>
      <c r="K99" s="41">
        <f t="shared" si="34"/>
        <v>0</v>
      </c>
      <c r="L99" s="41">
        <f t="shared" si="34"/>
        <v>0</v>
      </c>
      <c r="M99" s="41">
        <f t="shared" si="34"/>
        <v>0</v>
      </c>
      <c r="N99" s="41">
        <f t="shared" si="34"/>
        <v>0</v>
      </c>
      <c r="O99" s="41">
        <f t="shared" si="34"/>
        <v>0</v>
      </c>
      <c r="P99" s="41">
        <f t="shared" si="34"/>
        <v>0</v>
      </c>
      <c r="Q99" s="41">
        <f t="shared" si="34"/>
        <v>0</v>
      </c>
      <c r="R99" s="41">
        <f t="shared" si="34"/>
        <v>0</v>
      </c>
      <c r="S99" s="41">
        <f t="shared" si="34"/>
        <v>0</v>
      </c>
      <c r="T99" s="41">
        <f t="shared" si="34"/>
        <v>0</v>
      </c>
      <c r="U99" s="41">
        <f t="shared" si="34"/>
        <v>0</v>
      </c>
      <c r="V99" s="41">
        <f t="shared" si="34"/>
        <v>0</v>
      </c>
      <c r="W99" s="41">
        <f t="shared" si="34"/>
        <v>0</v>
      </c>
      <c r="X99" s="41">
        <f t="shared" si="34"/>
        <v>0</v>
      </c>
      <c r="Y99" s="41">
        <f t="shared" si="34"/>
        <v>0</v>
      </c>
      <c r="Z99" s="41">
        <f t="shared" si="34"/>
        <v>0</v>
      </c>
      <c r="AA99" s="41">
        <f t="shared" si="34"/>
        <v>0</v>
      </c>
      <c r="AB99" s="41">
        <f t="shared" si="34"/>
        <v>0</v>
      </c>
      <c r="AC99" s="41">
        <f t="shared" si="34"/>
        <v>0</v>
      </c>
      <c r="AD99" s="41">
        <f t="shared" si="34"/>
        <v>0</v>
      </c>
      <c r="AE99" s="41">
        <f t="shared" si="34"/>
        <v>0</v>
      </c>
      <c r="AF99" s="41">
        <f t="shared" si="34"/>
        <v>0</v>
      </c>
      <c r="AG99" s="41">
        <f t="shared" si="34"/>
        <v>0</v>
      </c>
      <c r="AH99" s="41">
        <f t="shared" si="34"/>
        <v>0</v>
      </c>
      <c r="AI99" s="41">
        <f t="shared" si="34"/>
        <v>0</v>
      </c>
      <c r="AJ99" s="41">
        <f t="shared" si="34"/>
        <v>0</v>
      </c>
      <c r="AK99" s="41">
        <f t="shared" si="34"/>
        <v>0</v>
      </c>
      <c r="AL99" s="41">
        <f t="shared" si="34"/>
        <v>0</v>
      </c>
      <c r="AM99" s="41">
        <f t="shared" si="34"/>
        <v>0</v>
      </c>
      <c r="AN99" s="41">
        <f t="shared" si="34"/>
        <v>0</v>
      </c>
      <c r="AO99" s="41">
        <f t="shared" si="34"/>
        <v>0</v>
      </c>
      <c r="AP99" s="41">
        <f t="shared" si="34"/>
        <v>0</v>
      </c>
      <c r="AQ99" s="41">
        <f t="shared" si="34"/>
        <v>0</v>
      </c>
      <c r="AR99" s="41">
        <f t="shared" si="34"/>
        <v>0</v>
      </c>
      <c r="AS99" s="41">
        <f t="shared" si="34"/>
        <v>0</v>
      </c>
      <c r="AT99" s="41">
        <f t="shared" si="34"/>
        <v>0</v>
      </c>
      <c r="AU99" s="41">
        <f t="shared" si="34"/>
        <v>0</v>
      </c>
    </row>
    <row r="100" spans="1:47" ht="13.75">
      <c r="B100" s="13" t="s">
        <v>57</v>
      </c>
      <c r="E100" s="61" t="str">
        <f t="shared" ref="E100:AU100" si="35">IF(ISERROR(E76/E45),"—",E76/E45)</f>
        <v>—</v>
      </c>
      <c r="F100" s="61" t="str">
        <f t="shared" si="35"/>
        <v>—</v>
      </c>
      <c r="G100" s="61" t="str">
        <f t="shared" si="35"/>
        <v>—</v>
      </c>
      <c r="H100" s="61" t="str">
        <f t="shared" si="35"/>
        <v>—</v>
      </c>
      <c r="I100" s="61" t="str">
        <f t="shared" si="35"/>
        <v>—</v>
      </c>
      <c r="J100" s="61" t="str">
        <f t="shared" si="35"/>
        <v>—</v>
      </c>
      <c r="K100" s="61" t="str">
        <f t="shared" si="35"/>
        <v>—</v>
      </c>
      <c r="L100" s="61" t="str">
        <f t="shared" si="35"/>
        <v>—</v>
      </c>
      <c r="M100" s="61" t="str">
        <f t="shared" si="35"/>
        <v>—</v>
      </c>
      <c r="N100" s="61" t="str">
        <f t="shared" si="35"/>
        <v>—</v>
      </c>
      <c r="O100" s="61" t="str">
        <f t="shared" si="35"/>
        <v>—</v>
      </c>
      <c r="P100" s="61" t="str">
        <f t="shared" si="35"/>
        <v>—</v>
      </c>
      <c r="Q100" s="61" t="str">
        <f t="shared" si="35"/>
        <v>—</v>
      </c>
      <c r="R100" s="61" t="str">
        <f t="shared" si="35"/>
        <v>—</v>
      </c>
      <c r="S100" s="61" t="str">
        <f t="shared" si="35"/>
        <v>—</v>
      </c>
      <c r="T100" s="61" t="str">
        <f t="shared" si="35"/>
        <v>—</v>
      </c>
      <c r="U100" s="61" t="str">
        <f t="shared" si="35"/>
        <v>—</v>
      </c>
      <c r="V100" s="61" t="str">
        <f t="shared" si="35"/>
        <v>—</v>
      </c>
      <c r="W100" s="61" t="str">
        <f t="shared" si="35"/>
        <v>—</v>
      </c>
      <c r="X100" s="61" t="str">
        <f t="shared" si="35"/>
        <v>—</v>
      </c>
      <c r="Y100" s="61" t="str">
        <f t="shared" si="35"/>
        <v>—</v>
      </c>
      <c r="Z100" s="61" t="str">
        <f t="shared" si="35"/>
        <v>—</v>
      </c>
      <c r="AA100" s="61" t="str">
        <f t="shared" si="35"/>
        <v>—</v>
      </c>
      <c r="AB100" s="61" t="str">
        <f t="shared" si="35"/>
        <v>—</v>
      </c>
      <c r="AC100" s="61" t="str">
        <f t="shared" si="35"/>
        <v>—</v>
      </c>
      <c r="AD100" s="61" t="str">
        <f t="shared" si="35"/>
        <v>—</v>
      </c>
      <c r="AE100" s="61" t="str">
        <f t="shared" si="35"/>
        <v>—</v>
      </c>
      <c r="AF100" s="61" t="str">
        <f t="shared" si="35"/>
        <v>—</v>
      </c>
      <c r="AG100" s="61" t="str">
        <f t="shared" si="35"/>
        <v>—</v>
      </c>
      <c r="AH100" s="61" t="str">
        <f t="shared" si="35"/>
        <v>—</v>
      </c>
      <c r="AI100" s="61" t="str">
        <f t="shared" si="35"/>
        <v>—</v>
      </c>
      <c r="AJ100" s="61" t="str">
        <f t="shared" si="35"/>
        <v>—</v>
      </c>
      <c r="AK100" s="61" t="str">
        <f t="shared" si="35"/>
        <v>—</v>
      </c>
      <c r="AL100" s="61" t="str">
        <f t="shared" si="35"/>
        <v>—</v>
      </c>
      <c r="AM100" s="61" t="str">
        <f t="shared" si="35"/>
        <v>—</v>
      </c>
      <c r="AN100" s="61" t="str">
        <f t="shared" si="35"/>
        <v>—</v>
      </c>
      <c r="AO100" s="61" t="str">
        <f t="shared" si="35"/>
        <v>—</v>
      </c>
      <c r="AP100" s="61" t="str">
        <f t="shared" si="35"/>
        <v>—</v>
      </c>
      <c r="AQ100" s="61" t="str">
        <f t="shared" si="35"/>
        <v>—</v>
      </c>
      <c r="AR100" s="61" t="str">
        <f t="shared" si="35"/>
        <v>—</v>
      </c>
      <c r="AS100" s="61" t="str">
        <f t="shared" si="35"/>
        <v>—</v>
      </c>
      <c r="AT100" s="61" t="str">
        <f t="shared" si="35"/>
        <v>—</v>
      </c>
      <c r="AU100" s="61" t="str">
        <f t="shared" si="35"/>
        <v>—</v>
      </c>
    </row>
    <row r="101" spans="1:47" s="27" customFormat="1" ht="13.75">
      <c r="A101" s="1"/>
      <c r="B101" s="495" t="s">
        <v>229</v>
      </c>
      <c r="C101" s="1"/>
      <c r="D101" s="106"/>
      <c r="E101" s="41">
        <f>E49+E60+E65+E66+E67</f>
        <v>0</v>
      </c>
      <c r="F101" s="41">
        <f t="shared" ref="F101:AU101" si="36">F49+F60+F65+F66+F67</f>
        <v>0</v>
      </c>
      <c r="G101" s="41">
        <f t="shared" si="36"/>
        <v>0</v>
      </c>
      <c r="H101" s="41">
        <f t="shared" si="36"/>
        <v>0</v>
      </c>
      <c r="I101" s="41">
        <f t="shared" si="36"/>
        <v>0</v>
      </c>
      <c r="J101" s="41">
        <f t="shared" si="36"/>
        <v>0</v>
      </c>
      <c r="K101" s="41">
        <f t="shared" si="36"/>
        <v>0</v>
      </c>
      <c r="L101" s="41">
        <f t="shared" si="36"/>
        <v>0</v>
      </c>
      <c r="M101" s="41">
        <f t="shared" si="36"/>
        <v>0</v>
      </c>
      <c r="N101" s="41">
        <f t="shared" si="36"/>
        <v>0</v>
      </c>
      <c r="O101" s="41">
        <f t="shared" si="36"/>
        <v>0</v>
      </c>
      <c r="P101" s="41">
        <f t="shared" si="36"/>
        <v>0</v>
      </c>
      <c r="Q101" s="41">
        <f t="shared" si="36"/>
        <v>0</v>
      </c>
      <c r="R101" s="41">
        <f t="shared" si="36"/>
        <v>0</v>
      </c>
      <c r="S101" s="41">
        <f t="shared" si="36"/>
        <v>0</v>
      </c>
      <c r="T101" s="41">
        <f t="shared" si="36"/>
        <v>0</v>
      </c>
      <c r="U101" s="41">
        <f t="shared" si="36"/>
        <v>0</v>
      </c>
      <c r="V101" s="41">
        <f t="shared" si="36"/>
        <v>0</v>
      </c>
      <c r="W101" s="41">
        <f t="shared" si="36"/>
        <v>0</v>
      </c>
      <c r="X101" s="41">
        <f t="shared" si="36"/>
        <v>0</v>
      </c>
      <c r="Y101" s="41">
        <f t="shared" si="36"/>
        <v>0</v>
      </c>
      <c r="Z101" s="41">
        <f t="shared" si="36"/>
        <v>0</v>
      </c>
      <c r="AA101" s="41">
        <f t="shared" si="36"/>
        <v>0</v>
      </c>
      <c r="AB101" s="41">
        <f t="shared" si="36"/>
        <v>0</v>
      </c>
      <c r="AC101" s="41">
        <f t="shared" si="36"/>
        <v>0</v>
      </c>
      <c r="AD101" s="41">
        <f t="shared" si="36"/>
        <v>0</v>
      </c>
      <c r="AE101" s="41">
        <f t="shared" si="36"/>
        <v>0</v>
      </c>
      <c r="AF101" s="41">
        <f t="shared" si="36"/>
        <v>0</v>
      </c>
      <c r="AG101" s="41">
        <f t="shared" si="36"/>
        <v>0</v>
      </c>
      <c r="AH101" s="41">
        <f t="shared" si="36"/>
        <v>0</v>
      </c>
      <c r="AI101" s="41">
        <f t="shared" si="36"/>
        <v>0</v>
      </c>
      <c r="AJ101" s="41">
        <f t="shared" si="36"/>
        <v>0</v>
      </c>
      <c r="AK101" s="41">
        <f t="shared" si="36"/>
        <v>0</v>
      </c>
      <c r="AL101" s="41">
        <f t="shared" si="36"/>
        <v>0</v>
      </c>
      <c r="AM101" s="41">
        <f t="shared" si="36"/>
        <v>0</v>
      </c>
      <c r="AN101" s="41">
        <f t="shared" si="36"/>
        <v>0</v>
      </c>
      <c r="AO101" s="41">
        <f t="shared" si="36"/>
        <v>0</v>
      </c>
      <c r="AP101" s="41">
        <f t="shared" si="36"/>
        <v>0</v>
      </c>
      <c r="AQ101" s="41">
        <f t="shared" si="36"/>
        <v>0</v>
      </c>
      <c r="AR101" s="41">
        <f t="shared" si="36"/>
        <v>0</v>
      </c>
      <c r="AS101" s="41">
        <f t="shared" si="36"/>
        <v>0</v>
      </c>
      <c r="AT101" s="41">
        <f t="shared" si="36"/>
        <v>0</v>
      </c>
      <c r="AU101" s="41">
        <f t="shared" si="36"/>
        <v>0</v>
      </c>
    </row>
    <row r="102" spans="1:47" s="27" customFormat="1" ht="13.75">
      <c r="A102" s="1"/>
      <c r="B102" s="495" t="s">
        <v>58</v>
      </c>
      <c r="C102" s="1"/>
      <c r="D102" s="106"/>
      <c r="E102" s="61" t="str">
        <f>IF(ISERROR(E101/E95),"—",E101/E95)</f>
        <v>—</v>
      </c>
      <c r="F102" s="61" t="str">
        <f t="shared" ref="F102:AU102" si="37">IF(ISERROR(F101/F95),"—",F101/F95)</f>
        <v>—</v>
      </c>
      <c r="G102" s="61" t="str">
        <f t="shared" si="37"/>
        <v>—</v>
      </c>
      <c r="H102" s="61" t="str">
        <f t="shared" si="37"/>
        <v>—</v>
      </c>
      <c r="I102" s="61" t="str">
        <f t="shared" si="37"/>
        <v>—</v>
      </c>
      <c r="J102" s="61" t="str">
        <f t="shared" si="37"/>
        <v>—</v>
      </c>
      <c r="K102" s="61" t="str">
        <f t="shared" si="37"/>
        <v>—</v>
      </c>
      <c r="L102" s="61" t="str">
        <f t="shared" si="37"/>
        <v>—</v>
      </c>
      <c r="M102" s="61" t="str">
        <f t="shared" si="37"/>
        <v>—</v>
      </c>
      <c r="N102" s="61" t="str">
        <f t="shared" si="37"/>
        <v>—</v>
      </c>
      <c r="O102" s="61" t="str">
        <f t="shared" si="37"/>
        <v>—</v>
      </c>
      <c r="P102" s="61" t="str">
        <f t="shared" si="37"/>
        <v>—</v>
      </c>
      <c r="Q102" s="61" t="str">
        <f t="shared" si="37"/>
        <v>—</v>
      </c>
      <c r="R102" s="61" t="str">
        <f t="shared" si="37"/>
        <v>—</v>
      </c>
      <c r="S102" s="61" t="str">
        <f t="shared" si="37"/>
        <v>—</v>
      </c>
      <c r="T102" s="61" t="str">
        <f t="shared" si="37"/>
        <v>—</v>
      </c>
      <c r="U102" s="61" t="str">
        <f t="shared" si="37"/>
        <v>—</v>
      </c>
      <c r="V102" s="61" t="str">
        <f t="shared" si="37"/>
        <v>—</v>
      </c>
      <c r="W102" s="61" t="str">
        <f t="shared" si="37"/>
        <v>—</v>
      </c>
      <c r="X102" s="61" t="str">
        <f t="shared" si="37"/>
        <v>—</v>
      </c>
      <c r="Y102" s="61" t="str">
        <f t="shared" si="37"/>
        <v>—</v>
      </c>
      <c r="Z102" s="61" t="str">
        <f t="shared" si="37"/>
        <v>—</v>
      </c>
      <c r="AA102" s="61" t="str">
        <f t="shared" si="37"/>
        <v>—</v>
      </c>
      <c r="AB102" s="61" t="str">
        <f t="shared" si="37"/>
        <v>—</v>
      </c>
      <c r="AC102" s="61" t="str">
        <f t="shared" si="37"/>
        <v>—</v>
      </c>
      <c r="AD102" s="61" t="str">
        <f t="shared" si="37"/>
        <v>—</v>
      </c>
      <c r="AE102" s="61" t="str">
        <f t="shared" si="37"/>
        <v>—</v>
      </c>
      <c r="AF102" s="61" t="str">
        <f t="shared" si="37"/>
        <v>—</v>
      </c>
      <c r="AG102" s="61" t="str">
        <f t="shared" si="37"/>
        <v>—</v>
      </c>
      <c r="AH102" s="61" t="str">
        <f t="shared" si="37"/>
        <v>—</v>
      </c>
      <c r="AI102" s="61" t="str">
        <f t="shared" si="37"/>
        <v>—</v>
      </c>
      <c r="AJ102" s="61" t="str">
        <f t="shared" si="37"/>
        <v>—</v>
      </c>
      <c r="AK102" s="61" t="str">
        <f t="shared" si="37"/>
        <v>—</v>
      </c>
      <c r="AL102" s="61" t="str">
        <f t="shared" si="37"/>
        <v>—</v>
      </c>
      <c r="AM102" s="61" t="str">
        <f t="shared" si="37"/>
        <v>—</v>
      </c>
      <c r="AN102" s="61" t="str">
        <f t="shared" si="37"/>
        <v>—</v>
      </c>
      <c r="AO102" s="61" t="str">
        <f t="shared" si="37"/>
        <v>—</v>
      </c>
      <c r="AP102" s="61" t="str">
        <f t="shared" si="37"/>
        <v>—</v>
      </c>
      <c r="AQ102" s="61" t="str">
        <f t="shared" si="37"/>
        <v>—</v>
      </c>
      <c r="AR102" s="61" t="str">
        <f t="shared" si="37"/>
        <v>—</v>
      </c>
      <c r="AS102" s="61" t="str">
        <f t="shared" si="37"/>
        <v>—</v>
      </c>
      <c r="AT102" s="61" t="str">
        <f t="shared" si="37"/>
        <v>—</v>
      </c>
      <c r="AU102" s="61" t="str">
        <f t="shared" si="37"/>
        <v>—</v>
      </c>
    </row>
    <row r="103" spans="1:47" ht="14.15" thickBot="1">
      <c r="B103" s="684" t="s">
        <v>683</v>
      </c>
      <c r="C103" s="62"/>
      <c r="D103" s="284"/>
      <c r="E103" s="63">
        <f>IF(ISERROR(E101+E93),"—",E101+E93)</f>
        <v>0</v>
      </c>
      <c r="F103" s="63">
        <f t="shared" ref="F103:AU103" si="38">IF(ISERROR(F101+F93),"—",F101+F93)</f>
        <v>0</v>
      </c>
      <c r="G103" s="63">
        <f t="shared" si="38"/>
        <v>0</v>
      </c>
      <c r="H103" s="63">
        <f t="shared" si="38"/>
        <v>0</v>
      </c>
      <c r="I103" s="63">
        <f t="shared" si="38"/>
        <v>0</v>
      </c>
      <c r="J103" s="63">
        <f t="shared" si="38"/>
        <v>0</v>
      </c>
      <c r="K103" s="63">
        <f t="shared" si="38"/>
        <v>0</v>
      </c>
      <c r="L103" s="63">
        <f t="shared" si="38"/>
        <v>0</v>
      </c>
      <c r="M103" s="63">
        <f t="shared" si="38"/>
        <v>0</v>
      </c>
      <c r="N103" s="63">
        <f t="shared" si="38"/>
        <v>0</v>
      </c>
      <c r="O103" s="63">
        <f t="shared" si="38"/>
        <v>0</v>
      </c>
      <c r="P103" s="63">
        <f t="shared" si="38"/>
        <v>0</v>
      </c>
      <c r="Q103" s="63">
        <f t="shared" si="38"/>
        <v>0</v>
      </c>
      <c r="R103" s="63">
        <f t="shared" si="38"/>
        <v>0</v>
      </c>
      <c r="S103" s="63">
        <f t="shared" si="38"/>
        <v>0</v>
      </c>
      <c r="T103" s="63">
        <f t="shared" si="38"/>
        <v>0</v>
      </c>
      <c r="U103" s="63">
        <f t="shared" si="38"/>
        <v>0</v>
      </c>
      <c r="V103" s="63">
        <f t="shared" si="38"/>
        <v>0</v>
      </c>
      <c r="W103" s="63">
        <f t="shared" si="38"/>
        <v>0</v>
      </c>
      <c r="X103" s="63">
        <f t="shared" si="38"/>
        <v>0</v>
      </c>
      <c r="Y103" s="63">
        <f t="shared" si="38"/>
        <v>0</v>
      </c>
      <c r="Z103" s="63">
        <f t="shared" si="38"/>
        <v>0</v>
      </c>
      <c r="AA103" s="63">
        <f t="shared" si="38"/>
        <v>0</v>
      </c>
      <c r="AB103" s="63">
        <f t="shared" si="38"/>
        <v>0</v>
      </c>
      <c r="AC103" s="63">
        <f t="shared" si="38"/>
        <v>0</v>
      </c>
      <c r="AD103" s="63">
        <f t="shared" si="38"/>
        <v>0</v>
      </c>
      <c r="AE103" s="63">
        <f t="shared" si="38"/>
        <v>0</v>
      </c>
      <c r="AF103" s="63">
        <f t="shared" si="38"/>
        <v>0</v>
      </c>
      <c r="AG103" s="63">
        <f t="shared" si="38"/>
        <v>0</v>
      </c>
      <c r="AH103" s="63">
        <f t="shared" si="38"/>
        <v>0</v>
      </c>
      <c r="AI103" s="63">
        <f t="shared" si="38"/>
        <v>0</v>
      </c>
      <c r="AJ103" s="63">
        <f t="shared" si="38"/>
        <v>0</v>
      </c>
      <c r="AK103" s="63">
        <f t="shared" si="38"/>
        <v>0</v>
      </c>
      <c r="AL103" s="63">
        <f t="shared" si="38"/>
        <v>0</v>
      </c>
      <c r="AM103" s="63">
        <f t="shared" si="38"/>
        <v>0</v>
      </c>
      <c r="AN103" s="63">
        <f t="shared" si="38"/>
        <v>0</v>
      </c>
      <c r="AO103" s="63">
        <f t="shared" si="38"/>
        <v>0</v>
      </c>
      <c r="AP103" s="63">
        <f t="shared" si="38"/>
        <v>0</v>
      </c>
      <c r="AQ103" s="63">
        <f t="shared" si="38"/>
        <v>0</v>
      </c>
      <c r="AR103" s="63">
        <f t="shared" si="38"/>
        <v>0</v>
      </c>
      <c r="AS103" s="63">
        <f t="shared" si="38"/>
        <v>0</v>
      </c>
      <c r="AT103" s="63">
        <f t="shared" si="38"/>
        <v>0</v>
      </c>
      <c r="AU103" s="63">
        <f t="shared" si="38"/>
        <v>0</v>
      </c>
    </row>
    <row r="104" spans="1:47" ht="14.15" thickTop="1">
      <c r="B104" s="6"/>
      <c r="C104" s="13"/>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463"/>
      <c r="AI104" s="463"/>
      <c r="AJ104" s="463"/>
      <c r="AK104" s="463"/>
      <c r="AL104" s="36"/>
      <c r="AM104" s="36"/>
      <c r="AN104" s="36"/>
      <c r="AO104" s="36"/>
      <c r="AP104" s="36"/>
      <c r="AQ104" s="36"/>
      <c r="AR104" s="36"/>
      <c r="AS104" s="36"/>
      <c r="AT104" s="36"/>
      <c r="AU104" s="36"/>
    </row>
    <row r="105" spans="1:47" ht="13.75">
      <c r="B105" s="13"/>
      <c r="E105" s="36"/>
      <c r="F105" s="36"/>
      <c r="G105" s="36"/>
      <c r="H105" s="36"/>
      <c r="I105" s="36"/>
      <c r="J105" s="36"/>
      <c r="K105" s="36"/>
      <c r="L105" s="36"/>
      <c r="M105" s="36"/>
      <c r="N105" s="36"/>
      <c r="O105" s="36"/>
      <c r="P105" s="463"/>
      <c r="Q105" s="36"/>
      <c r="R105" s="36"/>
      <c r="S105" s="36"/>
      <c r="T105" s="36"/>
      <c r="U105" s="36"/>
      <c r="V105" s="36"/>
      <c r="W105" s="36"/>
      <c r="X105" s="36"/>
      <c r="Y105" s="36"/>
      <c r="Z105" s="36"/>
      <c r="AA105" s="36"/>
      <c r="AB105" s="36"/>
      <c r="AC105" s="36"/>
      <c r="AD105" s="36"/>
      <c r="AE105" s="36"/>
      <c r="AF105" s="36"/>
      <c r="AG105" s="36"/>
      <c r="AH105" s="463"/>
      <c r="AI105" s="463"/>
      <c r="AJ105" s="463"/>
      <c r="AK105" s="463"/>
      <c r="AL105" s="36"/>
      <c r="AM105" s="36"/>
      <c r="AN105" s="36"/>
      <c r="AO105" s="36"/>
      <c r="AP105" s="36"/>
      <c r="AQ105" s="36"/>
      <c r="AR105" s="36"/>
      <c r="AS105" s="36"/>
      <c r="AT105" s="36"/>
      <c r="AU105" s="36"/>
    </row>
    <row r="106" spans="1:47" s="717" customFormat="1" ht="15">
      <c r="A106" s="709"/>
      <c r="B106" s="710" t="s">
        <v>1044</v>
      </c>
      <c r="C106" s="709"/>
      <c r="D106" s="711"/>
      <c r="E106" s="712"/>
      <c r="F106" s="712"/>
      <c r="G106" s="712"/>
      <c r="H106" s="712"/>
      <c r="I106" s="712"/>
      <c r="J106" s="712"/>
      <c r="K106" s="712"/>
      <c r="L106" s="712"/>
      <c r="M106" s="712"/>
      <c r="N106" s="712"/>
      <c r="O106" s="712"/>
      <c r="P106" s="713"/>
      <c r="Q106" s="712"/>
      <c r="R106" s="712"/>
      <c r="S106" s="712"/>
      <c r="T106" s="714"/>
      <c r="U106" s="714"/>
      <c r="V106" s="714"/>
      <c r="W106" s="714"/>
      <c r="X106" s="714"/>
      <c r="Y106" s="714"/>
      <c r="Z106" s="714"/>
      <c r="AA106" s="714"/>
      <c r="AB106" s="714"/>
      <c r="AC106" s="714"/>
      <c r="AD106" s="714"/>
      <c r="AE106" s="714"/>
      <c r="AF106" s="714"/>
      <c r="AG106" s="714"/>
      <c r="AH106" s="715"/>
      <c r="AI106" s="715"/>
      <c r="AJ106" s="715"/>
      <c r="AK106" s="715"/>
      <c r="AL106" s="716"/>
      <c r="AM106" s="716"/>
      <c r="AN106" s="716"/>
      <c r="AO106" s="716"/>
      <c r="AP106" s="716"/>
      <c r="AQ106" s="716"/>
      <c r="AR106" s="716"/>
      <c r="AS106" s="716"/>
      <c r="AT106" s="716"/>
      <c r="AU106" s="716"/>
    </row>
    <row r="107" spans="1:47" s="717" customFormat="1" ht="15">
      <c r="A107" s="709"/>
      <c r="B107" s="718" t="s">
        <v>1045</v>
      </c>
      <c r="C107" s="709"/>
      <c r="D107" s="711"/>
      <c r="E107" s="712"/>
      <c r="F107" s="712"/>
      <c r="G107" s="712"/>
      <c r="H107" s="712"/>
      <c r="I107" s="712"/>
      <c r="J107" s="712"/>
      <c r="K107" s="712"/>
      <c r="L107" s="712"/>
      <c r="M107" s="712"/>
      <c r="N107" s="712"/>
      <c r="O107" s="712"/>
      <c r="P107" s="713"/>
      <c r="Q107" s="712"/>
      <c r="R107" s="712"/>
      <c r="S107" s="712"/>
      <c r="T107" s="714"/>
      <c r="U107" s="714"/>
      <c r="V107" s="714"/>
      <c r="W107" s="714"/>
      <c r="X107" s="714"/>
      <c r="Y107" s="714"/>
      <c r="Z107" s="714"/>
      <c r="AA107" s="714"/>
      <c r="AB107" s="714"/>
      <c r="AC107" s="714"/>
      <c r="AD107" s="714"/>
      <c r="AE107" s="714"/>
      <c r="AF107" s="714"/>
      <c r="AG107" s="714"/>
      <c r="AH107" s="715"/>
      <c r="AI107" s="715"/>
      <c r="AJ107" s="715"/>
      <c r="AK107" s="715"/>
      <c r="AL107" s="714"/>
      <c r="AM107" s="714"/>
      <c r="AN107" s="714"/>
      <c r="AO107" s="714"/>
      <c r="AP107" s="714"/>
      <c r="AQ107" s="714"/>
      <c r="AR107" s="714"/>
      <c r="AS107" s="714"/>
      <c r="AT107" s="714"/>
      <c r="AU107" s="714"/>
    </row>
    <row r="108" spans="1:47" s="717" customFormat="1" ht="15">
      <c r="A108" s="709"/>
      <c r="B108" s="718" t="s">
        <v>1049</v>
      </c>
      <c r="C108" s="709"/>
      <c r="D108" s="711"/>
      <c r="E108" s="712"/>
      <c r="F108" s="712"/>
      <c r="G108" s="712"/>
      <c r="H108" s="712"/>
      <c r="I108" s="712"/>
      <c r="J108" s="712"/>
      <c r="K108" s="712"/>
      <c r="L108" s="712"/>
      <c r="M108" s="712"/>
      <c r="N108" s="712"/>
      <c r="O108" s="712"/>
      <c r="P108" s="713"/>
      <c r="Q108" s="712"/>
      <c r="R108" s="712"/>
      <c r="S108" s="712"/>
      <c r="T108" s="712"/>
      <c r="U108" s="712"/>
      <c r="V108" s="712"/>
      <c r="W108" s="712"/>
      <c r="X108" s="712"/>
      <c r="Y108" s="712"/>
      <c r="Z108" s="714"/>
      <c r="AA108" s="714"/>
      <c r="AB108" s="714"/>
      <c r="AC108" s="714"/>
      <c r="AD108" s="714"/>
      <c r="AE108" s="714"/>
      <c r="AF108" s="714"/>
      <c r="AG108" s="714"/>
      <c r="AH108" s="715"/>
      <c r="AI108" s="715"/>
      <c r="AJ108" s="715"/>
      <c r="AK108" s="715"/>
      <c r="AL108" s="714"/>
      <c r="AM108" s="714"/>
      <c r="AN108" s="714"/>
      <c r="AO108" s="714"/>
      <c r="AP108" s="714"/>
      <c r="AQ108" s="714"/>
      <c r="AR108" s="714"/>
      <c r="AS108" s="714"/>
      <c r="AT108" s="714"/>
      <c r="AU108" s="714"/>
    </row>
    <row r="109" spans="1:47" s="717" customFormat="1" ht="15">
      <c r="A109" s="709"/>
      <c r="B109" s="709" t="s">
        <v>1035</v>
      </c>
      <c r="C109" s="719"/>
      <c r="D109" s="711"/>
      <c r="E109" s="720"/>
      <c r="F109" s="720"/>
      <c r="G109" s="720"/>
      <c r="H109" s="720"/>
      <c r="I109" s="720"/>
      <c r="J109" s="720"/>
      <c r="K109" s="720"/>
      <c r="L109" s="720"/>
      <c r="M109" s="720"/>
      <c r="N109" s="720"/>
      <c r="O109" s="720"/>
      <c r="P109" s="721"/>
      <c r="Q109" s="720"/>
      <c r="R109" s="720"/>
      <c r="S109" s="709"/>
      <c r="AH109" s="722"/>
      <c r="AI109" s="722"/>
      <c r="AJ109" s="722"/>
      <c r="AK109" s="722"/>
    </row>
    <row r="110" spans="1:47" s="717" customFormat="1" ht="15">
      <c r="A110" s="709"/>
      <c r="B110" s="709" t="s">
        <v>1036</v>
      </c>
      <c r="C110" s="709"/>
      <c r="D110" s="711"/>
      <c r="E110" s="720"/>
      <c r="F110" s="720"/>
      <c r="G110" s="720"/>
      <c r="H110" s="720"/>
      <c r="I110" s="720"/>
      <c r="J110" s="720"/>
      <c r="K110" s="720"/>
      <c r="L110" s="720"/>
      <c r="M110" s="720"/>
      <c r="N110" s="720"/>
      <c r="O110" s="720"/>
      <c r="P110" s="721"/>
      <c r="Q110" s="720"/>
      <c r="R110" s="720"/>
      <c r="S110" s="709"/>
      <c r="AH110" s="722"/>
      <c r="AI110" s="722"/>
      <c r="AJ110" s="722"/>
      <c r="AK110" s="722"/>
      <c r="AL110" s="723"/>
    </row>
    <row r="111" spans="1:47" s="717" customFormat="1" ht="15">
      <c r="A111" s="709"/>
      <c r="B111" s="709" t="s">
        <v>1037</v>
      </c>
      <c r="C111" s="709"/>
      <c r="D111" s="711"/>
      <c r="E111" s="720"/>
      <c r="F111" s="720"/>
      <c r="G111" s="720"/>
      <c r="H111" s="720"/>
      <c r="I111" s="720"/>
      <c r="J111" s="720"/>
      <c r="K111" s="720"/>
      <c r="L111" s="720"/>
      <c r="M111" s="720"/>
      <c r="N111" s="720"/>
      <c r="O111" s="720"/>
      <c r="P111" s="721"/>
      <c r="Q111" s="720"/>
      <c r="R111" s="720"/>
      <c r="S111" s="709"/>
      <c r="AH111" s="722"/>
      <c r="AI111" s="722"/>
      <c r="AJ111" s="722"/>
      <c r="AK111" s="722"/>
    </row>
    <row r="112" spans="1:47" s="717" customFormat="1" ht="15">
      <c r="A112" s="709"/>
      <c r="B112" s="709" t="s">
        <v>1038</v>
      </c>
      <c r="C112" s="709"/>
      <c r="D112" s="711"/>
      <c r="E112" s="720"/>
      <c r="F112" s="720"/>
      <c r="G112" s="720"/>
      <c r="H112" s="720"/>
      <c r="I112" s="720"/>
      <c r="J112" s="720"/>
      <c r="K112" s="720"/>
      <c r="L112" s="720"/>
      <c r="M112" s="720"/>
      <c r="N112" s="720"/>
      <c r="O112" s="720"/>
      <c r="P112" s="721"/>
      <c r="Q112" s="720"/>
      <c r="R112" s="720"/>
      <c r="S112" s="709"/>
      <c r="AH112" s="722"/>
      <c r="AI112" s="722"/>
      <c r="AJ112" s="722"/>
      <c r="AK112" s="722"/>
    </row>
    <row r="113" spans="1:37" s="717" customFormat="1" ht="15">
      <c r="A113" s="709"/>
      <c r="B113" s="709" t="s">
        <v>1039</v>
      </c>
      <c r="C113" s="709"/>
      <c r="D113" s="711"/>
      <c r="E113" s="720"/>
      <c r="F113" s="720"/>
      <c r="G113" s="720"/>
      <c r="H113" s="720"/>
      <c r="I113" s="720"/>
      <c r="J113" s="720"/>
      <c r="K113" s="720"/>
      <c r="L113" s="720"/>
      <c r="M113" s="720"/>
      <c r="N113" s="720"/>
      <c r="O113" s="720"/>
      <c r="P113" s="721"/>
      <c r="Q113" s="720"/>
      <c r="R113" s="720"/>
      <c r="S113" s="709"/>
      <c r="AH113" s="722"/>
      <c r="AI113" s="722"/>
      <c r="AJ113" s="722"/>
      <c r="AK113" s="722"/>
    </row>
    <row r="114" spans="1:37" s="717" customFormat="1" ht="15">
      <c r="A114" s="709"/>
      <c r="B114" s="724" t="s">
        <v>1040</v>
      </c>
      <c r="C114" s="709"/>
      <c r="D114" s="711"/>
      <c r="E114" s="720"/>
      <c r="F114" s="720"/>
      <c r="G114" s="720"/>
      <c r="H114" s="720"/>
      <c r="I114" s="720"/>
      <c r="J114" s="720"/>
      <c r="K114" s="720"/>
      <c r="L114" s="720"/>
      <c r="M114" s="720"/>
      <c r="N114" s="720"/>
      <c r="O114" s="720"/>
      <c r="P114" s="721"/>
      <c r="Q114" s="720"/>
      <c r="R114" s="720"/>
      <c r="S114" s="709"/>
      <c r="AH114" s="722"/>
      <c r="AI114" s="722"/>
      <c r="AJ114" s="722"/>
      <c r="AK114" s="722"/>
    </row>
    <row r="115" spans="1:37" s="717" customFormat="1" ht="15">
      <c r="A115" s="709"/>
      <c r="B115" s="709" t="s">
        <v>1041</v>
      </c>
      <c r="C115" s="709"/>
      <c r="D115" s="711"/>
      <c r="E115" s="720"/>
      <c r="F115" s="720"/>
      <c r="G115" s="720"/>
      <c r="H115" s="720"/>
      <c r="I115" s="720"/>
      <c r="J115" s="720"/>
      <c r="K115" s="720"/>
      <c r="L115" s="720"/>
      <c r="M115" s="720"/>
      <c r="N115" s="720"/>
      <c r="O115" s="720"/>
      <c r="P115" s="721"/>
      <c r="Q115" s="720"/>
      <c r="R115" s="720"/>
      <c r="S115" s="709"/>
      <c r="AH115" s="722"/>
      <c r="AI115" s="722"/>
      <c r="AJ115" s="722"/>
      <c r="AK115" s="722"/>
    </row>
    <row r="116" spans="1:37" s="717" customFormat="1" ht="15">
      <c r="A116" s="709"/>
      <c r="B116" s="709" t="s">
        <v>1042</v>
      </c>
      <c r="C116" s="709"/>
      <c r="D116" s="711"/>
      <c r="E116" s="720"/>
      <c r="F116" s="720"/>
      <c r="G116" s="720"/>
      <c r="H116" s="720"/>
      <c r="I116" s="720"/>
      <c r="J116" s="720"/>
      <c r="K116" s="720"/>
      <c r="L116" s="720"/>
      <c r="M116" s="720"/>
      <c r="N116" s="720"/>
      <c r="O116" s="720"/>
      <c r="P116" s="721"/>
      <c r="Q116" s="720"/>
      <c r="R116" s="720"/>
      <c r="S116" s="709"/>
      <c r="AH116" s="722"/>
      <c r="AI116" s="722"/>
      <c r="AJ116" s="722"/>
      <c r="AK116" s="722"/>
    </row>
    <row r="117" spans="1:37" s="717" customFormat="1" ht="15">
      <c r="A117" s="709"/>
      <c r="B117" s="709" t="s">
        <v>1232</v>
      </c>
      <c r="C117" s="709"/>
      <c r="D117" s="711"/>
      <c r="E117" s="720"/>
      <c r="F117" s="720"/>
      <c r="G117" s="720"/>
      <c r="H117" s="720"/>
      <c r="I117" s="720"/>
      <c r="J117" s="720"/>
      <c r="K117" s="720"/>
      <c r="L117" s="720"/>
      <c r="M117" s="720"/>
      <c r="N117" s="720"/>
      <c r="O117" s="720"/>
      <c r="P117" s="720"/>
      <c r="Q117" s="720"/>
      <c r="R117" s="720"/>
      <c r="S117" s="709"/>
      <c r="AH117" s="722"/>
      <c r="AI117" s="722"/>
      <c r="AJ117" s="722"/>
      <c r="AK117" s="722"/>
    </row>
    <row r="118" spans="1:37" s="717" customFormat="1" ht="15">
      <c r="A118" s="709"/>
      <c r="B118" s="709" t="s">
        <v>1043</v>
      </c>
      <c r="C118" s="709"/>
      <c r="D118" s="711"/>
      <c r="E118" s="720"/>
      <c r="F118" s="720"/>
      <c r="G118" s="720"/>
      <c r="H118" s="720"/>
      <c r="I118" s="720"/>
      <c r="J118" s="720"/>
      <c r="K118" s="720"/>
      <c r="L118" s="720"/>
      <c r="M118" s="720"/>
      <c r="N118" s="720"/>
      <c r="O118" s="720"/>
      <c r="P118" s="720"/>
      <c r="Q118" s="720"/>
      <c r="R118" s="720"/>
      <c r="S118" s="709"/>
      <c r="AH118" s="722"/>
      <c r="AI118" s="722"/>
      <c r="AJ118" s="722"/>
      <c r="AK118" s="722"/>
    </row>
  </sheetData>
  <protectedRanges>
    <protectedRange sqref="AL40:AU41" name="区域5"/>
    <protectedRange sqref="AL33:AU34" name="区域3"/>
    <protectedRange sqref="AL13:AU13 AL18:AU19" name="区域1"/>
  </protectedRanges>
  <phoneticPr fontId="2"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92D050"/>
  </sheetPr>
  <dimension ref="A1:AU126"/>
  <sheetViews>
    <sheetView topLeftCell="AJ43" workbookViewId="0">
      <selection activeCell="AN49" sqref="AN49"/>
    </sheetView>
  </sheetViews>
  <sheetFormatPr defaultColWidth="9" defaultRowHeight="13.3" outlineLevelRow="1" outlineLevelCol="1"/>
  <cols>
    <col min="1" max="1" width="4" style="2" customWidth="1"/>
    <col min="2" max="3" width="15.5703125" style="1" customWidth="1"/>
    <col min="4" max="4" width="15.5703125" style="107" customWidth="1"/>
    <col min="5" max="16" width="15.5703125" style="1" hidden="1" customWidth="1" outlineLevel="1"/>
    <col min="17" max="17" width="15.5703125" style="2" hidden="1" customWidth="1" collapsed="1"/>
    <col min="18" max="20" width="15.5703125" style="2" hidden="1" customWidth="1" outlineLevel="1"/>
    <col min="21" max="21" width="15.5703125" style="2" hidden="1" customWidth="1" collapsed="1"/>
    <col min="22" max="24" width="15.5703125" style="2" customWidth="1" outlineLevel="1"/>
    <col min="25" max="25" width="15.5703125" style="2" customWidth="1"/>
    <col min="26" max="28" width="15.5703125" style="2" customWidth="1" outlineLevel="1"/>
    <col min="29" max="29" width="15.5703125" style="2" customWidth="1"/>
    <col min="30" max="32" width="15.5703125" style="2" customWidth="1" outlineLevel="1"/>
    <col min="33" max="41" width="15.5703125" style="2" customWidth="1"/>
    <col min="42" max="47" width="15.640625" style="2" customWidth="1"/>
    <col min="48" max="93" width="9" style="2" customWidth="1"/>
    <col min="94" max="16384" width="9" style="2"/>
  </cols>
  <sheetData>
    <row r="1" spans="1:47" ht="13.75">
      <c r="O1" s="67"/>
      <c r="P1" s="67"/>
    </row>
    <row r="2" spans="1:47" s="27" customFormat="1" ht="14.15">
      <c r="B2" s="153" t="s">
        <v>780</v>
      </c>
      <c r="C2" s="156"/>
      <c r="D2" s="286"/>
      <c r="E2" s="158"/>
      <c r="F2" s="158"/>
      <c r="G2" s="158"/>
      <c r="H2" s="158"/>
      <c r="I2" s="158"/>
      <c r="J2" s="158"/>
      <c r="K2" s="158"/>
      <c r="L2" s="158"/>
      <c r="M2" s="158"/>
      <c r="N2" s="158"/>
      <c r="O2" s="158"/>
      <c r="P2" s="158"/>
      <c r="Q2" s="158"/>
      <c r="R2" s="158"/>
      <c r="S2" s="158"/>
      <c r="T2" s="158"/>
      <c r="U2" s="158"/>
      <c r="V2" s="158"/>
      <c r="W2" s="158"/>
      <c r="X2" s="398"/>
      <c r="Y2" s="158"/>
      <c r="Z2" s="158"/>
      <c r="AA2" s="158"/>
      <c r="AB2" s="158"/>
      <c r="AC2" s="158"/>
      <c r="AD2" s="158"/>
      <c r="AE2" s="158"/>
      <c r="AF2" s="158"/>
      <c r="AG2" s="158"/>
      <c r="AH2" s="158"/>
      <c r="AI2" s="158"/>
      <c r="AJ2" s="158"/>
      <c r="AK2" s="158"/>
      <c r="AL2" s="156"/>
      <c r="AM2" s="156"/>
      <c r="AN2" s="156"/>
      <c r="AO2" s="156"/>
      <c r="AP2" s="156"/>
      <c r="AQ2" s="156"/>
      <c r="AR2" s="156"/>
      <c r="AS2" s="156"/>
      <c r="AT2" s="156"/>
      <c r="AU2" s="156"/>
    </row>
    <row r="3" spans="1:47" ht="13.75">
      <c r="B3" s="28"/>
      <c r="C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row>
    <row r="4" spans="1:47" s="571" customFormat="1" ht="14.15" thickBot="1">
      <c r="B4" s="572" t="s">
        <v>719</v>
      </c>
      <c r="C4" s="279"/>
      <c r="D4" s="279"/>
      <c r="E4" s="283">
        <f>资产负债表!E4</f>
        <v>2013</v>
      </c>
      <c r="F4" s="283" t="str">
        <f>资产负债表!F4</f>
        <v>1Q14</v>
      </c>
      <c r="G4" s="283" t="str">
        <f>资产负债表!G4</f>
        <v>1H14</v>
      </c>
      <c r="H4" s="283" t="str">
        <f>资产负债表!H4</f>
        <v>3Q14</v>
      </c>
      <c r="I4" s="283">
        <f>资产负债表!I4</f>
        <v>2014</v>
      </c>
      <c r="J4" s="283" t="str">
        <f>资产负债表!J4</f>
        <v>1Q15</v>
      </c>
      <c r="K4" s="283" t="str">
        <f>资产负债表!K4</f>
        <v>1H15</v>
      </c>
      <c r="L4" s="283" t="str">
        <f>资产负债表!L4</f>
        <v>3Q15</v>
      </c>
      <c r="M4" s="283">
        <f>资产负债表!M4</f>
        <v>2015</v>
      </c>
      <c r="N4" s="283" t="str">
        <f>资产负债表!N4</f>
        <v>1Q16</v>
      </c>
      <c r="O4" s="283" t="str">
        <f>资产负债表!O4</f>
        <v>1H16</v>
      </c>
      <c r="P4" s="283" t="str">
        <f>资产负债表!P4</f>
        <v>3Q16</v>
      </c>
      <c r="Q4" s="283">
        <f>资产负债表!Q4</f>
        <v>2016</v>
      </c>
      <c r="R4" s="283" t="str">
        <f>资产负债表!R4</f>
        <v>1Q17</v>
      </c>
      <c r="S4" s="283" t="str">
        <f>资产负债表!S4</f>
        <v>1H17</v>
      </c>
      <c r="T4" s="283" t="str">
        <f>资产负债表!T4</f>
        <v>3Q17</v>
      </c>
      <c r="U4" s="283">
        <f>资产负债表!U4</f>
        <v>2017</v>
      </c>
      <c r="V4" s="283" t="str">
        <f>资产负债表!V4</f>
        <v>1Q18</v>
      </c>
      <c r="W4" s="283" t="str">
        <f>资产负债表!W4</f>
        <v>1H18</v>
      </c>
      <c r="X4" s="283" t="str">
        <f>资产负债表!X4</f>
        <v>3Q18</v>
      </c>
      <c r="Y4" s="283">
        <f>资产负债表!Y4</f>
        <v>2021</v>
      </c>
      <c r="Z4" s="283" t="str">
        <f>资产负债表!Z4</f>
        <v>1Q19</v>
      </c>
      <c r="AA4" s="283" t="str">
        <f>资产负债表!AA4</f>
        <v>1H19</v>
      </c>
      <c r="AB4" s="283" t="str">
        <f>资产负债表!AB4</f>
        <v>3Q19</v>
      </c>
      <c r="AC4" s="283">
        <f>资产负债表!AC4</f>
        <v>2022</v>
      </c>
      <c r="AD4" s="283" t="str">
        <f>资产负债表!AD4</f>
        <v>1Q20</v>
      </c>
      <c r="AE4" s="283" t="str">
        <f>资产负债表!AE4</f>
        <v>1H20</v>
      </c>
      <c r="AF4" s="283" t="str">
        <f>资产负债表!AF4</f>
        <v>3Q20</v>
      </c>
      <c r="AG4" s="283">
        <f>资产负债表!AG4</f>
        <v>2023</v>
      </c>
      <c r="AH4" s="283" t="str">
        <f>资产负债表!AH4</f>
        <v>1Q23</v>
      </c>
      <c r="AI4" s="283" t="str">
        <f>资产负债表!AI4</f>
        <v>1H21</v>
      </c>
      <c r="AJ4" s="283" t="str">
        <f>资产负债表!AJ4</f>
        <v>3Q21</v>
      </c>
      <c r="AK4" s="283" t="str">
        <f>资产负债表!AK4</f>
        <v>-</v>
      </c>
      <c r="AL4" s="573" t="str">
        <f>资产负债表!AL4</f>
        <v>-E</v>
      </c>
      <c r="AM4" s="574" t="e">
        <f>资产负债表!AM4</f>
        <v>#VALUE!</v>
      </c>
      <c r="AN4" s="574" t="e">
        <f>资产负债表!AN4</f>
        <v>#VALUE!</v>
      </c>
      <c r="AO4" s="574" t="e">
        <f>资产负债表!AO4</f>
        <v>#VALUE!</v>
      </c>
      <c r="AP4" s="574" t="e">
        <f>资产负债表!AP4</f>
        <v>#VALUE!</v>
      </c>
      <c r="AQ4" s="574" t="e">
        <f>资产负债表!AQ4</f>
        <v>#VALUE!</v>
      </c>
      <c r="AR4" s="574" t="e">
        <f>资产负债表!AR4</f>
        <v>#VALUE!</v>
      </c>
      <c r="AS4" s="574" t="e">
        <f>资产负债表!AS4</f>
        <v>#VALUE!</v>
      </c>
      <c r="AT4" s="574" t="e">
        <f>资产负债表!AT4</f>
        <v>#VALUE!</v>
      </c>
      <c r="AU4" s="574" t="e">
        <f>资产负债表!AU4</f>
        <v>#VALUE!</v>
      </c>
    </row>
    <row r="5" spans="1:47" ht="14.6" thickTop="1">
      <c r="A5" s="1"/>
      <c r="B5" s="34" t="str">
        <f>"单位："&amp;目录!D5</f>
        <v>单位：港元</v>
      </c>
      <c r="E5" s="35"/>
      <c r="F5" s="35"/>
      <c r="G5" s="35"/>
      <c r="H5" s="35"/>
      <c r="I5" s="35"/>
      <c r="J5" s="35"/>
      <c r="K5" s="35"/>
      <c r="L5" s="35"/>
      <c r="M5" s="35"/>
      <c r="N5" s="35"/>
      <c r="O5" s="35"/>
      <c r="P5" s="35"/>
      <c r="Q5" s="35"/>
      <c r="R5" s="35"/>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row>
    <row r="6" spans="1:47" ht="13.75">
      <c r="B6" s="42" t="s">
        <v>818</v>
      </c>
      <c r="E6" s="36">
        <f>财务基础数据!J8*目录!$D$6</f>
        <v>0</v>
      </c>
      <c r="F6" s="36">
        <f>财务基础数据!K8*目录!$D$6</f>
        <v>0</v>
      </c>
      <c r="G6" s="36">
        <f>财务基础数据!L8*目录!$D$6</f>
        <v>0</v>
      </c>
      <c r="H6" s="36">
        <f>财务基础数据!M8*目录!$D$6</f>
        <v>0</v>
      </c>
      <c r="I6" s="36">
        <f>财务基础数据!N8*目录!$D$6</f>
        <v>0</v>
      </c>
      <c r="J6" s="36">
        <f>财务基础数据!O8*目录!$D$6</f>
        <v>0</v>
      </c>
      <c r="K6" s="36">
        <f>财务基础数据!P8*目录!$D$6</f>
        <v>0</v>
      </c>
      <c r="L6" s="36">
        <f>财务基础数据!Q8*目录!$D$6</f>
        <v>0</v>
      </c>
      <c r="M6" s="36">
        <f>财务基础数据!R8*目录!$D$6</f>
        <v>0</v>
      </c>
      <c r="N6" s="36">
        <f>财务基础数据!S8*目录!$D$6</f>
        <v>0</v>
      </c>
      <c r="O6" s="36">
        <f>财务基础数据!T8*目录!$D$6</f>
        <v>0</v>
      </c>
      <c r="P6" s="36">
        <f>财务基础数据!U8*目录!$D$6</f>
        <v>0</v>
      </c>
      <c r="Q6" s="36">
        <f>财务基础数据!V8*目录!$D$6</f>
        <v>0</v>
      </c>
      <c r="R6" s="36">
        <f>财务基础数据!W8*目录!$D$6</f>
        <v>0</v>
      </c>
      <c r="S6" s="36">
        <f>财务基础数据!X8*目录!$D$6</f>
        <v>0</v>
      </c>
      <c r="T6" s="36">
        <f>财务基础数据!Y8*目录!$D$6</f>
        <v>0</v>
      </c>
      <c r="U6" s="36">
        <f>财务基础数据!Z8*目录!$D$6</f>
        <v>0</v>
      </c>
      <c r="V6" s="36">
        <f>财务基础数据!AA8*目录!$D$6</f>
        <v>3369.9656944499998</v>
      </c>
      <c r="W6" s="36">
        <f>财务基础数据!AB8*目录!$D$6</f>
        <v>6420.3335204300001</v>
      </c>
      <c r="X6" s="36">
        <f>财务基础数据!AC8*目录!$D$6</f>
        <v>9262.8957774400005</v>
      </c>
      <c r="Y6" s="36">
        <f>财务基础数据!AD8*目录!$D$6</f>
        <v>0</v>
      </c>
      <c r="Z6" s="36">
        <f>财务基础数据!AE8*目录!$D$6</f>
        <v>0</v>
      </c>
      <c r="AA6" s="36">
        <f>财务基础数据!AF8*目录!$D$6</f>
        <v>0</v>
      </c>
      <c r="AB6" s="36">
        <f>财务基础数据!AG8*目录!$D$6</f>
        <v>0</v>
      </c>
      <c r="AC6" s="36">
        <f>财务基础数据!AH8*目录!$D$6</f>
        <v>0</v>
      </c>
      <c r="AD6" s="36">
        <f>财务基础数据!AI8*目录!$D$6</f>
        <v>0</v>
      </c>
      <c r="AE6" s="36">
        <f>财务基础数据!AJ8*目录!$D$6</f>
        <v>0</v>
      </c>
      <c r="AF6" s="36">
        <f>财务基础数据!AK8*目录!$D$6</f>
        <v>0</v>
      </c>
      <c r="AG6" s="36">
        <f>财务基础数据!AL8*目录!$D$6</f>
        <v>0</v>
      </c>
      <c r="AH6" s="36">
        <f>财务基础数据!AM8*目录!$D$6</f>
        <v>0</v>
      </c>
      <c r="AI6" s="36">
        <f>财务基础数据!AN8*目录!$D$6</f>
        <v>0</v>
      </c>
      <c r="AJ6" s="36">
        <f>财务基础数据!AO8*目录!$D$6</f>
        <v>0</v>
      </c>
      <c r="AK6" s="36">
        <f>财务基础数据!AP8*目录!$D$6</f>
        <v>0</v>
      </c>
      <c r="AL6" s="36" t="str">
        <f>IF(ISERROR(销售预测!V5),"—",销售预测!V5)</f>
        <v>—</v>
      </c>
      <c r="AM6" s="36" t="str">
        <f>IF(ISERROR(销售预测!W5),"—",销售预测!W5)</f>
        <v>—</v>
      </c>
      <c r="AN6" s="36" t="str">
        <f>IF(ISERROR(销售预测!X5),"—",销售预测!X5)</f>
        <v>—</v>
      </c>
      <c r="AO6" s="36">
        <f>IF(ISERROR(销售预测!Y5),"—",销售预测!Y5)</f>
        <v>0</v>
      </c>
      <c r="AP6" s="36">
        <f>IF(ISERROR(销售预测!Z5),"—",销售预测!Z5)</f>
        <v>0</v>
      </c>
      <c r="AQ6" s="36">
        <f>IF(ISERROR(销售预测!AA5),"—",销售预测!AA5)</f>
        <v>0</v>
      </c>
      <c r="AR6" s="36">
        <f>IF(ISERROR(销售预测!AB5),"—",销售预测!AB5)</f>
        <v>0</v>
      </c>
      <c r="AS6" s="36">
        <f>IF(ISERROR(销售预测!AC5),"—",销售预测!AC5)</f>
        <v>0</v>
      </c>
      <c r="AT6" s="36">
        <f>IF(ISERROR(销售预测!AD5),"—",销售预测!AD5)</f>
        <v>0</v>
      </c>
      <c r="AU6" s="36">
        <f>IF(ISERROR(销售预测!AE5),"—",销售预测!AE5)</f>
        <v>0</v>
      </c>
    </row>
    <row r="7" spans="1:47" s="430" customFormat="1" ht="14.15" outlineLevel="1">
      <c r="A7" s="427"/>
      <c r="B7" s="428"/>
      <c r="C7" s="426" t="s">
        <v>781</v>
      </c>
      <c r="D7" s="429"/>
      <c r="E7" s="422"/>
      <c r="F7" s="422"/>
      <c r="G7" s="422"/>
      <c r="H7" s="422"/>
      <c r="I7" s="422" t="str">
        <f>IF(ISERROR((I6-E6)/ABS(E6)),"—",(I6-E6)/ABS(E6))</f>
        <v>—</v>
      </c>
      <c r="J7" s="422" t="str">
        <f t="shared" ref="J7:AJ7" si="0">IF(ISERROR((J6-F6)/ABS(F6)),"—",(J6-F6)/ABS(F6))</f>
        <v>—</v>
      </c>
      <c r="K7" s="422" t="str">
        <f t="shared" si="0"/>
        <v>—</v>
      </c>
      <c r="L7" s="422" t="str">
        <f t="shared" si="0"/>
        <v>—</v>
      </c>
      <c r="M7" s="422" t="str">
        <f t="shared" si="0"/>
        <v>—</v>
      </c>
      <c r="N7" s="422" t="str">
        <f t="shared" si="0"/>
        <v>—</v>
      </c>
      <c r="O7" s="422" t="str">
        <f t="shared" si="0"/>
        <v>—</v>
      </c>
      <c r="P7" s="422" t="str">
        <f t="shared" si="0"/>
        <v>—</v>
      </c>
      <c r="Q7" s="422" t="str">
        <f t="shared" si="0"/>
        <v>—</v>
      </c>
      <c r="R7" s="422" t="str">
        <f t="shared" si="0"/>
        <v>—</v>
      </c>
      <c r="S7" s="422" t="str">
        <f t="shared" si="0"/>
        <v>—</v>
      </c>
      <c r="T7" s="422" t="str">
        <f t="shared" si="0"/>
        <v>—</v>
      </c>
      <c r="U7" s="422" t="str">
        <f t="shared" si="0"/>
        <v>—</v>
      </c>
      <c r="V7" s="422" t="str">
        <f t="shared" si="0"/>
        <v>—</v>
      </c>
      <c r="W7" s="422" t="str">
        <f t="shared" si="0"/>
        <v>—</v>
      </c>
      <c r="X7" s="422" t="str">
        <f t="shared" si="0"/>
        <v>—</v>
      </c>
      <c r="Y7" s="422" t="str">
        <f t="shared" si="0"/>
        <v>—</v>
      </c>
      <c r="Z7" s="422">
        <f t="shared" si="0"/>
        <v>-1</v>
      </c>
      <c r="AA7" s="422">
        <f t="shared" si="0"/>
        <v>-1</v>
      </c>
      <c r="AB7" s="422">
        <f t="shared" si="0"/>
        <v>-1</v>
      </c>
      <c r="AC7" s="422" t="str">
        <f t="shared" si="0"/>
        <v>—</v>
      </c>
      <c r="AD7" s="422" t="str">
        <f t="shared" si="0"/>
        <v>—</v>
      </c>
      <c r="AE7" s="422" t="str">
        <f t="shared" si="0"/>
        <v>—</v>
      </c>
      <c r="AF7" s="422" t="str">
        <f t="shared" si="0"/>
        <v>—</v>
      </c>
      <c r="AG7" s="422" t="str">
        <f t="shared" si="0"/>
        <v>—</v>
      </c>
      <c r="AH7" s="422" t="str">
        <f t="shared" si="0"/>
        <v>—</v>
      </c>
      <c r="AI7" s="422" t="str">
        <f t="shared" si="0"/>
        <v>—</v>
      </c>
      <c r="AJ7" s="422" t="str">
        <f t="shared" si="0"/>
        <v>—</v>
      </c>
      <c r="AK7" s="422" t="str">
        <f>IF(ISERROR((AK6-AG6)/ABS(AG6)),"—",(AK6-AG6)/ABS(AG6))</f>
        <v>—</v>
      </c>
      <c r="AL7" s="422" t="str">
        <f>IF(ISERROR((AL6-AG6)/ABS(AG6)),"—",(AL6-AG6)/ABS(AG6))</f>
        <v>—</v>
      </c>
      <c r="AM7" s="422" t="str">
        <f t="shared" ref="AM7:AU7" si="1">IF(ISERROR((AM6-AL6)/ABS(AL6)),"—",(AM6-AL6)/ABS(AL6))</f>
        <v>—</v>
      </c>
      <c r="AN7" s="422" t="str">
        <f t="shared" si="1"/>
        <v>—</v>
      </c>
      <c r="AO7" s="422" t="str">
        <f t="shared" si="1"/>
        <v>—</v>
      </c>
      <c r="AP7" s="422" t="str">
        <f t="shared" si="1"/>
        <v>—</v>
      </c>
      <c r="AQ7" s="422" t="str">
        <f t="shared" si="1"/>
        <v>—</v>
      </c>
      <c r="AR7" s="422" t="str">
        <f t="shared" si="1"/>
        <v>—</v>
      </c>
      <c r="AS7" s="422" t="str">
        <f t="shared" si="1"/>
        <v>—</v>
      </c>
      <c r="AT7" s="422" t="str">
        <f t="shared" si="1"/>
        <v>—</v>
      </c>
      <c r="AU7" s="422" t="str">
        <f t="shared" si="1"/>
        <v>—</v>
      </c>
    </row>
    <row r="8" spans="1:47" s="72" customFormat="1" ht="14.15" outlineLevel="1">
      <c r="A8" s="68"/>
      <c r="B8" s="51" t="s">
        <v>782</v>
      </c>
      <c r="C8" s="69"/>
      <c r="D8" s="113"/>
      <c r="E8" s="36">
        <f>财务基础数据!J69*目录!$D$6</f>
        <v>0</v>
      </c>
      <c r="F8" s="71"/>
      <c r="G8" s="36">
        <f>财务基础数据!L69*目录!$D$6</f>
        <v>0</v>
      </c>
      <c r="H8" s="71"/>
      <c r="I8" s="36">
        <f>财务基础数据!N69*目录!$D$6</f>
        <v>0</v>
      </c>
      <c r="J8" s="71"/>
      <c r="K8" s="36">
        <f>财务基础数据!P69*目录!$D$6</f>
        <v>0</v>
      </c>
      <c r="L8" s="71"/>
      <c r="M8" s="36">
        <f>财务基础数据!R69*目录!$D$6</f>
        <v>0</v>
      </c>
      <c r="N8" s="71"/>
      <c r="O8" s="36">
        <f>财务基础数据!T69*目录!$D$6</f>
        <v>0</v>
      </c>
      <c r="P8" s="36">
        <f>财务基础数据!U69*目录!$D$6</f>
        <v>0</v>
      </c>
      <c r="Q8" s="36">
        <f>财务基础数据!V69*目录!$D$6</f>
        <v>0</v>
      </c>
      <c r="R8" s="36">
        <f>财务基础数据!W69*目录!$D$6</f>
        <v>0</v>
      </c>
      <c r="S8" s="36">
        <f>财务基础数据!X69*目录!$D$6</f>
        <v>0</v>
      </c>
      <c r="T8" s="36">
        <f>财务基础数据!Y69*目录!$D$6</f>
        <v>0</v>
      </c>
      <c r="U8" s="36">
        <f>财务基础数据!Z69*目录!$D$6</f>
        <v>0</v>
      </c>
      <c r="V8" s="36">
        <f>财务基础数据!AA69*目录!$D$6</f>
        <v>0</v>
      </c>
      <c r="W8" s="36">
        <f>财务基础数据!AB69*目录!$D$6</f>
        <v>0</v>
      </c>
      <c r="X8" s="36">
        <f>财务基础数据!AC69*目录!$D$6</f>
        <v>0</v>
      </c>
      <c r="Y8" s="36">
        <f>财务基础数据!AD69*目录!$D$6</f>
        <v>0</v>
      </c>
      <c r="Z8" s="36">
        <f>财务基础数据!AE69*目录!$D$6</f>
        <v>0</v>
      </c>
      <c r="AA8" s="36">
        <f>财务基础数据!AF69*目录!$D$6</f>
        <v>0</v>
      </c>
      <c r="AB8" s="36">
        <f>财务基础数据!AG69*目录!$D$6</f>
        <v>0</v>
      </c>
      <c r="AC8" s="36">
        <f>财务基础数据!AH69*目录!$D$6</f>
        <v>0</v>
      </c>
      <c r="AD8" s="36">
        <f>财务基础数据!AI69*目录!$D$6</f>
        <v>0</v>
      </c>
      <c r="AE8" s="36">
        <f>财务基础数据!AJ69*目录!$D$6</f>
        <v>0</v>
      </c>
      <c r="AF8" s="36">
        <f>财务基础数据!AK69*目录!$D$6</f>
        <v>0</v>
      </c>
      <c r="AG8" s="36">
        <f>财务基础数据!AL69*目录!$D$6</f>
        <v>0</v>
      </c>
      <c r="AH8" s="36">
        <f>财务基础数据!AM69*目录!$D$6</f>
        <v>0</v>
      </c>
      <c r="AI8" s="36">
        <f>财务基础数据!AN69*目录!$D$6</f>
        <v>0</v>
      </c>
      <c r="AJ8" s="36">
        <f>财务基础数据!AO69*目录!$D$6</f>
        <v>0</v>
      </c>
      <c r="AK8" s="36">
        <f>财务基础数据!AP69*目录!$D$6</f>
        <v>0</v>
      </c>
      <c r="AL8" s="36" t="str">
        <f t="shared" ref="AL8:AU8" si="2">IF(ISERROR(AL10+AL20+AL22+AL24+AL26+AL29+AL58),"—",AL10+AL20+AL22+AL24+AL26+AL29+AL58)</f>
        <v>—</v>
      </c>
      <c r="AM8" s="36" t="str">
        <f t="shared" si="2"/>
        <v>—</v>
      </c>
      <c r="AN8" s="36" t="str">
        <f t="shared" si="2"/>
        <v>—</v>
      </c>
      <c r="AO8" s="36">
        <f t="shared" si="2"/>
        <v>0</v>
      </c>
      <c r="AP8" s="36">
        <f t="shared" si="2"/>
        <v>0</v>
      </c>
      <c r="AQ8" s="36">
        <f t="shared" si="2"/>
        <v>0</v>
      </c>
      <c r="AR8" s="36">
        <f t="shared" si="2"/>
        <v>0</v>
      </c>
      <c r="AS8" s="36">
        <f t="shared" si="2"/>
        <v>0</v>
      </c>
      <c r="AT8" s="36">
        <f t="shared" si="2"/>
        <v>0</v>
      </c>
      <c r="AU8" s="36">
        <f t="shared" si="2"/>
        <v>0</v>
      </c>
    </row>
    <row r="9" spans="1:47" ht="14.15" outlineLevel="1">
      <c r="C9" s="73"/>
      <c r="E9" s="36"/>
      <c r="F9" s="74"/>
      <c r="G9" s="36"/>
      <c r="H9" s="74"/>
      <c r="I9" s="36"/>
      <c r="J9" s="74"/>
      <c r="K9" s="36"/>
      <c r="L9" s="74"/>
      <c r="M9" s="36"/>
      <c r="N9" s="74"/>
      <c r="O9" s="36"/>
      <c r="P9" s="36"/>
      <c r="Q9" s="36"/>
      <c r="R9" s="36"/>
      <c r="S9" s="36"/>
      <c r="T9" s="36"/>
      <c r="U9" s="36"/>
      <c r="V9" s="36"/>
      <c r="W9" s="36"/>
      <c r="X9" s="36"/>
      <c r="Y9" s="36"/>
      <c r="Z9" s="36"/>
      <c r="AA9" s="36"/>
      <c r="AB9" s="36"/>
      <c r="AC9" s="36"/>
      <c r="AD9" s="36"/>
      <c r="AE9" s="36"/>
      <c r="AF9" s="36"/>
      <c r="AG9" s="36"/>
      <c r="AH9" s="36"/>
      <c r="AI9" s="36"/>
      <c r="AJ9" s="36"/>
      <c r="AK9" s="36"/>
      <c r="AL9" s="36"/>
      <c r="AM9" s="74"/>
      <c r="AN9" s="74"/>
      <c r="AO9" s="36"/>
      <c r="AP9" s="36"/>
      <c r="AQ9" s="36"/>
      <c r="AR9" s="36"/>
      <c r="AS9" s="36"/>
      <c r="AT9" s="36"/>
      <c r="AU9" s="36"/>
    </row>
    <row r="10" spans="1:47" ht="13.75" outlineLevel="1">
      <c r="B10" s="42" t="s">
        <v>783</v>
      </c>
      <c r="E10" s="36">
        <f>财务基础数据!J9*目录!$D$6</f>
        <v>0</v>
      </c>
      <c r="F10" s="36">
        <f>财务基础数据!K9*目录!$D$6</f>
        <v>0</v>
      </c>
      <c r="G10" s="36">
        <f>财务基础数据!L9*目录!$D$6</f>
        <v>0</v>
      </c>
      <c r="H10" s="36">
        <f>财务基础数据!M9*目录!$D$6</f>
        <v>0</v>
      </c>
      <c r="I10" s="36">
        <f>财务基础数据!N9*目录!$D$6</f>
        <v>0</v>
      </c>
      <c r="J10" s="36">
        <f>财务基础数据!O9*目录!$D$6</f>
        <v>0</v>
      </c>
      <c r="K10" s="36">
        <f>财务基础数据!P9*目录!$D$6</f>
        <v>0</v>
      </c>
      <c r="L10" s="36">
        <f>财务基础数据!Q9*目录!$D$6</f>
        <v>0</v>
      </c>
      <c r="M10" s="36">
        <f>财务基础数据!R9*目录!$D$6</f>
        <v>0</v>
      </c>
      <c r="N10" s="36">
        <f>财务基础数据!S9*目录!$D$6</f>
        <v>0</v>
      </c>
      <c r="O10" s="36">
        <f>财务基础数据!T9*目录!$D$6</f>
        <v>0</v>
      </c>
      <c r="P10" s="36">
        <f>财务基础数据!U9*目录!$D$6</f>
        <v>0</v>
      </c>
      <c r="Q10" s="36">
        <f>财务基础数据!V9*目录!$D$6</f>
        <v>0</v>
      </c>
      <c r="R10" s="36">
        <f>财务基础数据!W9*目录!$D$6</f>
        <v>0</v>
      </c>
      <c r="S10" s="36">
        <f>财务基础数据!X9*目录!$D$6</f>
        <v>0</v>
      </c>
      <c r="T10" s="36">
        <f>财务基础数据!Y9*目录!$D$6</f>
        <v>0</v>
      </c>
      <c r="U10" s="36">
        <f>财务基础数据!Z9*目录!$D$6</f>
        <v>0</v>
      </c>
      <c r="V10" s="36">
        <f>财务基础数据!AA9*目录!$D$6</f>
        <v>853.71466765999992</v>
      </c>
      <c r="W10" s="36">
        <f>财务基础数据!AB9*目录!$D$6</f>
        <v>1610.5636920999998</v>
      </c>
      <c r="X10" s="36">
        <f>财务基础数据!AC9*目录!$D$6</f>
        <v>2137.3126829100001</v>
      </c>
      <c r="Y10" s="36">
        <f>财务基础数据!AD9*目录!$D$6</f>
        <v>0</v>
      </c>
      <c r="Z10" s="36">
        <f>财务基础数据!AE9*目录!$D$6</f>
        <v>0</v>
      </c>
      <c r="AA10" s="36">
        <f>财务基础数据!AF9*目录!$D$6</f>
        <v>0</v>
      </c>
      <c r="AB10" s="36">
        <f>财务基础数据!AG9*目录!$D$6</f>
        <v>0</v>
      </c>
      <c r="AC10" s="36">
        <f>财务基础数据!AH9*目录!$D$6</f>
        <v>0</v>
      </c>
      <c r="AD10" s="36">
        <f>财务基础数据!AI9*目录!$D$6</f>
        <v>0</v>
      </c>
      <c r="AE10" s="36">
        <f>财务基础数据!AJ9*目录!$D$6</f>
        <v>0</v>
      </c>
      <c r="AF10" s="36">
        <f>财务基础数据!AK9*目录!$D$6</f>
        <v>0</v>
      </c>
      <c r="AG10" s="36">
        <f>财务基础数据!AL9*目录!$D$6</f>
        <v>0</v>
      </c>
      <c r="AH10" s="36">
        <f>财务基础数据!AM9*目录!$D$6</f>
        <v>0</v>
      </c>
      <c r="AI10" s="36">
        <f>财务基础数据!AN9*目录!$D$6</f>
        <v>0</v>
      </c>
      <c r="AJ10" s="36">
        <f>财务基础数据!AO9*目录!$D$6</f>
        <v>0</v>
      </c>
      <c r="AK10" s="36">
        <f>财务基础数据!AP9*目录!$D$6</f>
        <v>0</v>
      </c>
      <c r="AL10" s="36">
        <f>IF(ISERROR(销售预测!V6),"—",销售预测!V6)</f>
        <v>0</v>
      </c>
      <c r="AM10" s="36">
        <f>IF(ISERROR(销售预测!W6),"—",销售预测!W6)</f>
        <v>0</v>
      </c>
      <c r="AN10" s="36">
        <f>IF(ISERROR(销售预测!X6),"—",销售预测!X6)</f>
        <v>0</v>
      </c>
      <c r="AO10" s="36">
        <f>IF(ISERROR(销售预测!Y6),"—",销售预测!Y6)</f>
        <v>0</v>
      </c>
      <c r="AP10" s="36">
        <f>IF(ISERROR(销售预测!Z6),"—",销售预测!Z6)</f>
        <v>0</v>
      </c>
      <c r="AQ10" s="36">
        <f>IF(ISERROR(销售预测!AA6),"—",销售预测!AA6)</f>
        <v>0</v>
      </c>
      <c r="AR10" s="36">
        <f>IF(ISERROR(销售预测!AB6),"—",销售预测!AB6)</f>
        <v>0</v>
      </c>
      <c r="AS10" s="36">
        <f>IF(ISERROR(销售预测!AC6),"—",销售预测!AC6)</f>
        <v>0</v>
      </c>
      <c r="AT10" s="36">
        <f>IF(ISERROR(销售预测!AD6),"—",销售预测!AD6)</f>
        <v>0</v>
      </c>
      <c r="AU10" s="36">
        <f>IF(ISERROR(销售预测!AE6),"—",销售预测!AE6)</f>
        <v>0</v>
      </c>
    </row>
    <row r="11" spans="1:47" s="68" customFormat="1" ht="14.15" outlineLevel="1">
      <c r="B11" s="51"/>
      <c r="C11" s="69" t="s">
        <v>784</v>
      </c>
      <c r="D11" s="112"/>
      <c r="E11" s="76" t="str">
        <f>IF(ISERROR(E10/E6),"—",E10/E6)</f>
        <v>—</v>
      </c>
      <c r="F11" s="76"/>
      <c r="G11" s="76" t="str">
        <f>IF(ISERROR(G10/G6),"—",G10/G6)</f>
        <v>—</v>
      </c>
      <c r="H11" s="76"/>
      <c r="I11" s="76" t="str">
        <f>IF(ISERROR(I10/I6),"—",I10/I6)</f>
        <v>—</v>
      </c>
      <c r="J11" s="76"/>
      <c r="K11" s="76" t="str">
        <f>IF(ISERROR(K10/K6),"—",K10/K6)</f>
        <v>—</v>
      </c>
      <c r="L11" s="76"/>
      <c r="M11" s="76" t="str">
        <f>IF(ISERROR(M10/M6),"—",M10/M6)</f>
        <v>—</v>
      </c>
      <c r="N11" s="76"/>
      <c r="O11" s="76" t="str">
        <f t="shared" ref="O11:AL11" si="3">IF(ISERROR(O10/O6),"—",O10/O6)</f>
        <v>—</v>
      </c>
      <c r="P11" s="76" t="str">
        <f t="shared" si="3"/>
        <v>—</v>
      </c>
      <c r="Q11" s="76" t="str">
        <f t="shared" si="3"/>
        <v>—</v>
      </c>
      <c r="R11" s="76" t="str">
        <f t="shared" si="3"/>
        <v>—</v>
      </c>
      <c r="S11" s="76" t="str">
        <f t="shared" si="3"/>
        <v>—</v>
      </c>
      <c r="T11" s="76" t="str">
        <f t="shared" si="3"/>
        <v>—</v>
      </c>
      <c r="U11" s="76" t="str">
        <f t="shared" si="3"/>
        <v>—</v>
      </c>
      <c r="V11" s="76">
        <f t="shared" si="3"/>
        <v>0.25333037338213371</v>
      </c>
      <c r="W11" s="76">
        <f t="shared" si="3"/>
        <v>0.25085358680745495</v>
      </c>
      <c r="X11" s="76">
        <f t="shared" si="3"/>
        <v>0.23073914834661913</v>
      </c>
      <c r="Y11" s="76" t="str">
        <f t="shared" si="3"/>
        <v>—</v>
      </c>
      <c r="Z11" s="76" t="str">
        <f t="shared" si="3"/>
        <v>—</v>
      </c>
      <c r="AA11" s="76" t="str">
        <f t="shared" si="3"/>
        <v>—</v>
      </c>
      <c r="AB11" s="76" t="str">
        <f t="shared" si="3"/>
        <v>—</v>
      </c>
      <c r="AC11" s="76" t="str">
        <f t="shared" si="3"/>
        <v>—</v>
      </c>
      <c r="AD11" s="76" t="str">
        <f t="shared" si="3"/>
        <v>—</v>
      </c>
      <c r="AE11" s="76" t="str">
        <f t="shared" si="3"/>
        <v>—</v>
      </c>
      <c r="AF11" s="76" t="str">
        <f t="shared" si="3"/>
        <v>—</v>
      </c>
      <c r="AG11" s="76" t="str">
        <f t="shared" si="3"/>
        <v>—</v>
      </c>
      <c r="AH11" s="76" t="str">
        <f t="shared" si="3"/>
        <v>—</v>
      </c>
      <c r="AI11" s="76" t="str">
        <f t="shared" si="3"/>
        <v>—</v>
      </c>
      <c r="AJ11" s="76" t="str">
        <f t="shared" si="3"/>
        <v>—</v>
      </c>
      <c r="AK11" s="76" t="str">
        <f t="shared" si="3"/>
        <v>—</v>
      </c>
      <c r="AL11" s="76" t="str">
        <f t="shared" si="3"/>
        <v>—</v>
      </c>
      <c r="AM11" s="76" t="str">
        <f t="shared" ref="AM11:AU11" si="4">IF(ISERROR(AM10/AM6),"—",AM10/AM6)</f>
        <v>—</v>
      </c>
      <c r="AN11" s="76" t="str">
        <f t="shared" si="4"/>
        <v>—</v>
      </c>
      <c r="AO11" s="76" t="str">
        <f t="shared" si="4"/>
        <v>—</v>
      </c>
      <c r="AP11" s="76" t="str">
        <f t="shared" si="4"/>
        <v>—</v>
      </c>
      <c r="AQ11" s="76" t="str">
        <f t="shared" si="4"/>
        <v>—</v>
      </c>
      <c r="AR11" s="76" t="str">
        <f t="shared" si="4"/>
        <v>—</v>
      </c>
      <c r="AS11" s="76" t="str">
        <f t="shared" si="4"/>
        <v>—</v>
      </c>
      <c r="AT11" s="76" t="str">
        <f t="shared" si="4"/>
        <v>—</v>
      </c>
      <c r="AU11" s="76" t="str">
        <f t="shared" si="4"/>
        <v>—</v>
      </c>
    </row>
    <row r="12" spans="1:47" s="68" customFormat="1" ht="13.75" outlineLevel="1">
      <c r="B12" s="15" t="s">
        <v>785</v>
      </c>
      <c r="C12" s="69"/>
      <c r="D12" s="112" t="s">
        <v>699</v>
      </c>
      <c r="E12" s="36">
        <v>0</v>
      </c>
      <c r="F12" s="36">
        <v>0</v>
      </c>
      <c r="G12" s="36">
        <v>0</v>
      </c>
      <c r="H12" s="36">
        <v>0</v>
      </c>
      <c r="I12" s="36">
        <v>0</v>
      </c>
      <c r="J12" s="36">
        <v>0</v>
      </c>
      <c r="K12" s="36">
        <v>0</v>
      </c>
      <c r="L12" s="36">
        <v>0</v>
      </c>
      <c r="M12" s="36">
        <v>0</v>
      </c>
      <c r="N12" s="36">
        <v>0</v>
      </c>
      <c r="O12" s="36">
        <v>0</v>
      </c>
      <c r="P12" s="36">
        <v>0</v>
      </c>
      <c r="Q12" s="36">
        <v>0</v>
      </c>
      <c r="R12" s="36">
        <v>0</v>
      </c>
      <c r="S12" s="36">
        <v>0</v>
      </c>
      <c r="T12" s="36">
        <v>0</v>
      </c>
      <c r="U12" s="36">
        <v>0</v>
      </c>
      <c r="V12" s="36">
        <v>0</v>
      </c>
      <c r="W12" s="36">
        <v>0</v>
      </c>
      <c r="X12" s="36">
        <v>0</v>
      </c>
      <c r="Y12" s="36">
        <v>0</v>
      </c>
      <c r="Z12" s="36">
        <v>0</v>
      </c>
      <c r="AA12" s="36">
        <v>0</v>
      </c>
      <c r="AB12" s="36">
        <v>0</v>
      </c>
      <c r="AC12" s="36">
        <v>0</v>
      </c>
      <c r="AD12" s="36">
        <v>0</v>
      </c>
      <c r="AE12" s="36">
        <v>0</v>
      </c>
      <c r="AF12" s="36">
        <v>0</v>
      </c>
      <c r="AG12" s="36">
        <v>0</v>
      </c>
      <c r="AH12" s="36">
        <v>0</v>
      </c>
      <c r="AI12" s="36">
        <v>0</v>
      </c>
      <c r="AJ12" s="36">
        <v>0</v>
      </c>
      <c r="AK12" s="36">
        <v>0</v>
      </c>
      <c r="AL12" s="216">
        <v>0</v>
      </c>
      <c r="AM12" s="216">
        <v>0</v>
      </c>
      <c r="AN12" s="216">
        <v>0</v>
      </c>
      <c r="AO12" s="216">
        <v>0</v>
      </c>
      <c r="AP12" s="216">
        <v>0</v>
      </c>
      <c r="AQ12" s="216">
        <v>0</v>
      </c>
      <c r="AR12" s="216">
        <v>0</v>
      </c>
      <c r="AS12" s="216">
        <v>0</v>
      </c>
      <c r="AT12" s="216">
        <v>0</v>
      </c>
      <c r="AU12" s="216">
        <v>0</v>
      </c>
    </row>
    <row r="13" spans="1:47" s="338" customFormat="1" ht="13.75" outlineLevel="1">
      <c r="B13" s="526" t="s">
        <v>894</v>
      </c>
      <c r="C13" s="265"/>
      <c r="D13" s="524"/>
      <c r="E13" s="463">
        <f>现金流量表!E14+现金流量表!E15</f>
        <v>0</v>
      </c>
      <c r="F13" s="463"/>
      <c r="G13" s="463">
        <f>现金流量表!G14+现金流量表!G15</f>
        <v>0</v>
      </c>
      <c r="H13" s="463"/>
      <c r="I13" s="463">
        <f>现金流量表!I14+现金流量表!I15</f>
        <v>0</v>
      </c>
      <c r="J13" s="463"/>
      <c r="K13" s="463">
        <f>现金流量表!K14+现金流量表!K15</f>
        <v>0</v>
      </c>
      <c r="L13" s="463"/>
      <c r="M13" s="463">
        <f>现金流量表!M14+现金流量表!M15</f>
        <v>0</v>
      </c>
      <c r="N13" s="463"/>
      <c r="O13" s="463">
        <f>现金流量表!O14+现金流量表!O15</f>
        <v>0</v>
      </c>
      <c r="P13" s="463">
        <f>现金流量表!P14+现金流量表!P15</f>
        <v>0</v>
      </c>
      <c r="Q13" s="463">
        <f>现金流量表!Q14+现金流量表!Q15</f>
        <v>0</v>
      </c>
      <c r="R13" s="463">
        <f>现金流量表!R14+现金流量表!R15</f>
        <v>0</v>
      </c>
      <c r="S13" s="463">
        <f>现金流量表!S14+现金流量表!S15</f>
        <v>0</v>
      </c>
      <c r="T13" s="463">
        <f>现金流量表!T14+现金流量表!T15</f>
        <v>0</v>
      </c>
      <c r="U13" s="463">
        <f>现金流量表!U14+现金流量表!U15</f>
        <v>0</v>
      </c>
      <c r="V13" s="463">
        <f>现金流量表!V14+现金流量表!V15</f>
        <v>0</v>
      </c>
      <c r="W13" s="463">
        <f>现金流量表!W14+现金流量表!W15</f>
        <v>0</v>
      </c>
      <c r="X13" s="463">
        <f>现金流量表!X14+现金流量表!X15</f>
        <v>0</v>
      </c>
      <c r="Y13" s="463">
        <f>现金流量表!Y14+现金流量表!Y15</f>
        <v>0</v>
      </c>
      <c r="Z13" s="463">
        <f>现金流量表!Z14+现金流量表!Z15</f>
        <v>0</v>
      </c>
      <c r="AA13" s="463">
        <f>现金流量表!AA14+现金流量表!AA15</f>
        <v>0</v>
      </c>
      <c r="AB13" s="463">
        <f>现金流量表!AB14+现金流量表!AB15</f>
        <v>0</v>
      </c>
      <c r="AC13" s="463">
        <f>现金流量表!AC14+现金流量表!AC15</f>
        <v>0</v>
      </c>
      <c r="AD13" s="463">
        <f>现金流量表!AD14+现金流量表!AD15</f>
        <v>0</v>
      </c>
      <c r="AE13" s="463">
        <f>现金流量表!AE14+现金流量表!AE15</f>
        <v>0</v>
      </c>
      <c r="AF13" s="463">
        <f>现金流量表!AF14+现金流量表!AF15</f>
        <v>0</v>
      </c>
      <c r="AG13" s="463">
        <f>现金流量表!AG14+现金流量表!AG15</f>
        <v>0</v>
      </c>
      <c r="AH13" s="463">
        <f>现金流量表!AH14+现金流量表!AH15</f>
        <v>0</v>
      </c>
      <c r="AI13" s="463">
        <f>现金流量表!AI14+现金流量表!AI15</f>
        <v>0</v>
      </c>
      <c r="AJ13" s="463">
        <f>现金流量表!AJ14+现金流量表!AJ15</f>
        <v>0</v>
      </c>
      <c r="AK13" s="463">
        <f>现金流量表!AK14+现金流量表!AK15</f>
        <v>0</v>
      </c>
      <c r="AL13" s="463">
        <f>AG13</f>
        <v>0</v>
      </c>
      <c r="AM13" s="463">
        <f>AL13</f>
        <v>0</v>
      </c>
      <c r="AN13" s="463">
        <f>AM13</f>
        <v>0</v>
      </c>
      <c r="AO13" s="463">
        <f>IF(ISERROR(现金流量表!AO14+现金流量表!AO15),"0",现金流量表!AO14+现金流量表!AO15)</f>
        <v>0</v>
      </c>
      <c r="AP13" s="463">
        <f>IF(ISERROR(现金流量表!AP14+现金流量表!AP15),"0",现金流量表!AP14+现金流量表!AP15)</f>
        <v>0</v>
      </c>
      <c r="AQ13" s="463">
        <f>IF(ISERROR(现金流量表!AQ14+现金流量表!AQ15),"0",现金流量表!AQ14+现金流量表!AQ15)</f>
        <v>0</v>
      </c>
      <c r="AR13" s="463">
        <f>IF(ISERROR(现金流量表!AR14+现金流量表!AR15),"0",现金流量表!AR14+现金流量表!AR15)</f>
        <v>0</v>
      </c>
      <c r="AS13" s="463">
        <f>IF(ISERROR(现金流量表!AS14+现金流量表!AS15),"0",现金流量表!AS14+现金流量表!AS15)</f>
        <v>0</v>
      </c>
      <c r="AT13" s="463">
        <f>IF(ISERROR(现金流量表!AT14+现金流量表!AT15),"0",现金流量表!AT14+现金流量表!AT15)</f>
        <v>0</v>
      </c>
      <c r="AU13" s="463">
        <f>IF(ISERROR(现金流量表!AU14+现金流量表!AU15),"0",现金流量表!AU14+现金流量表!AU15)</f>
        <v>0</v>
      </c>
    </row>
    <row r="14" spans="1:47" s="68" customFormat="1" ht="13.75" outlineLevel="1">
      <c r="B14" s="15" t="s">
        <v>895</v>
      </c>
      <c r="C14" s="69"/>
      <c r="D14" s="112" t="s">
        <v>699</v>
      </c>
      <c r="E14" s="36">
        <v>0</v>
      </c>
      <c r="F14" s="36">
        <v>0</v>
      </c>
      <c r="G14" s="36">
        <v>0</v>
      </c>
      <c r="H14" s="36">
        <v>0</v>
      </c>
      <c r="I14" s="36">
        <v>0</v>
      </c>
      <c r="J14" s="36">
        <v>0</v>
      </c>
      <c r="K14" s="36">
        <v>0</v>
      </c>
      <c r="L14" s="36">
        <v>0</v>
      </c>
      <c r="M14" s="36">
        <v>0</v>
      </c>
      <c r="N14" s="36">
        <v>0</v>
      </c>
      <c r="O14" s="36">
        <v>0</v>
      </c>
      <c r="P14" s="36">
        <v>0</v>
      </c>
      <c r="Q14" s="36">
        <v>0</v>
      </c>
      <c r="R14" s="36">
        <v>0</v>
      </c>
      <c r="S14" s="36">
        <v>0</v>
      </c>
      <c r="T14" s="36">
        <v>0</v>
      </c>
      <c r="U14" s="36">
        <v>0</v>
      </c>
      <c r="V14" s="36">
        <v>0</v>
      </c>
      <c r="W14" s="36">
        <v>0</v>
      </c>
      <c r="X14" s="36">
        <v>0</v>
      </c>
      <c r="Y14" s="36">
        <v>0</v>
      </c>
      <c r="Z14" s="36">
        <v>0</v>
      </c>
      <c r="AA14" s="36">
        <v>0</v>
      </c>
      <c r="AB14" s="36">
        <v>0</v>
      </c>
      <c r="AC14" s="36">
        <v>0</v>
      </c>
      <c r="AD14" s="36">
        <v>0</v>
      </c>
      <c r="AE14" s="36">
        <v>0</v>
      </c>
      <c r="AF14" s="36">
        <v>0</v>
      </c>
      <c r="AG14" s="36">
        <v>0</v>
      </c>
      <c r="AH14" s="36">
        <v>0</v>
      </c>
      <c r="AI14" s="36">
        <v>0</v>
      </c>
      <c r="AJ14" s="36">
        <v>0</v>
      </c>
      <c r="AK14" s="36">
        <v>0</v>
      </c>
      <c r="AL14" s="216">
        <v>0</v>
      </c>
      <c r="AM14" s="216">
        <v>0</v>
      </c>
      <c r="AN14" s="216">
        <v>0</v>
      </c>
      <c r="AO14" s="216">
        <v>0</v>
      </c>
      <c r="AP14" s="216">
        <v>0</v>
      </c>
      <c r="AQ14" s="216">
        <v>0</v>
      </c>
      <c r="AR14" s="216">
        <v>0</v>
      </c>
      <c r="AS14" s="216">
        <v>0</v>
      </c>
      <c r="AT14" s="216">
        <v>0</v>
      </c>
      <c r="AU14" s="216">
        <v>0</v>
      </c>
    </row>
    <row r="15" spans="1:47" s="68" customFormat="1" ht="13.75" outlineLevel="1">
      <c r="B15" s="77"/>
      <c r="C15" s="78"/>
      <c r="D15" s="287"/>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row>
    <row r="16" spans="1:47" ht="14.15" outlineLevel="1">
      <c r="A16" s="68"/>
      <c r="B16" s="53" t="s">
        <v>703</v>
      </c>
      <c r="C16" s="79"/>
      <c r="D16" s="113"/>
      <c r="E16" s="80">
        <f t="shared" ref="E16:AK16" si="5">E6-E10</f>
        <v>0</v>
      </c>
      <c r="F16" s="80">
        <f t="shared" si="5"/>
        <v>0</v>
      </c>
      <c r="G16" s="80">
        <f t="shared" si="5"/>
        <v>0</v>
      </c>
      <c r="H16" s="80">
        <f t="shared" si="5"/>
        <v>0</v>
      </c>
      <c r="I16" s="80">
        <f t="shared" si="5"/>
        <v>0</v>
      </c>
      <c r="J16" s="80">
        <f t="shared" si="5"/>
        <v>0</v>
      </c>
      <c r="K16" s="80">
        <f t="shared" si="5"/>
        <v>0</v>
      </c>
      <c r="L16" s="80">
        <f t="shared" si="5"/>
        <v>0</v>
      </c>
      <c r="M16" s="80">
        <f t="shared" si="5"/>
        <v>0</v>
      </c>
      <c r="N16" s="80">
        <f t="shared" si="5"/>
        <v>0</v>
      </c>
      <c r="O16" s="80">
        <f t="shared" si="5"/>
        <v>0</v>
      </c>
      <c r="P16" s="80">
        <f t="shared" si="5"/>
        <v>0</v>
      </c>
      <c r="Q16" s="80">
        <f t="shared" si="5"/>
        <v>0</v>
      </c>
      <c r="R16" s="80">
        <f t="shared" si="5"/>
        <v>0</v>
      </c>
      <c r="S16" s="80">
        <f t="shared" si="5"/>
        <v>0</v>
      </c>
      <c r="T16" s="80">
        <f t="shared" si="5"/>
        <v>0</v>
      </c>
      <c r="U16" s="80">
        <f t="shared" si="5"/>
        <v>0</v>
      </c>
      <c r="V16" s="80">
        <f t="shared" si="5"/>
        <v>2516.2510267899997</v>
      </c>
      <c r="W16" s="80">
        <f t="shared" si="5"/>
        <v>4809.7698283300006</v>
      </c>
      <c r="X16" s="80">
        <f t="shared" si="5"/>
        <v>7125.5830945300004</v>
      </c>
      <c r="Y16" s="80">
        <f t="shared" si="5"/>
        <v>0</v>
      </c>
      <c r="Z16" s="80">
        <f t="shared" si="5"/>
        <v>0</v>
      </c>
      <c r="AA16" s="80">
        <f t="shared" si="5"/>
        <v>0</v>
      </c>
      <c r="AB16" s="80">
        <f t="shared" si="5"/>
        <v>0</v>
      </c>
      <c r="AC16" s="80">
        <f t="shared" si="5"/>
        <v>0</v>
      </c>
      <c r="AD16" s="80">
        <f t="shared" si="5"/>
        <v>0</v>
      </c>
      <c r="AE16" s="80">
        <f t="shared" si="5"/>
        <v>0</v>
      </c>
      <c r="AF16" s="80">
        <f t="shared" si="5"/>
        <v>0</v>
      </c>
      <c r="AG16" s="80">
        <f t="shared" si="5"/>
        <v>0</v>
      </c>
      <c r="AH16" s="80">
        <f t="shared" si="5"/>
        <v>0</v>
      </c>
      <c r="AI16" s="80">
        <f t="shared" si="5"/>
        <v>0</v>
      </c>
      <c r="AJ16" s="80">
        <f t="shared" si="5"/>
        <v>0</v>
      </c>
      <c r="AK16" s="80">
        <f t="shared" si="5"/>
        <v>0</v>
      </c>
      <c r="AL16" s="80" t="str">
        <f>IF(ISERROR(AL6-AL10),"—",AL6-AL10)</f>
        <v>—</v>
      </c>
      <c r="AM16" s="80" t="str">
        <f t="shared" ref="AM16:AU16" si="6">IF(ISERROR(AM6-AM10),"—",AM6-AM10)</f>
        <v>—</v>
      </c>
      <c r="AN16" s="80" t="str">
        <f t="shared" si="6"/>
        <v>—</v>
      </c>
      <c r="AO16" s="80">
        <f t="shared" si="6"/>
        <v>0</v>
      </c>
      <c r="AP16" s="80">
        <f t="shared" si="6"/>
        <v>0</v>
      </c>
      <c r="AQ16" s="80">
        <f t="shared" si="6"/>
        <v>0</v>
      </c>
      <c r="AR16" s="80">
        <f t="shared" si="6"/>
        <v>0</v>
      </c>
      <c r="AS16" s="80">
        <f t="shared" si="6"/>
        <v>0</v>
      </c>
      <c r="AT16" s="80">
        <f t="shared" si="6"/>
        <v>0</v>
      </c>
      <c r="AU16" s="80">
        <f t="shared" si="6"/>
        <v>0</v>
      </c>
    </row>
    <row r="17" spans="1:47" s="68" customFormat="1" ht="14.15" outlineLevel="1">
      <c r="C17" s="69" t="s">
        <v>702</v>
      </c>
      <c r="D17" s="112"/>
      <c r="E17" s="71" t="str">
        <f>IF(ISERROR(E16/E6),"—",E16/E6)</f>
        <v>—</v>
      </c>
      <c r="F17" s="71"/>
      <c r="G17" s="71" t="str">
        <f>IF(ISERROR(G16/G6),"—",G16/G6)</f>
        <v>—</v>
      </c>
      <c r="H17" s="71"/>
      <c r="I17" s="71" t="str">
        <f>IF(ISERROR(I16/I6),"—",I16/I6)</f>
        <v>—</v>
      </c>
      <c r="J17" s="71"/>
      <c r="K17" s="71" t="str">
        <f>IF(ISERROR(K16/K6),"—",K16/K6)</f>
        <v>—</v>
      </c>
      <c r="L17" s="71"/>
      <c r="M17" s="71" t="str">
        <f>IF(ISERROR(M16/M6),"—",M16/M6)</f>
        <v>—</v>
      </c>
      <c r="N17" s="71"/>
      <c r="O17" s="71" t="str">
        <f t="shared" ref="O17:AN17" si="7">IF(ISERROR(O16/O6),"—",O16/O6)</f>
        <v>—</v>
      </c>
      <c r="P17" s="71" t="str">
        <f t="shared" si="7"/>
        <v>—</v>
      </c>
      <c r="Q17" s="71" t="str">
        <f t="shared" si="7"/>
        <v>—</v>
      </c>
      <c r="R17" s="71" t="str">
        <f t="shared" si="7"/>
        <v>—</v>
      </c>
      <c r="S17" s="71" t="str">
        <f t="shared" si="7"/>
        <v>—</v>
      </c>
      <c r="T17" s="71" t="str">
        <f t="shared" si="7"/>
        <v>—</v>
      </c>
      <c r="U17" s="71" t="str">
        <f t="shared" si="7"/>
        <v>—</v>
      </c>
      <c r="V17" s="71">
        <f t="shared" si="7"/>
        <v>0.74666962661786629</v>
      </c>
      <c r="W17" s="71">
        <f t="shared" si="7"/>
        <v>0.74914641319254505</v>
      </c>
      <c r="X17" s="71">
        <f t="shared" si="7"/>
        <v>0.76926085165338087</v>
      </c>
      <c r="Y17" s="71" t="str">
        <f t="shared" si="7"/>
        <v>—</v>
      </c>
      <c r="Z17" s="71" t="str">
        <f t="shared" si="7"/>
        <v>—</v>
      </c>
      <c r="AA17" s="71" t="str">
        <f t="shared" si="7"/>
        <v>—</v>
      </c>
      <c r="AB17" s="71" t="str">
        <f t="shared" si="7"/>
        <v>—</v>
      </c>
      <c r="AC17" s="71" t="str">
        <f t="shared" si="7"/>
        <v>—</v>
      </c>
      <c r="AD17" s="71" t="str">
        <f t="shared" si="7"/>
        <v>—</v>
      </c>
      <c r="AE17" s="71" t="str">
        <f t="shared" si="7"/>
        <v>—</v>
      </c>
      <c r="AF17" s="71" t="str">
        <f t="shared" si="7"/>
        <v>—</v>
      </c>
      <c r="AG17" s="71" t="str">
        <f t="shared" si="7"/>
        <v>—</v>
      </c>
      <c r="AH17" s="71" t="str">
        <f t="shared" si="7"/>
        <v>—</v>
      </c>
      <c r="AI17" s="71" t="str">
        <f t="shared" si="7"/>
        <v>—</v>
      </c>
      <c r="AJ17" s="71" t="str">
        <f t="shared" si="7"/>
        <v>—</v>
      </c>
      <c r="AK17" s="71" t="str">
        <f t="shared" si="7"/>
        <v>—</v>
      </c>
      <c r="AL17" s="71" t="str">
        <f t="shared" si="7"/>
        <v>—</v>
      </c>
      <c r="AM17" s="71" t="str">
        <f t="shared" si="7"/>
        <v>—</v>
      </c>
      <c r="AN17" s="71" t="str">
        <f t="shared" si="7"/>
        <v>—</v>
      </c>
      <c r="AO17" s="71" t="str">
        <f t="shared" ref="AO17:AU17" si="8">IF(ISERROR(AO16/AO6),"—",AO16/AO6)</f>
        <v>—</v>
      </c>
      <c r="AP17" s="71" t="str">
        <f t="shared" si="8"/>
        <v>—</v>
      </c>
      <c r="AQ17" s="71" t="str">
        <f t="shared" si="8"/>
        <v>—</v>
      </c>
      <c r="AR17" s="71" t="str">
        <f t="shared" si="8"/>
        <v>—</v>
      </c>
      <c r="AS17" s="71" t="str">
        <f t="shared" si="8"/>
        <v>—</v>
      </c>
      <c r="AT17" s="71" t="str">
        <f t="shared" si="8"/>
        <v>—</v>
      </c>
      <c r="AU17" s="71" t="str">
        <f t="shared" si="8"/>
        <v>—</v>
      </c>
    </row>
    <row r="18" spans="1:47" s="423" customFormat="1" ht="14.15" outlineLevel="1">
      <c r="B18" s="424"/>
      <c r="C18" s="421" t="s">
        <v>781</v>
      </c>
      <c r="D18" s="425"/>
      <c r="E18" s="422"/>
      <c r="F18" s="422"/>
      <c r="G18" s="422"/>
      <c r="H18" s="422"/>
      <c r="I18" s="422" t="str">
        <f t="shared" ref="I18:Q18" si="9">IF(ISERROR((I16-E16)/ABS(E16)),"—",(I16-E16)/ABS(E16))</f>
        <v>—</v>
      </c>
      <c r="J18" s="422" t="str">
        <f t="shared" si="9"/>
        <v>—</v>
      </c>
      <c r="K18" s="422" t="str">
        <f t="shared" si="9"/>
        <v>—</v>
      </c>
      <c r="L18" s="422" t="str">
        <f t="shared" si="9"/>
        <v>—</v>
      </c>
      <c r="M18" s="422" t="str">
        <f t="shared" si="9"/>
        <v>—</v>
      </c>
      <c r="N18" s="422" t="str">
        <f t="shared" si="9"/>
        <v>—</v>
      </c>
      <c r="O18" s="422" t="str">
        <f t="shared" si="9"/>
        <v>—</v>
      </c>
      <c r="P18" s="422" t="str">
        <f t="shared" si="9"/>
        <v>—</v>
      </c>
      <c r="Q18" s="422" t="str">
        <f t="shared" si="9"/>
        <v>—</v>
      </c>
      <c r="R18" s="422" t="str">
        <f t="shared" ref="R18:AK18" si="10">IF(ISERROR((R16-N16)/ABS(N16)),"—",(R16-N16)/ABS(N16))</f>
        <v>—</v>
      </c>
      <c r="S18" s="422" t="str">
        <f t="shared" si="10"/>
        <v>—</v>
      </c>
      <c r="T18" s="422" t="str">
        <f t="shared" si="10"/>
        <v>—</v>
      </c>
      <c r="U18" s="422" t="str">
        <f t="shared" si="10"/>
        <v>—</v>
      </c>
      <c r="V18" s="422" t="str">
        <f t="shared" si="10"/>
        <v>—</v>
      </c>
      <c r="W18" s="422" t="str">
        <f t="shared" si="10"/>
        <v>—</v>
      </c>
      <c r="X18" s="422" t="str">
        <f t="shared" si="10"/>
        <v>—</v>
      </c>
      <c r="Y18" s="422" t="str">
        <f t="shared" si="10"/>
        <v>—</v>
      </c>
      <c r="Z18" s="422">
        <f t="shared" si="10"/>
        <v>-1</v>
      </c>
      <c r="AA18" s="422">
        <f t="shared" si="10"/>
        <v>-1</v>
      </c>
      <c r="AB18" s="422">
        <f t="shared" si="10"/>
        <v>-1</v>
      </c>
      <c r="AC18" s="422" t="str">
        <f t="shared" si="10"/>
        <v>—</v>
      </c>
      <c r="AD18" s="422" t="str">
        <f t="shared" si="10"/>
        <v>—</v>
      </c>
      <c r="AE18" s="422" t="str">
        <f t="shared" si="10"/>
        <v>—</v>
      </c>
      <c r="AF18" s="422" t="str">
        <f t="shared" si="10"/>
        <v>—</v>
      </c>
      <c r="AG18" s="422" t="str">
        <f t="shared" si="10"/>
        <v>—</v>
      </c>
      <c r="AH18" s="422" t="str">
        <f t="shared" si="10"/>
        <v>—</v>
      </c>
      <c r="AI18" s="422" t="str">
        <f t="shared" si="10"/>
        <v>—</v>
      </c>
      <c r="AJ18" s="422" t="str">
        <f t="shared" si="10"/>
        <v>—</v>
      </c>
      <c r="AK18" s="422" t="str">
        <f t="shared" si="10"/>
        <v>—</v>
      </c>
      <c r="AL18" s="422" t="str">
        <f>AG18</f>
        <v>—</v>
      </c>
      <c r="AM18" s="422" t="str">
        <f>AL18</f>
        <v>—</v>
      </c>
      <c r="AN18" s="422" t="str">
        <f>AM18</f>
        <v>—</v>
      </c>
      <c r="AO18" s="422" t="str">
        <f t="shared" ref="AO18:AU18" si="11">IF(ISERROR(AO16/AN16-1),"—",AO16/AN16-1)</f>
        <v>—</v>
      </c>
      <c r="AP18" s="422" t="str">
        <f t="shared" si="11"/>
        <v>—</v>
      </c>
      <c r="AQ18" s="422" t="str">
        <f t="shared" si="11"/>
        <v>—</v>
      </c>
      <c r="AR18" s="422" t="str">
        <f t="shared" si="11"/>
        <v>—</v>
      </c>
      <c r="AS18" s="422" t="str">
        <f t="shared" si="11"/>
        <v>—</v>
      </c>
      <c r="AT18" s="422" t="str">
        <f t="shared" si="11"/>
        <v>—</v>
      </c>
      <c r="AU18" s="422" t="str">
        <f t="shared" si="11"/>
        <v>—</v>
      </c>
    </row>
    <row r="19" spans="1:47" ht="14.15" outlineLevel="1">
      <c r="A19" s="68"/>
      <c r="B19" s="53"/>
      <c r="C19" s="70"/>
      <c r="D19" s="113"/>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f>AG19</f>
        <v>0</v>
      </c>
      <c r="AM19" s="36">
        <f>AL19</f>
        <v>0</v>
      </c>
      <c r="AN19" s="36">
        <f>AM19</f>
        <v>0</v>
      </c>
      <c r="AO19" s="36"/>
      <c r="AP19" s="36"/>
      <c r="AQ19" s="36"/>
      <c r="AR19" s="36"/>
      <c r="AS19" s="36"/>
      <c r="AT19" s="36"/>
      <c r="AU19" s="36"/>
    </row>
    <row r="20" spans="1:47" s="68" customFormat="1" ht="14.15" outlineLevel="1">
      <c r="A20" s="496" t="s">
        <v>992</v>
      </c>
      <c r="B20" s="42" t="s">
        <v>847</v>
      </c>
      <c r="C20" s="82"/>
      <c r="D20" s="107"/>
      <c r="E20" s="83">
        <f>财务基础数据!J13*目录!$D$6</f>
        <v>0</v>
      </c>
      <c r="F20" s="83">
        <f>财务基础数据!K13*目录!$D$6</f>
        <v>0</v>
      </c>
      <c r="G20" s="83">
        <f>财务基础数据!L13*目录!$D$6</f>
        <v>0</v>
      </c>
      <c r="H20" s="83">
        <f>财务基础数据!M13*目录!$D$6</f>
        <v>0</v>
      </c>
      <c r="I20" s="83">
        <f>财务基础数据!N13*目录!$D$6</f>
        <v>0</v>
      </c>
      <c r="J20" s="83">
        <f>财务基础数据!O13*目录!$D$6</f>
        <v>0</v>
      </c>
      <c r="K20" s="83">
        <f>财务基础数据!P13*目录!$D$6</f>
        <v>0</v>
      </c>
      <c r="L20" s="83">
        <f>财务基础数据!Q13*目录!$D$6</f>
        <v>0</v>
      </c>
      <c r="M20" s="83">
        <f>财务基础数据!R13*目录!$D$6</f>
        <v>0</v>
      </c>
      <c r="N20" s="83">
        <f>财务基础数据!S13*目录!$D$6</f>
        <v>0</v>
      </c>
      <c r="O20" s="83">
        <f>财务基础数据!T13*目录!$D$6</f>
        <v>0</v>
      </c>
      <c r="P20" s="83">
        <f>财务基础数据!U13*目录!$D$6</f>
        <v>0</v>
      </c>
      <c r="Q20" s="83">
        <f>财务基础数据!V13*目录!$D$6</f>
        <v>0</v>
      </c>
      <c r="R20" s="83">
        <f>财务基础数据!W13*目录!$D$6</f>
        <v>0</v>
      </c>
      <c r="S20" s="83">
        <f>财务基础数据!X13*目录!$D$6</f>
        <v>0</v>
      </c>
      <c r="T20" s="83">
        <f>财务基础数据!Y13*目录!$D$6</f>
        <v>0</v>
      </c>
      <c r="U20" s="83">
        <f>财务基础数据!Z13*目录!$D$6</f>
        <v>0</v>
      </c>
      <c r="V20" s="83">
        <f>财务基础数据!AA13*目录!$D$6</f>
        <v>343.67688754</v>
      </c>
      <c r="W20" s="83">
        <f>财务基础数据!AB13*目录!$D$6</f>
        <v>720.15036743999997</v>
      </c>
      <c r="X20" s="83">
        <f>财务基础数据!AC13*目录!$D$6</f>
        <v>1059.3593532499999</v>
      </c>
      <c r="Y20" s="83">
        <f>财务基础数据!AD13*目录!$D$6</f>
        <v>0</v>
      </c>
      <c r="Z20" s="83">
        <f>财务基础数据!AE13*目录!$D$6</f>
        <v>0</v>
      </c>
      <c r="AA20" s="83">
        <f>财务基础数据!AF13*目录!$D$6</f>
        <v>0</v>
      </c>
      <c r="AB20" s="83">
        <f>财务基础数据!AG13*目录!$D$6</f>
        <v>0</v>
      </c>
      <c r="AC20" s="83">
        <f>财务基础数据!AH13*目录!$D$6</f>
        <v>0</v>
      </c>
      <c r="AD20" s="83">
        <f>财务基础数据!AI13*目录!$D$6</f>
        <v>0</v>
      </c>
      <c r="AE20" s="83">
        <f>财务基础数据!AJ13*目录!$D$6</f>
        <v>0</v>
      </c>
      <c r="AF20" s="83">
        <f>财务基础数据!AK13*目录!$D$6</f>
        <v>0</v>
      </c>
      <c r="AG20" s="83">
        <f>财务基础数据!AL13*目录!$D$6</f>
        <v>0</v>
      </c>
      <c r="AH20" s="83">
        <f>财务基础数据!AM13*目录!$D$6</f>
        <v>0</v>
      </c>
      <c r="AI20" s="83">
        <f>财务基础数据!AN13*目录!$D$6</f>
        <v>0</v>
      </c>
      <c r="AJ20" s="83">
        <f>财务基础数据!AO13*目录!$D$6</f>
        <v>0</v>
      </c>
      <c r="AK20" s="83">
        <f>财务基础数据!AP13*目录!$D$6</f>
        <v>0</v>
      </c>
      <c r="AL20" s="36" t="str">
        <f>IF(ISERROR(销售预测!V16),"—",销售预测!V16)</f>
        <v>—</v>
      </c>
      <c r="AM20" s="36" t="str">
        <f>IF(ISERROR(销售预测!W16),"—",销售预测!W16)</f>
        <v>—</v>
      </c>
      <c r="AN20" s="36" t="str">
        <f>IF(ISERROR(销售预测!X16),"—",销售预测!X16)</f>
        <v>—</v>
      </c>
      <c r="AO20" s="36">
        <f>IF(ISERROR(销售预测!Y16),"—",销售预测!Y16)</f>
        <v>0</v>
      </c>
      <c r="AP20" s="36">
        <f>IF(ISERROR(销售预测!Z16),"—",销售预测!Z16)</f>
        <v>0</v>
      </c>
      <c r="AQ20" s="36">
        <f>IF(ISERROR(销售预测!AA16),"—",销售预测!AA16)</f>
        <v>0</v>
      </c>
      <c r="AR20" s="36">
        <f>IF(ISERROR(销售预测!AB16),"—",销售预测!AB16)</f>
        <v>0</v>
      </c>
      <c r="AS20" s="36">
        <f>IF(ISERROR(销售预测!AC16),"—",销售预测!AC16)</f>
        <v>0</v>
      </c>
      <c r="AT20" s="36">
        <f>IF(ISERROR(销售预测!AD16),"—",销售预测!AD16)</f>
        <v>0</v>
      </c>
      <c r="AU20" s="36">
        <f>IF(ISERROR(销售预测!AE16),"—",销售预测!AE16)</f>
        <v>0</v>
      </c>
    </row>
    <row r="21" spans="1:47" ht="14.15" outlineLevel="1">
      <c r="C21" s="81" t="s">
        <v>786</v>
      </c>
      <c r="E21" s="71" t="str">
        <f>IF(ISERROR(E20/E6),"—",E20/E6)</f>
        <v>—</v>
      </c>
      <c r="F21" s="71"/>
      <c r="G21" s="71" t="str">
        <f>IF(ISERROR(G20/G6),"—",G20/G6)</f>
        <v>—</v>
      </c>
      <c r="H21" s="71"/>
      <c r="I21" s="71" t="str">
        <f>IF(ISERROR(I20/I6),"—",I20/I6)</f>
        <v>—</v>
      </c>
      <c r="J21" s="71"/>
      <c r="K21" s="71" t="str">
        <f>IF(ISERROR(K20/K6),"—",K20/K6)</f>
        <v>—</v>
      </c>
      <c r="L21" s="71"/>
      <c r="M21" s="71" t="str">
        <f>IF(ISERROR(M20/M6),"—",M20/M6)</f>
        <v>—</v>
      </c>
      <c r="N21" s="71"/>
      <c r="O21" s="71" t="str">
        <f t="shared" ref="O21:AL21" si="12">IF(ISERROR(O20/O6),"—",O20/O6)</f>
        <v>—</v>
      </c>
      <c r="P21" s="71" t="str">
        <f t="shared" si="12"/>
        <v>—</v>
      </c>
      <c r="Q21" s="71" t="str">
        <f t="shared" si="12"/>
        <v>—</v>
      </c>
      <c r="R21" s="71" t="str">
        <f t="shared" si="12"/>
        <v>—</v>
      </c>
      <c r="S21" s="71" t="str">
        <f t="shared" si="12"/>
        <v>—</v>
      </c>
      <c r="T21" s="71" t="str">
        <f t="shared" si="12"/>
        <v>—</v>
      </c>
      <c r="U21" s="71" t="str">
        <f t="shared" si="12"/>
        <v>—</v>
      </c>
      <c r="V21" s="71">
        <f t="shared" si="12"/>
        <v>0.10198231041520744</v>
      </c>
      <c r="W21" s="71">
        <f t="shared" si="12"/>
        <v>0.11216712732265785</v>
      </c>
      <c r="X21" s="71">
        <f t="shared" si="12"/>
        <v>0.11436589363664162</v>
      </c>
      <c r="Y21" s="71" t="str">
        <f t="shared" si="12"/>
        <v>—</v>
      </c>
      <c r="Z21" s="71" t="str">
        <f t="shared" si="12"/>
        <v>—</v>
      </c>
      <c r="AA21" s="71" t="str">
        <f t="shared" si="12"/>
        <v>—</v>
      </c>
      <c r="AB21" s="71" t="str">
        <f t="shared" si="12"/>
        <v>—</v>
      </c>
      <c r="AC21" s="71" t="str">
        <f t="shared" si="12"/>
        <v>—</v>
      </c>
      <c r="AD21" s="71" t="str">
        <f t="shared" si="12"/>
        <v>—</v>
      </c>
      <c r="AE21" s="71" t="str">
        <f t="shared" si="12"/>
        <v>—</v>
      </c>
      <c r="AF21" s="71" t="str">
        <f t="shared" si="12"/>
        <v>—</v>
      </c>
      <c r="AG21" s="71" t="str">
        <f t="shared" si="12"/>
        <v>—</v>
      </c>
      <c r="AH21" s="71" t="str">
        <f t="shared" si="12"/>
        <v>—</v>
      </c>
      <c r="AI21" s="71" t="str">
        <f t="shared" si="12"/>
        <v>—</v>
      </c>
      <c r="AJ21" s="71" t="str">
        <f t="shared" si="12"/>
        <v>—</v>
      </c>
      <c r="AK21" s="71" t="str">
        <f t="shared" si="12"/>
        <v>—</v>
      </c>
      <c r="AL21" s="71" t="str">
        <f t="shared" si="12"/>
        <v>—</v>
      </c>
      <c r="AM21" s="71" t="str">
        <f>IF(ISERROR(AM20/AM6),"—",AM20/AM6)</f>
        <v>—</v>
      </c>
      <c r="AN21" s="71" t="str">
        <f>IF(ISERROR(AN20/AN6),"—",AN20/AN6)</f>
        <v>—</v>
      </c>
      <c r="AO21" s="71" t="str">
        <f t="shared" ref="AO21:AU21" si="13">IF(ISERROR(AO20/AO6),"—",AO20/AO6)</f>
        <v>—</v>
      </c>
      <c r="AP21" s="71" t="str">
        <f t="shared" si="13"/>
        <v>—</v>
      </c>
      <c r="AQ21" s="71" t="str">
        <f t="shared" si="13"/>
        <v>—</v>
      </c>
      <c r="AR21" s="71" t="str">
        <f t="shared" si="13"/>
        <v>—</v>
      </c>
      <c r="AS21" s="71" t="str">
        <f t="shared" si="13"/>
        <v>—</v>
      </c>
      <c r="AT21" s="71" t="str">
        <f t="shared" si="13"/>
        <v>—</v>
      </c>
      <c r="AU21" s="71" t="str">
        <f t="shared" si="13"/>
        <v>—</v>
      </c>
    </row>
    <row r="22" spans="1:47" ht="13.75" outlineLevel="1">
      <c r="B22" s="42" t="s">
        <v>787</v>
      </c>
      <c r="E22" s="36">
        <f>财务基础数据!J17*目录!$D$6</f>
        <v>0</v>
      </c>
      <c r="F22" s="36">
        <f>财务基础数据!K17*目录!$D$6</f>
        <v>0</v>
      </c>
      <c r="G22" s="36">
        <f>财务基础数据!L17*目录!$D$6</f>
        <v>0</v>
      </c>
      <c r="H22" s="36">
        <f>财务基础数据!M17*目录!$D$6</f>
        <v>0</v>
      </c>
      <c r="I22" s="36">
        <f>财务基础数据!N17*目录!$D$6</f>
        <v>0</v>
      </c>
      <c r="J22" s="36">
        <f>财务基础数据!O17*目录!$D$6</f>
        <v>0</v>
      </c>
      <c r="K22" s="36">
        <f>财务基础数据!P17*目录!$D$6</f>
        <v>0</v>
      </c>
      <c r="L22" s="36">
        <f>财务基础数据!Q17*目录!$D$6</f>
        <v>0</v>
      </c>
      <c r="M22" s="36">
        <f>财务基础数据!R17*目录!$D$6</f>
        <v>0</v>
      </c>
      <c r="N22" s="36">
        <f>财务基础数据!S17*目录!$D$6</f>
        <v>0</v>
      </c>
      <c r="O22" s="36">
        <f>财务基础数据!T17*目录!$D$6</f>
        <v>0</v>
      </c>
      <c r="P22" s="36">
        <f>财务基础数据!U17*目录!$D$6</f>
        <v>0</v>
      </c>
      <c r="Q22" s="36">
        <f>财务基础数据!V17*目录!$D$6</f>
        <v>0</v>
      </c>
      <c r="R22" s="36">
        <f>财务基础数据!W17*目录!$D$6</f>
        <v>0</v>
      </c>
      <c r="S22" s="36">
        <f>财务基础数据!X17*目录!$D$6</f>
        <v>0</v>
      </c>
      <c r="T22" s="36">
        <f>财务基础数据!Y17*目录!$D$6</f>
        <v>0</v>
      </c>
      <c r="U22" s="36">
        <f>财务基础数据!Z17*目录!$D$6</f>
        <v>0</v>
      </c>
      <c r="V22" s="36">
        <f>财务基础数据!AA17*目录!$D$6</f>
        <v>613.47947542999987</v>
      </c>
      <c r="W22" s="36">
        <f>财务基础数据!AB17*目录!$D$6</f>
        <v>1191.3940408999999</v>
      </c>
      <c r="X22" s="36">
        <f>财务基础数据!AC17*目录!$D$6</f>
        <v>2082.6993748299997</v>
      </c>
      <c r="Y22" s="36">
        <f>财务基础数据!AD17*目录!$D$6</f>
        <v>0</v>
      </c>
      <c r="Z22" s="36">
        <f>财务基础数据!AE17*目录!$D$6</f>
        <v>0</v>
      </c>
      <c r="AA22" s="36">
        <f>财务基础数据!AF17*目录!$D$6</f>
        <v>0</v>
      </c>
      <c r="AB22" s="36">
        <f>财务基础数据!AG17*目录!$D$6</f>
        <v>0</v>
      </c>
      <c r="AC22" s="36">
        <f>财务基础数据!AH17*目录!$D$6</f>
        <v>0</v>
      </c>
      <c r="AD22" s="36">
        <f>财务基础数据!AI17*目录!$D$6</f>
        <v>0</v>
      </c>
      <c r="AE22" s="36">
        <f>财务基础数据!AJ17*目录!$D$6</f>
        <v>0</v>
      </c>
      <c r="AF22" s="36">
        <f>财务基础数据!AK17*目录!$D$6</f>
        <v>0</v>
      </c>
      <c r="AG22" s="36">
        <f>财务基础数据!AL17*目录!$D$6</f>
        <v>0</v>
      </c>
      <c r="AH22" s="36">
        <f>财务基础数据!AM17*目录!$D$6</f>
        <v>0</v>
      </c>
      <c r="AI22" s="36">
        <f>财务基础数据!AN17*目录!$D$6</f>
        <v>0</v>
      </c>
      <c r="AJ22" s="36">
        <f>财务基础数据!AO17*目录!$D$6</f>
        <v>0</v>
      </c>
      <c r="AK22" s="36">
        <f>财务基础数据!AP17*目录!$D$6</f>
        <v>0</v>
      </c>
      <c r="AL22" s="36" t="str">
        <f>IF(ISERROR(销售预测!V19),"—",销售预测!V19)</f>
        <v>—</v>
      </c>
      <c r="AM22" s="36" t="str">
        <f>IF(ISERROR(销售预测!W19),"—",销售预测!W19)</f>
        <v>—</v>
      </c>
      <c r="AN22" s="36" t="str">
        <f>IF(ISERROR(销售预测!X19),"—",销售预测!X19)</f>
        <v>—</v>
      </c>
      <c r="AO22" s="36">
        <f>IF(ISERROR(销售预测!Y19),"—",销售预测!Y19)</f>
        <v>0</v>
      </c>
      <c r="AP22" s="36">
        <f>IF(ISERROR(销售预测!Z19),"—",销售预测!Z19)</f>
        <v>0</v>
      </c>
      <c r="AQ22" s="36">
        <f>IF(ISERROR(销售预测!AA19),"—",销售预测!AA19)</f>
        <v>0</v>
      </c>
      <c r="AR22" s="36">
        <f>IF(ISERROR(销售预测!AB19),"—",销售预测!AB19)</f>
        <v>0</v>
      </c>
      <c r="AS22" s="36">
        <f>IF(ISERROR(销售预测!AC19),"—",销售预测!AC19)</f>
        <v>0</v>
      </c>
      <c r="AT22" s="36">
        <f>IF(ISERROR(销售预测!AD19),"—",销售预测!AD19)</f>
        <v>0</v>
      </c>
      <c r="AU22" s="36">
        <f>IF(ISERROR(销售预测!AE19),"—",销售预测!AE19)</f>
        <v>0</v>
      </c>
    </row>
    <row r="23" spans="1:47" ht="14.15" outlineLevel="1">
      <c r="C23" s="81" t="s">
        <v>786</v>
      </c>
      <c r="E23" s="71" t="str">
        <f>IF(ISERROR(E22/E6),"—",E22/E6)</f>
        <v>—</v>
      </c>
      <c r="F23" s="71"/>
      <c r="G23" s="71" t="str">
        <f>IF(ISERROR(G22/G6),"—",G22/G6)</f>
        <v>—</v>
      </c>
      <c r="H23" s="71"/>
      <c r="I23" s="71" t="str">
        <f>IF(ISERROR(I22/I6),"—",I22/I6)</f>
        <v>—</v>
      </c>
      <c r="J23" s="71"/>
      <c r="K23" s="71" t="str">
        <f>IF(ISERROR(K22/K6),"—",K22/K6)</f>
        <v>—</v>
      </c>
      <c r="L23" s="71"/>
      <c r="M23" s="71" t="str">
        <f>IF(ISERROR(M22/M6),"—",M22/M6)</f>
        <v>—</v>
      </c>
      <c r="N23" s="71"/>
      <c r="O23" s="71" t="str">
        <f t="shared" ref="O23:AL23" si="14">IF(ISERROR(O22/O6),"—",O22/O6)</f>
        <v>—</v>
      </c>
      <c r="P23" s="71" t="str">
        <f t="shared" si="14"/>
        <v>—</v>
      </c>
      <c r="Q23" s="71" t="str">
        <f t="shared" si="14"/>
        <v>—</v>
      </c>
      <c r="R23" s="71" t="str">
        <f t="shared" si="14"/>
        <v>—</v>
      </c>
      <c r="S23" s="71" t="str">
        <f t="shared" si="14"/>
        <v>—</v>
      </c>
      <c r="T23" s="71" t="str">
        <f t="shared" si="14"/>
        <v>—</v>
      </c>
      <c r="U23" s="71" t="str">
        <f t="shared" si="14"/>
        <v>—</v>
      </c>
      <c r="V23" s="71">
        <f t="shared" si="14"/>
        <v>0.18204324051142121</v>
      </c>
      <c r="W23" s="71">
        <f t="shared" si="14"/>
        <v>0.18556575559647975</v>
      </c>
      <c r="X23" s="71">
        <f t="shared" si="14"/>
        <v>0.22484322666163023</v>
      </c>
      <c r="Y23" s="71" t="str">
        <f t="shared" si="14"/>
        <v>—</v>
      </c>
      <c r="Z23" s="71" t="str">
        <f t="shared" si="14"/>
        <v>—</v>
      </c>
      <c r="AA23" s="71" t="str">
        <f t="shared" si="14"/>
        <v>—</v>
      </c>
      <c r="AB23" s="71" t="str">
        <f t="shared" si="14"/>
        <v>—</v>
      </c>
      <c r="AC23" s="71" t="str">
        <f t="shared" si="14"/>
        <v>—</v>
      </c>
      <c r="AD23" s="71" t="str">
        <f t="shared" si="14"/>
        <v>—</v>
      </c>
      <c r="AE23" s="71" t="str">
        <f t="shared" si="14"/>
        <v>—</v>
      </c>
      <c r="AF23" s="71" t="str">
        <f t="shared" si="14"/>
        <v>—</v>
      </c>
      <c r="AG23" s="71" t="str">
        <f t="shared" si="14"/>
        <v>—</v>
      </c>
      <c r="AH23" s="71" t="str">
        <f t="shared" si="14"/>
        <v>—</v>
      </c>
      <c r="AI23" s="71" t="str">
        <f t="shared" si="14"/>
        <v>—</v>
      </c>
      <c r="AJ23" s="71" t="str">
        <f t="shared" si="14"/>
        <v>—</v>
      </c>
      <c r="AK23" s="71" t="str">
        <f t="shared" si="14"/>
        <v>—</v>
      </c>
      <c r="AL23" s="71" t="str">
        <f t="shared" si="14"/>
        <v>—</v>
      </c>
      <c r="AM23" s="71" t="str">
        <f>IF(ISERROR(AM22/AM6),"—",AM22/AM6)</f>
        <v>—</v>
      </c>
      <c r="AN23" s="71" t="str">
        <f>IF(ISERROR(AN22/AN6),"—",AN22/AN6)</f>
        <v>—</v>
      </c>
      <c r="AO23" s="71" t="str">
        <f t="shared" ref="AO23:AU23" si="15">IF(ISERROR(AO22/AO6),"—",AO22/AO6)</f>
        <v>—</v>
      </c>
      <c r="AP23" s="71" t="str">
        <f t="shared" si="15"/>
        <v>—</v>
      </c>
      <c r="AQ23" s="71" t="str">
        <f t="shared" si="15"/>
        <v>—</v>
      </c>
      <c r="AR23" s="71" t="str">
        <f t="shared" si="15"/>
        <v>—</v>
      </c>
      <c r="AS23" s="71" t="str">
        <f t="shared" si="15"/>
        <v>—</v>
      </c>
      <c r="AT23" s="71" t="str">
        <f t="shared" si="15"/>
        <v>—</v>
      </c>
      <c r="AU23" s="71" t="str">
        <f t="shared" si="15"/>
        <v>—</v>
      </c>
    </row>
    <row r="24" spans="1:47" s="68" customFormat="1" ht="13.75">
      <c r="B24" s="51" t="s">
        <v>709</v>
      </c>
      <c r="C24" s="75"/>
      <c r="D24" s="112"/>
      <c r="E24" s="36">
        <f>(财务基础数据!J18+财务基础数据!J16+财务基础数据!J20)*目录!$D$6</f>
        <v>0</v>
      </c>
      <c r="F24" s="36">
        <f>(财务基础数据!K18+财务基础数据!K16+财务基础数据!K20)*目录!$D$6</f>
        <v>0</v>
      </c>
      <c r="G24" s="36">
        <f>(财务基础数据!L18+财务基础数据!L16+财务基础数据!L20)*目录!$D$6</f>
        <v>0</v>
      </c>
      <c r="H24" s="36">
        <f>(财务基础数据!M18+财务基础数据!M16+财务基础数据!M20)*目录!$D$6</f>
        <v>0</v>
      </c>
      <c r="I24" s="36">
        <f>(财务基础数据!N18+财务基础数据!N16+财务基础数据!N20)*目录!$D$6</f>
        <v>0</v>
      </c>
      <c r="J24" s="36">
        <f>(财务基础数据!O18+财务基础数据!O16+财务基础数据!O20)*目录!$D$6</f>
        <v>0</v>
      </c>
      <c r="K24" s="36">
        <f>(财务基础数据!P18+财务基础数据!P16+财务基础数据!P20)*目录!$D$6</f>
        <v>0</v>
      </c>
      <c r="L24" s="36">
        <f>(财务基础数据!Q18+财务基础数据!Q16+财务基础数据!Q20)*目录!$D$6</f>
        <v>0</v>
      </c>
      <c r="M24" s="36">
        <f>(财务基础数据!R18+财务基础数据!R16+财务基础数据!R20)*目录!$D$6</f>
        <v>0</v>
      </c>
      <c r="N24" s="36">
        <f>(财务基础数据!S18+财务基础数据!S16+财务基础数据!S20)*目录!$D$6</f>
        <v>0</v>
      </c>
      <c r="O24" s="36">
        <f>(财务基础数据!T18+财务基础数据!T16+财务基础数据!T20)*目录!$D$6</f>
        <v>0</v>
      </c>
      <c r="P24" s="36">
        <f>(财务基础数据!U18+财务基础数据!U16+财务基础数据!U20)*目录!$D$6</f>
        <v>0</v>
      </c>
      <c r="Q24" s="36">
        <f>(财务基础数据!V18+财务基础数据!V16+财务基础数据!V20)*目录!$D$6</f>
        <v>0</v>
      </c>
      <c r="R24" s="36">
        <f>(财务基础数据!W18+财务基础数据!W16+财务基础数据!W20)*目录!$D$6</f>
        <v>0</v>
      </c>
      <c r="S24" s="36">
        <f>(财务基础数据!X18+财务基础数据!X16+财务基础数据!X20)*目录!$D$6</f>
        <v>0</v>
      </c>
      <c r="T24" s="36">
        <f>(财务基础数据!Y18+财务基础数据!Y16+财务基础数据!Y20)*目录!$D$6</f>
        <v>0</v>
      </c>
      <c r="U24" s="36">
        <f>(财务基础数据!Z18+财务基础数据!Z16+财务基础数据!Z20)*目录!$D$6</f>
        <v>0</v>
      </c>
      <c r="V24" s="36">
        <f>(财务基础数据!AA18+财务基础数据!AA16+财务基础数据!AA20)*目录!$D$6</f>
        <v>127.61458323999999</v>
      </c>
      <c r="W24" s="36">
        <f>(财务基础数据!AB18+财务基础数据!AB16+财务基础数据!AB20)*目录!$D$6</f>
        <v>343.91099055000001</v>
      </c>
      <c r="X24" s="36">
        <f>(财务基础数据!AC18+财务基础数据!AC16+财务基础数据!AC20)*目录!$D$6</f>
        <v>488.72903760000003</v>
      </c>
      <c r="Y24" s="36">
        <f>(财务基础数据!AD18+财务基础数据!AD16+财务基础数据!AD20)*目录!$D$6</f>
        <v>0</v>
      </c>
      <c r="Z24" s="36">
        <f>(财务基础数据!AE18+财务基础数据!AE16+财务基础数据!AE20)*目录!$D$6</f>
        <v>0</v>
      </c>
      <c r="AA24" s="36">
        <f>(财务基础数据!AF18+财务基础数据!AF16+财务基础数据!AF20)*目录!$D$6</f>
        <v>0</v>
      </c>
      <c r="AB24" s="36">
        <f>(财务基础数据!AG18+财务基础数据!AG16+财务基础数据!AG20)*目录!$D$6</f>
        <v>0</v>
      </c>
      <c r="AC24" s="36">
        <f>(财务基础数据!AH18+财务基础数据!AH16+财务基础数据!AH20)*目录!$D$6</f>
        <v>0</v>
      </c>
      <c r="AD24" s="36">
        <f>(财务基础数据!AI18+财务基础数据!AI16+财务基础数据!AI20)*目录!$D$6</f>
        <v>0</v>
      </c>
      <c r="AE24" s="36">
        <f>(财务基础数据!AJ18+财务基础数据!AJ16+财务基础数据!AJ20)*目录!$D$6</f>
        <v>0</v>
      </c>
      <c r="AF24" s="36">
        <f>(财务基础数据!AK18+财务基础数据!AK16+财务基础数据!AK20)*目录!$D$6</f>
        <v>0</v>
      </c>
      <c r="AG24" s="36">
        <f>(财务基础数据!AL18+财务基础数据!AL16+财务基础数据!AL20)*目录!$D$6</f>
        <v>0</v>
      </c>
      <c r="AH24" s="36">
        <f>(财务基础数据!AM18+财务基础数据!AM16+财务基础数据!AM20)*目录!$D$6</f>
        <v>0</v>
      </c>
      <c r="AI24" s="36">
        <f>(财务基础数据!AN18+财务基础数据!AN16+财务基础数据!AN20)*目录!$D$6</f>
        <v>0</v>
      </c>
      <c r="AJ24" s="36">
        <f>(财务基础数据!AO18+财务基础数据!AO16+财务基础数据!AO20)*目录!$D$6</f>
        <v>0</v>
      </c>
      <c r="AK24" s="36">
        <f>(财务基础数据!AP18+财务基础数据!AP16+财务基础数据!AP20)*目录!$D$6</f>
        <v>0</v>
      </c>
      <c r="AL24" s="36" t="str">
        <f>IF(ISERROR(销售预测!V22),"—",销售预测!V22)</f>
        <v>—</v>
      </c>
      <c r="AM24" s="36" t="str">
        <f>IF(ISERROR(销售预测!W22),"—",销售预测!W22)</f>
        <v>—</v>
      </c>
      <c r="AN24" s="36" t="str">
        <f>IF(ISERROR(销售预测!X22),"—",销售预测!X22)</f>
        <v>—</v>
      </c>
      <c r="AO24" s="36">
        <f>IF(ISERROR(销售预测!Y22),"—",销售预测!Y22)</f>
        <v>0</v>
      </c>
      <c r="AP24" s="36">
        <f>IF(ISERROR(销售预测!Z22),"—",销售预测!Z22)</f>
        <v>0</v>
      </c>
      <c r="AQ24" s="36">
        <f>IF(ISERROR(销售预测!AA22),"—",销售预测!AA22)</f>
        <v>0</v>
      </c>
      <c r="AR24" s="36">
        <f>IF(ISERROR(销售预测!AB22),"—",销售预测!AB22)</f>
        <v>0</v>
      </c>
      <c r="AS24" s="36">
        <f>IF(ISERROR(销售预测!AC22),"—",销售预测!AC22)</f>
        <v>0</v>
      </c>
      <c r="AT24" s="36">
        <f>IF(ISERROR(销售预测!AD22),"—",销售预测!AD22)</f>
        <v>0</v>
      </c>
      <c r="AU24" s="36">
        <f>IF(ISERROR(销售预测!AE22),"—",销售预测!AE22)</f>
        <v>0</v>
      </c>
    </row>
    <row r="25" spans="1:47" ht="14.15">
      <c r="B25" s="84"/>
      <c r="C25" s="81" t="s">
        <v>786</v>
      </c>
      <c r="E25" s="85" t="str">
        <f>IF(ISERROR(E24/E6),"—",E24/E6)</f>
        <v>—</v>
      </c>
      <c r="F25" s="85"/>
      <c r="G25" s="85" t="str">
        <f>IF(ISERROR(G24/G6),"—",G24/G6)</f>
        <v>—</v>
      </c>
      <c r="H25" s="85"/>
      <c r="I25" s="85" t="str">
        <f>IF(ISERROR(I24/I6),"—",I24/I6)</f>
        <v>—</v>
      </c>
      <c r="J25" s="85"/>
      <c r="K25" s="85" t="str">
        <f>IF(ISERROR(K24/K6),"—",K24/K6)</f>
        <v>—</v>
      </c>
      <c r="L25" s="85"/>
      <c r="M25" s="85" t="str">
        <f>IF(ISERROR(M24/M6),"—",M24/M6)</f>
        <v>—</v>
      </c>
      <c r="N25" s="85"/>
      <c r="O25" s="85" t="str">
        <f t="shared" ref="O25:AK25" si="16">IF(ISERROR(O24/O6),"—",O24/O6)</f>
        <v>—</v>
      </c>
      <c r="P25" s="85" t="str">
        <f t="shared" si="16"/>
        <v>—</v>
      </c>
      <c r="Q25" s="85" t="str">
        <f t="shared" si="16"/>
        <v>—</v>
      </c>
      <c r="R25" s="85" t="str">
        <f t="shared" si="16"/>
        <v>—</v>
      </c>
      <c r="S25" s="85" t="str">
        <f t="shared" si="16"/>
        <v>—</v>
      </c>
      <c r="T25" s="85" t="str">
        <f t="shared" si="16"/>
        <v>—</v>
      </c>
      <c r="U25" s="85" t="str">
        <f t="shared" si="16"/>
        <v>—</v>
      </c>
      <c r="V25" s="85">
        <f t="shared" si="16"/>
        <v>3.78682143412227E-2</v>
      </c>
      <c r="W25" s="85">
        <f t="shared" si="16"/>
        <v>5.3565907356003938E-2</v>
      </c>
      <c r="X25" s="85">
        <f t="shared" si="16"/>
        <v>5.276201409825975E-2</v>
      </c>
      <c r="Y25" s="85" t="str">
        <f t="shared" si="16"/>
        <v>—</v>
      </c>
      <c r="Z25" s="85" t="str">
        <f t="shared" si="16"/>
        <v>—</v>
      </c>
      <c r="AA25" s="85" t="str">
        <f t="shared" si="16"/>
        <v>—</v>
      </c>
      <c r="AB25" s="85" t="str">
        <f t="shared" si="16"/>
        <v>—</v>
      </c>
      <c r="AC25" s="85" t="str">
        <f t="shared" si="16"/>
        <v>—</v>
      </c>
      <c r="AD25" s="85" t="str">
        <f t="shared" si="16"/>
        <v>—</v>
      </c>
      <c r="AE25" s="85" t="str">
        <f t="shared" si="16"/>
        <v>—</v>
      </c>
      <c r="AF25" s="85" t="str">
        <f t="shared" si="16"/>
        <v>—</v>
      </c>
      <c r="AG25" s="85" t="str">
        <f t="shared" si="16"/>
        <v>—</v>
      </c>
      <c r="AH25" s="85" t="str">
        <f t="shared" si="16"/>
        <v>—</v>
      </c>
      <c r="AI25" s="85" t="str">
        <f t="shared" si="16"/>
        <v>—</v>
      </c>
      <c r="AJ25" s="85" t="str">
        <f t="shared" si="16"/>
        <v>—</v>
      </c>
      <c r="AK25" s="85" t="str">
        <f t="shared" si="16"/>
        <v>—</v>
      </c>
      <c r="AL25" s="85" t="str">
        <f>AG25</f>
        <v>—</v>
      </c>
      <c r="AM25" s="85" t="str">
        <f>AL25</f>
        <v>—</v>
      </c>
      <c r="AN25" s="85" t="str">
        <f>AM25</f>
        <v>—</v>
      </c>
      <c r="AO25" s="85" t="str">
        <f t="shared" ref="AO25:AU25" si="17">IF(ISERROR(AO24/AO6),"—",AO24/AO6)</f>
        <v>—</v>
      </c>
      <c r="AP25" s="85" t="str">
        <f t="shared" si="17"/>
        <v>—</v>
      </c>
      <c r="AQ25" s="85" t="str">
        <f t="shared" si="17"/>
        <v>—</v>
      </c>
      <c r="AR25" s="85" t="str">
        <f t="shared" si="17"/>
        <v>—</v>
      </c>
      <c r="AS25" s="85" t="str">
        <f t="shared" si="17"/>
        <v>—</v>
      </c>
      <c r="AT25" s="85" t="str">
        <f t="shared" si="17"/>
        <v>—</v>
      </c>
      <c r="AU25" s="85" t="str">
        <f t="shared" si="17"/>
        <v>—</v>
      </c>
    </row>
    <row r="26" spans="1:47" ht="14.15" outlineLevel="1">
      <c r="A26" s="68"/>
      <c r="B26" s="51" t="s">
        <v>893</v>
      </c>
      <c r="C26" s="70"/>
      <c r="D26" s="113"/>
      <c r="E26" s="36">
        <f>财务基础数据!J73*目录!$D$6</f>
        <v>0</v>
      </c>
      <c r="F26" s="36">
        <f>财务基础数据!K73*目录!$D$6</f>
        <v>0</v>
      </c>
      <c r="G26" s="36">
        <f>财务基础数据!L73*目录!$D$6</f>
        <v>0</v>
      </c>
      <c r="H26" s="36">
        <f>财务基础数据!M73*目录!$D$6</f>
        <v>0</v>
      </c>
      <c r="I26" s="36">
        <f>财务基础数据!N73*目录!$D$6</f>
        <v>0</v>
      </c>
      <c r="J26" s="36">
        <f>财务基础数据!O73*目录!$D$6</f>
        <v>0</v>
      </c>
      <c r="K26" s="36">
        <f>财务基础数据!P73*目录!$D$6</f>
        <v>0</v>
      </c>
      <c r="L26" s="36">
        <f>财务基础数据!Q73*目录!$D$6</f>
        <v>0</v>
      </c>
      <c r="M26" s="36">
        <f>财务基础数据!R73*目录!$D$6</f>
        <v>0</v>
      </c>
      <c r="N26" s="36">
        <f>财务基础数据!S73*目录!$D$6</f>
        <v>0</v>
      </c>
      <c r="O26" s="36">
        <f>财务基础数据!T73*目录!$D$6</f>
        <v>0</v>
      </c>
      <c r="P26" s="36">
        <f>财务基础数据!U73*目录!$D$6</f>
        <v>0</v>
      </c>
      <c r="Q26" s="36">
        <f>财务基础数据!V73*目录!$D$6</f>
        <v>0</v>
      </c>
      <c r="R26" s="36">
        <f>财务基础数据!W73*目录!$D$6</f>
        <v>0</v>
      </c>
      <c r="S26" s="36">
        <f>财务基础数据!X73*目录!$D$6</f>
        <v>0</v>
      </c>
      <c r="T26" s="36">
        <f>财务基础数据!Y73*目录!$D$6</f>
        <v>0</v>
      </c>
      <c r="U26" s="36">
        <f>财务基础数据!Z73*目录!$D$6</f>
        <v>0</v>
      </c>
      <c r="V26" s="36">
        <f>财务基础数据!AA73*目录!$D$6</f>
        <v>12.45037159</v>
      </c>
      <c r="W26" s="36">
        <f>财务基础数据!AB73*目录!$D$6</f>
        <v>10.954113699999999</v>
      </c>
      <c r="X26" s="36">
        <f>财务基础数据!AC73*目录!$D$6</f>
        <v>34.441347549999996</v>
      </c>
      <c r="Y26" s="36">
        <f>财务基础数据!AD73*目录!$D$6</f>
        <v>0</v>
      </c>
      <c r="Z26" s="36">
        <f>财务基础数据!AE73*目录!$D$6</f>
        <v>0</v>
      </c>
      <c r="AA26" s="36">
        <f>财务基础数据!AF73*目录!$D$6</f>
        <v>0</v>
      </c>
      <c r="AB26" s="36">
        <f>财务基础数据!AG73*目录!$D$6</f>
        <v>0</v>
      </c>
      <c r="AC26" s="36">
        <f>财务基础数据!AH73*目录!$D$6</f>
        <v>0</v>
      </c>
      <c r="AD26" s="36">
        <f>财务基础数据!AI73*目录!$D$6</f>
        <v>0</v>
      </c>
      <c r="AE26" s="36">
        <f>财务基础数据!AJ73*目录!$D$6</f>
        <v>0</v>
      </c>
      <c r="AF26" s="36">
        <f>财务基础数据!AK73*目录!$D$6</f>
        <v>0</v>
      </c>
      <c r="AG26" s="36">
        <f>财务基础数据!AL73*目录!$D$6</f>
        <v>0</v>
      </c>
      <c r="AH26" s="36">
        <f>财务基础数据!AM73*目录!$D$6</f>
        <v>0</v>
      </c>
      <c r="AI26" s="36">
        <f>财务基础数据!AN73*目录!$D$6</f>
        <v>0</v>
      </c>
      <c r="AJ26" s="36">
        <f>财务基础数据!AO73*目录!$D$6</f>
        <v>0</v>
      </c>
      <c r="AK26" s="36">
        <f>财务基础数据!AP73*目录!$D$6</f>
        <v>0</v>
      </c>
      <c r="AL26" s="36" t="str">
        <f>IF(ISERROR(销售预测!V25),"—",销售预测!V25)</f>
        <v>—</v>
      </c>
      <c r="AM26" s="36" t="str">
        <f>IF(ISERROR(销售预测!W25),"—",销售预测!W25)</f>
        <v>—</v>
      </c>
      <c r="AN26" s="36" t="str">
        <f>IF(ISERROR(销售预测!X25),"—",销售预测!X25)</f>
        <v>—</v>
      </c>
      <c r="AO26" s="36">
        <f>IF(ISERROR(销售预测!Y25),"—",销售预测!Y25)</f>
        <v>0</v>
      </c>
      <c r="AP26" s="36">
        <f>IF(ISERROR(销售预测!Z25),"—",销售预测!Z25)</f>
        <v>0</v>
      </c>
      <c r="AQ26" s="36">
        <f>IF(ISERROR(销售预测!AA25),"—",销售预测!AA25)</f>
        <v>0</v>
      </c>
      <c r="AR26" s="36">
        <f>IF(ISERROR(销售预测!AB25),"—",销售预测!AB25)</f>
        <v>0</v>
      </c>
      <c r="AS26" s="36">
        <f>IF(ISERROR(销售预测!AC25),"—",销售预测!AC25)</f>
        <v>0</v>
      </c>
      <c r="AT26" s="36">
        <f>IF(ISERROR(销售预测!AD25),"—",销售预测!AD25)</f>
        <v>0</v>
      </c>
      <c r="AU26" s="36">
        <f>IF(ISERROR(销售预测!AE25),"—",销售预测!AE25)</f>
        <v>0</v>
      </c>
    </row>
    <row r="27" spans="1:47" ht="14.15" outlineLevel="1">
      <c r="A27" s="68"/>
      <c r="B27" s="53"/>
      <c r="C27" s="81" t="s">
        <v>896</v>
      </c>
      <c r="D27" s="113"/>
      <c r="E27" s="71" t="str">
        <f>IF(ISERROR(E26/E6)," —",E26/E6)</f>
        <v xml:space="preserve"> —</v>
      </c>
      <c r="F27" s="71"/>
      <c r="G27" s="71" t="str">
        <f>IF(ISERROR(G26/G6)," —",G26/G6)</f>
        <v xml:space="preserve"> —</v>
      </c>
      <c r="H27" s="71"/>
      <c r="I27" s="71" t="str">
        <f>IF(ISERROR(I26/I6)," —",I26/I6)</f>
        <v xml:space="preserve"> —</v>
      </c>
      <c r="J27" s="71"/>
      <c r="K27" s="71" t="str">
        <f>IF(ISERROR(K26/K6)," —",K26/K6)</f>
        <v xml:space="preserve"> —</v>
      </c>
      <c r="L27" s="71"/>
      <c r="M27" s="71" t="str">
        <f>IF(ISERROR(M26/M6)," —",M26/M6)</f>
        <v xml:space="preserve"> —</v>
      </c>
      <c r="N27" s="71"/>
      <c r="O27" s="71" t="str">
        <f>IF(ISERROR(O26/O6)," —",O26/O6)</f>
        <v xml:space="preserve"> —</v>
      </c>
      <c r="P27" s="71"/>
      <c r="Q27" s="71" t="str">
        <f t="shared" ref="Q27:AL27" si="18">IF(ISERROR(Q26/Q6)," —",Q26/Q6)</f>
        <v xml:space="preserve"> —</v>
      </c>
      <c r="R27" s="71" t="str">
        <f t="shared" si="18"/>
        <v xml:space="preserve"> —</v>
      </c>
      <c r="S27" s="71" t="str">
        <f t="shared" si="18"/>
        <v xml:space="preserve"> —</v>
      </c>
      <c r="T27" s="71" t="str">
        <f t="shared" si="18"/>
        <v xml:space="preserve"> —</v>
      </c>
      <c r="U27" s="71" t="str">
        <f t="shared" si="18"/>
        <v xml:space="preserve"> —</v>
      </c>
      <c r="V27" s="71">
        <f t="shared" si="18"/>
        <v>3.6945098908586905E-3</v>
      </c>
      <c r="W27" s="71">
        <f t="shared" si="18"/>
        <v>1.7061596045039027E-3</v>
      </c>
      <c r="X27" s="71">
        <f t="shared" si="18"/>
        <v>3.7182052327397125E-3</v>
      </c>
      <c r="Y27" s="71" t="str">
        <f t="shared" si="18"/>
        <v xml:space="preserve"> —</v>
      </c>
      <c r="Z27" s="71" t="str">
        <f t="shared" si="18"/>
        <v xml:space="preserve"> —</v>
      </c>
      <c r="AA27" s="71" t="str">
        <f t="shared" si="18"/>
        <v xml:space="preserve"> —</v>
      </c>
      <c r="AB27" s="71" t="str">
        <f t="shared" si="18"/>
        <v xml:space="preserve"> —</v>
      </c>
      <c r="AC27" s="71" t="str">
        <f t="shared" si="18"/>
        <v xml:space="preserve"> —</v>
      </c>
      <c r="AD27" s="71" t="str">
        <f t="shared" si="18"/>
        <v xml:space="preserve"> —</v>
      </c>
      <c r="AE27" s="71" t="str">
        <f t="shared" si="18"/>
        <v xml:space="preserve"> —</v>
      </c>
      <c r="AF27" s="71" t="str">
        <f t="shared" si="18"/>
        <v xml:space="preserve"> —</v>
      </c>
      <c r="AG27" s="71" t="str">
        <f t="shared" si="18"/>
        <v xml:space="preserve"> —</v>
      </c>
      <c r="AH27" s="71" t="str">
        <f t="shared" si="18"/>
        <v xml:space="preserve"> —</v>
      </c>
      <c r="AI27" s="71" t="str">
        <f t="shared" si="18"/>
        <v xml:space="preserve"> —</v>
      </c>
      <c r="AJ27" s="71" t="str">
        <f t="shared" si="18"/>
        <v xml:space="preserve"> —</v>
      </c>
      <c r="AK27" s="71" t="str">
        <f t="shared" si="18"/>
        <v xml:space="preserve"> —</v>
      </c>
      <c r="AL27" s="71" t="str">
        <f t="shared" si="18"/>
        <v xml:space="preserve"> —</v>
      </c>
      <c r="AM27" s="71" t="str">
        <f>IF(ISERROR(AM26/AM6)," —",AM26/AM6)</f>
        <v xml:space="preserve"> —</v>
      </c>
      <c r="AN27" s="71" t="str">
        <f>IF(ISERROR(AN26/AN6)," —",AN26/AN6)</f>
        <v xml:space="preserve"> —</v>
      </c>
      <c r="AO27" s="71" t="str">
        <f t="shared" ref="AO27:AU27" si="19">IF(ISERROR(AO26/AO6)," —",AO26/AO6)</f>
        <v xml:space="preserve"> —</v>
      </c>
      <c r="AP27" s="71" t="str">
        <f t="shared" si="19"/>
        <v xml:space="preserve"> —</v>
      </c>
      <c r="AQ27" s="71" t="str">
        <f t="shared" si="19"/>
        <v xml:space="preserve"> —</v>
      </c>
      <c r="AR27" s="71" t="str">
        <f t="shared" si="19"/>
        <v xml:space="preserve"> —</v>
      </c>
      <c r="AS27" s="71" t="str">
        <f t="shared" si="19"/>
        <v xml:space="preserve"> —</v>
      </c>
      <c r="AT27" s="71" t="str">
        <f t="shared" si="19"/>
        <v xml:space="preserve"> —</v>
      </c>
      <c r="AU27" s="71" t="str">
        <f t="shared" si="19"/>
        <v xml:space="preserve"> —</v>
      </c>
    </row>
    <row r="28" spans="1:47" ht="14.15" outlineLevel="1">
      <c r="A28" s="68"/>
      <c r="B28" s="53"/>
      <c r="C28" s="81"/>
      <c r="D28" s="113"/>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row>
    <row r="29" spans="1:47" s="338" customFormat="1" ht="13.75">
      <c r="B29" s="477" t="s">
        <v>790</v>
      </c>
      <c r="C29" s="483"/>
      <c r="D29" s="524"/>
      <c r="E29" s="463">
        <f>财务基础数据!J19*目录!$D$6</f>
        <v>0</v>
      </c>
      <c r="F29" s="463">
        <f>财务基础数据!K19*目录!$D$6</f>
        <v>0</v>
      </c>
      <c r="G29" s="463">
        <f>财务基础数据!L19*目录!$D$6</f>
        <v>0</v>
      </c>
      <c r="H29" s="463">
        <f>财务基础数据!M19*目录!$D$6</f>
        <v>0</v>
      </c>
      <c r="I29" s="463">
        <f>财务基础数据!N19*目录!$D$6</f>
        <v>0</v>
      </c>
      <c r="J29" s="463">
        <f>财务基础数据!O19*目录!$D$6</f>
        <v>0</v>
      </c>
      <c r="K29" s="463">
        <f>财务基础数据!P19*目录!$D$6</f>
        <v>0</v>
      </c>
      <c r="L29" s="463">
        <f>财务基础数据!Q19*目录!$D$6</f>
        <v>0</v>
      </c>
      <c r="M29" s="463">
        <f>财务基础数据!R19*目录!$D$6</f>
        <v>0</v>
      </c>
      <c r="N29" s="463">
        <f>财务基础数据!S19*目录!$D$6</f>
        <v>0</v>
      </c>
      <c r="O29" s="463">
        <f>财务基础数据!T19*目录!$D$6</f>
        <v>0</v>
      </c>
      <c r="P29" s="463">
        <f>财务基础数据!U19*目录!$D$6</f>
        <v>0</v>
      </c>
      <c r="Q29" s="463">
        <f>财务基础数据!V19*目录!$D$6</f>
        <v>0</v>
      </c>
      <c r="R29" s="463">
        <f>财务基础数据!W19*目录!$D$6</f>
        <v>0</v>
      </c>
      <c r="S29" s="463">
        <f>财务基础数据!X19*目录!$D$6</f>
        <v>0</v>
      </c>
      <c r="T29" s="463">
        <f>财务基础数据!Y19*目录!$D$6</f>
        <v>0</v>
      </c>
      <c r="U29" s="463">
        <f>财务基础数据!Z19*目录!$D$6</f>
        <v>0</v>
      </c>
      <c r="V29" s="463">
        <f>财务基础数据!AA19*目录!$D$6</f>
        <v>-49.514664099999997</v>
      </c>
      <c r="W29" s="463">
        <f>财务基础数据!AB19*目录!$D$6</f>
        <v>-105.20144368</v>
      </c>
      <c r="X29" s="463">
        <f>财务基础数据!AC19*目录!$D$6</f>
        <v>-165.18726336</v>
      </c>
      <c r="Y29" s="463">
        <f>财务基础数据!AD19*目录!$D$6</f>
        <v>0</v>
      </c>
      <c r="Z29" s="463">
        <f>财务基础数据!AE19*目录!$D$6</f>
        <v>0</v>
      </c>
      <c r="AA29" s="463">
        <f>财务基础数据!AF19*目录!$D$6</f>
        <v>0</v>
      </c>
      <c r="AB29" s="463">
        <f>财务基础数据!AG19*目录!$D$6</f>
        <v>0</v>
      </c>
      <c r="AC29" s="463">
        <f>财务基础数据!AH19*目录!$D$6</f>
        <v>0</v>
      </c>
      <c r="AD29" s="463">
        <f>财务基础数据!AI19*目录!$D$6</f>
        <v>0</v>
      </c>
      <c r="AE29" s="463">
        <f>财务基础数据!AJ19*目录!$D$6</f>
        <v>0</v>
      </c>
      <c r="AF29" s="463">
        <f>财务基础数据!AK19*目录!$D$6</f>
        <v>0</v>
      </c>
      <c r="AG29" s="463">
        <f>财务基础数据!AL19*目录!$D$6</f>
        <v>0</v>
      </c>
      <c r="AH29" s="463">
        <f>财务基础数据!AM19*目录!$D$6</f>
        <v>0</v>
      </c>
      <c r="AI29" s="463">
        <f>财务基础数据!AN19*目录!$D$6</f>
        <v>0</v>
      </c>
      <c r="AJ29" s="463">
        <f>财务基础数据!AO19*目录!$D$6</f>
        <v>0</v>
      </c>
      <c r="AK29" s="463">
        <f>财务基础数据!AP19*目录!$D$6</f>
        <v>0</v>
      </c>
      <c r="AL29" s="463">
        <f>AG29</f>
        <v>0</v>
      </c>
      <c r="AM29" s="463">
        <f>AL29</f>
        <v>0</v>
      </c>
      <c r="AN29" s="463">
        <f>AM29</f>
        <v>0</v>
      </c>
      <c r="AO29" s="463">
        <f>IF(ISERROR(资产预测!S255),"—",资产预测!S255)</f>
        <v>0</v>
      </c>
      <c r="AP29" s="463">
        <f>IF(ISERROR(资产预测!T255),"—",资产预测!T255)</f>
        <v>0</v>
      </c>
      <c r="AQ29" s="463">
        <f>IF(ISERROR(资产预测!U255),"—",资产预测!U255)</f>
        <v>0</v>
      </c>
      <c r="AR29" s="463">
        <f>IF(ISERROR(资产预测!V255),"—",资产预测!V255)</f>
        <v>0</v>
      </c>
      <c r="AS29" s="463">
        <f>IF(ISERROR(资产预测!W255),"—",资产预测!W255)</f>
        <v>0</v>
      </c>
      <c r="AT29" s="463">
        <f>IF(ISERROR(资产预测!X255),"—",资产预测!X255)</f>
        <v>0</v>
      </c>
      <c r="AU29" s="463">
        <f>IF(ISERROR(资产预测!Y255),"—",资产预测!Y255)</f>
        <v>0</v>
      </c>
    </row>
    <row r="30" spans="1:47" s="482" customFormat="1" ht="14.15">
      <c r="A30" s="338"/>
      <c r="B30" s="477"/>
      <c r="C30" s="265" t="s">
        <v>786</v>
      </c>
      <c r="D30" s="524"/>
      <c r="E30" s="481" t="str">
        <f>IF(ISERROR(E29/E6),"—",E29/E6)</f>
        <v>—</v>
      </c>
      <c r="F30" s="481"/>
      <c r="G30" s="481" t="str">
        <f>IF(ISERROR(G29/G6),"—",G29/G6)</f>
        <v>—</v>
      </c>
      <c r="H30" s="481"/>
      <c r="I30" s="481" t="str">
        <f>IF(ISERROR(I29/I6),"—",I29/I6)</f>
        <v>—</v>
      </c>
      <c r="J30" s="481"/>
      <c r="K30" s="481" t="str">
        <f>IF(ISERROR(K29/K6),"—",K29/K6)</f>
        <v>—</v>
      </c>
      <c r="L30" s="481"/>
      <c r="M30" s="481" t="str">
        <f>IF(ISERROR(M29/M6),"—",M29/M6)</f>
        <v>—</v>
      </c>
      <c r="N30" s="481"/>
      <c r="O30" s="481" t="str">
        <f t="shared" ref="O30:AL30" si="20">IF(ISERROR(O29/O6),"—",O29/O6)</f>
        <v>—</v>
      </c>
      <c r="P30" s="481" t="str">
        <f t="shared" si="20"/>
        <v>—</v>
      </c>
      <c r="Q30" s="481" t="str">
        <f t="shared" si="20"/>
        <v>—</v>
      </c>
      <c r="R30" s="481" t="str">
        <f t="shared" si="20"/>
        <v>—</v>
      </c>
      <c r="S30" s="481" t="str">
        <f t="shared" si="20"/>
        <v>—</v>
      </c>
      <c r="T30" s="481" t="str">
        <f t="shared" si="20"/>
        <v>—</v>
      </c>
      <c r="U30" s="481" t="str">
        <f t="shared" si="20"/>
        <v>—</v>
      </c>
      <c r="V30" s="481">
        <f t="shared" si="20"/>
        <v>-1.4692928234119936E-2</v>
      </c>
      <c r="W30" s="481">
        <f t="shared" si="20"/>
        <v>-1.638566646814232E-2</v>
      </c>
      <c r="X30" s="481">
        <f t="shared" si="20"/>
        <v>-1.7833220553157624E-2</v>
      </c>
      <c r="Y30" s="481" t="str">
        <f t="shared" si="20"/>
        <v>—</v>
      </c>
      <c r="Z30" s="481" t="str">
        <f t="shared" si="20"/>
        <v>—</v>
      </c>
      <c r="AA30" s="481" t="str">
        <f t="shared" si="20"/>
        <v>—</v>
      </c>
      <c r="AB30" s="481" t="str">
        <f t="shared" si="20"/>
        <v>—</v>
      </c>
      <c r="AC30" s="481" t="str">
        <f t="shared" si="20"/>
        <v>—</v>
      </c>
      <c r="AD30" s="481" t="str">
        <f t="shared" si="20"/>
        <v>—</v>
      </c>
      <c r="AE30" s="481" t="str">
        <f t="shared" si="20"/>
        <v>—</v>
      </c>
      <c r="AF30" s="481" t="str">
        <f t="shared" si="20"/>
        <v>—</v>
      </c>
      <c r="AG30" s="481" t="str">
        <f t="shared" si="20"/>
        <v>—</v>
      </c>
      <c r="AH30" s="481" t="str">
        <f t="shared" si="20"/>
        <v>—</v>
      </c>
      <c r="AI30" s="481" t="str">
        <f t="shared" si="20"/>
        <v>—</v>
      </c>
      <c r="AJ30" s="481" t="str">
        <f t="shared" si="20"/>
        <v>—</v>
      </c>
      <c r="AK30" s="481" t="str">
        <f t="shared" si="20"/>
        <v>—</v>
      </c>
      <c r="AL30" s="481" t="str">
        <f t="shared" si="20"/>
        <v>—</v>
      </c>
      <c r="AM30" s="481" t="str">
        <f t="shared" ref="AM30:AU30" si="21">IF(ISERROR(AM29/AM6),"—",AM29/AM6)</f>
        <v>—</v>
      </c>
      <c r="AN30" s="481" t="str">
        <f t="shared" si="21"/>
        <v>—</v>
      </c>
      <c r="AO30" s="481" t="str">
        <f t="shared" si="21"/>
        <v>—</v>
      </c>
      <c r="AP30" s="481" t="str">
        <f t="shared" si="21"/>
        <v>—</v>
      </c>
      <c r="AQ30" s="481" t="str">
        <f t="shared" si="21"/>
        <v>—</v>
      </c>
      <c r="AR30" s="481" t="str">
        <f t="shared" si="21"/>
        <v>—</v>
      </c>
      <c r="AS30" s="481" t="str">
        <f t="shared" si="21"/>
        <v>—</v>
      </c>
      <c r="AT30" s="481" t="str">
        <f t="shared" si="21"/>
        <v>—</v>
      </c>
      <c r="AU30" s="481" t="str">
        <f t="shared" si="21"/>
        <v>—</v>
      </c>
    </row>
    <row r="31" spans="1:47" s="260" customFormat="1" ht="13.75">
      <c r="A31" s="338"/>
      <c r="B31" s="557" t="s">
        <v>1029</v>
      </c>
      <c r="C31" s="265"/>
      <c r="D31" s="524"/>
      <c r="E31" s="525">
        <f>财务基础数据!J74*目录!$D$6</f>
        <v>0</v>
      </c>
      <c r="F31" s="463">
        <f>财务基础数据!K74*目录!$D$6</f>
        <v>0</v>
      </c>
      <c r="G31" s="463">
        <f>财务基础数据!L74*目录!$D$6</f>
        <v>0</v>
      </c>
      <c r="H31" s="463">
        <f>财务基础数据!M74*目录!$D$6</f>
        <v>0</v>
      </c>
      <c r="I31" s="525">
        <f>财务基础数据!N74*目录!$D$6</f>
        <v>0</v>
      </c>
      <c r="J31" s="463">
        <f>财务基础数据!O74*目录!$D$6</f>
        <v>0</v>
      </c>
      <c r="K31" s="463">
        <f>财务基础数据!P74*目录!$D$6</f>
        <v>0</v>
      </c>
      <c r="L31" s="463">
        <f>财务基础数据!Q74*目录!$D$6</f>
        <v>0</v>
      </c>
      <c r="M31" s="525">
        <f>财务基础数据!R74*目录!$D$6</f>
        <v>0</v>
      </c>
      <c r="N31" s="463">
        <f>财务基础数据!S74*目录!$D$6</f>
        <v>0</v>
      </c>
      <c r="O31" s="463">
        <f>财务基础数据!T74*目录!$D$6</f>
        <v>0</v>
      </c>
      <c r="P31" s="463">
        <f>财务基础数据!U74*目录!$D$6</f>
        <v>0</v>
      </c>
      <c r="Q31" s="525">
        <f>财务基础数据!V74*目录!$D$6</f>
        <v>0</v>
      </c>
      <c r="R31" s="463">
        <f>财务基础数据!W74*目录!$D$6</f>
        <v>0</v>
      </c>
      <c r="S31" s="463">
        <f>财务基础数据!X74*目录!$D$6</f>
        <v>0</v>
      </c>
      <c r="T31" s="463">
        <f>财务基础数据!Y74*目录!$D$6</f>
        <v>0</v>
      </c>
      <c r="U31" s="525">
        <f>财务基础数据!Z74*目录!$D$6</f>
        <v>0</v>
      </c>
      <c r="V31" s="463">
        <f>财务基础数据!AA74*目录!$D$6</f>
        <v>14.63981948</v>
      </c>
      <c r="W31" s="463">
        <f>财务基础数据!AB74*目录!$D$6</f>
        <v>26.300469</v>
      </c>
      <c r="X31" s="463">
        <f>财务基础数据!AC74*目录!$D$6</f>
        <v>41.191239029999998</v>
      </c>
      <c r="Y31" s="525">
        <f>财务基础数据!AD74*目录!$D$6</f>
        <v>0</v>
      </c>
      <c r="Z31" s="463">
        <f>财务基础数据!AE74*目录!$D$6</f>
        <v>0</v>
      </c>
      <c r="AA31" s="463">
        <f>财务基础数据!AF74*目录!$D$6</f>
        <v>0</v>
      </c>
      <c r="AB31" s="463">
        <f>财务基础数据!AG74*目录!$D$6</f>
        <v>0</v>
      </c>
      <c r="AC31" s="525">
        <f>财务基础数据!AH74*目录!$D$6</f>
        <v>0</v>
      </c>
      <c r="AD31" s="463">
        <f>财务基础数据!AI74*目录!$D$6</f>
        <v>0</v>
      </c>
      <c r="AE31" s="463">
        <f>财务基础数据!AJ74*目录!$D$6</f>
        <v>0</v>
      </c>
      <c r="AF31" s="463">
        <f>财务基础数据!AK74*目录!$D$6</f>
        <v>0</v>
      </c>
      <c r="AG31" s="463">
        <f>财务基础数据!AL74*目录!$D$6</f>
        <v>0</v>
      </c>
      <c r="AH31" s="463">
        <f>财务基础数据!AM74*目录!$D$6</f>
        <v>0</v>
      </c>
      <c r="AI31" s="463">
        <f>财务基础数据!AN74*目录!$D$6</f>
        <v>0</v>
      </c>
      <c r="AJ31" s="463">
        <f>财务基础数据!AO74*目录!$D$6</f>
        <v>0</v>
      </c>
      <c r="AK31" s="463">
        <f>财务基础数据!AP74*目录!$D$6</f>
        <v>0</v>
      </c>
      <c r="AL31" s="463">
        <f>IF(ISERROR(资产预测!P247),"—",资产预测!P247)</f>
        <v>0</v>
      </c>
      <c r="AM31" s="463">
        <f>IF(ISERROR(资产预测!Q247),"—",资产预测!Q247)</f>
        <v>0</v>
      </c>
      <c r="AN31" s="463">
        <f>IF(ISERROR(资产预测!R247),"—",资产预测!R247)</f>
        <v>0</v>
      </c>
      <c r="AO31" s="463">
        <f>IF(ISERROR(资产预测!S247),"—",资产预测!S247)</f>
        <v>0</v>
      </c>
      <c r="AP31" s="463">
        <f>IF(ISERROR(资产预测!T247),"—",资产预测!T247)</f>
        <v>0</v>
      </c>
      <c r="AQ31" s="463">
        <f>IF(ISERROR(资产预测!U247),"—",资产预测!U247)</f>
        <v>0</v>
      </c>
      <c r="AR31" s="463">
        <f>IF(ISERROR(资产预测!V247),"—",资产预测!V247)</f>
        <v>0</v>
      </c>
      <c r="AS31" s="463">
        <f>IF(ISERROR(资产预测!W247),"—",资产预测!W247)</f>
        <v>0</v>
      </c>
      <c r="AT31" s="463">
        <f>IF(ISERROR(资产预测!X247),"—",资产预测!X247)</f>
        <v>0</v>
      </c>
      <c r="AU31" s="463">
        <f>IF(ISERROR(资产预测!Y247),"—",资产预测!Y247)</f>
        <v>0</v>
      </c>
    </row>
    <row r="32" spans="1:47" s="482" customFormat="1" ht="13.75">
      <c r="A32" s="338"/>
      <c r="B32" s="477" t="s">
        <v>897</v>
      </c>
      <c r="C32" s="483"/>
      <c r="D32" s="524"/>
      <c r="E32" s="525">
        <f>财务基础数据!J75*目录!$D$6</f>
        <v>0</v>
      </c>
      <c r="F32" s="463">
        <f>财务基础数据!K75*目录!$D$6</f>
        <v>0</v>
      </c>
      <c r="G32" s="463">
        <f>财务基础数据!L75*目录!$D$6</f>
        <v>0</v>
      </c>
      <c r="H32" s="463">
        <f>财务基础数据!M75*目录!$D$6</f>
        <v>0</v>
      </c>
      <c r="I32" s="525">
        <f>财务基础数据!N75*目录!$D$6</f>
        <v>0</v>
      </c>
      <c r="J32" s="463">
        <f>财务基础数据!O75*目录!$D$6</f>
        <v>0</v>
      </c>
      <c r="K32" s="463">
        <f>财务基础数据!P75*目录!$D$6</f>
        <v>0</v>
      </c>
      <c r="L32" s="463">
        <f>财务基础数据!Q75*目录!$D$6</f>
        <v>0</v>
      </c>
      <c r="M32" s="525">
        <f>财务基础数据!R75*目录!$D$6</f>
        <v>0</v>
      </c>
      <c r="N32" s="463">
        <f>财务基础数据!S75*目录!$D$6</f>
        <v>0</v>
      </c>
      <c r="O32" s="463">
        <f>财务基础数据!T75*目录!$D$6</f>
        <v>0</v>
      </c>
      <c r="P32" s="463">
        <f>财务基础数据!U75*目录!$D$6</f>
        <v>0</v>
      </c>
      <c r="Q32" s="525">
        <f>财务基础数据!V75*目录!$D$6</f>
        <v>0</v>
      </c>
      <c r="R32" s="463">
        <f>财务基础数据!W75*目录!$D$6</f>
        <v>0</v>
      </c>
      <c r="S32" s="463">
        <f>财务基础数据!X75*目录!$D$6</f>
        <v>0</v>
      </c>
      <c r="T32" s="463">
        <f>财务基础数据!Y75*目录!$D$6</f>
        <v>0</v>
      </c>
      <c r="U32" s="525">
        <f>财务基础数据!Z75*目录!$D$6</f>
        <v>0</v>
      </c>
      <c r="V32" s="463">
        <f>财务基础数据!AA75*目录!$D$6</f>
        <v>64.609643140000003</v>
      </c>
      <c r="W32" s="463">
        <f>财务基础数据!AB75*目录!$D$6</f>
        <v>131.37685540000001</v>
      </c>
      <c r="X32" s="463">
        <f>财务基础数据!AC75*目录!$D$6</f>
        <v>206.85234041999999</v>
      </c>
      <c r="Y32" s="525">
        <f>财务基础数据!AD75*目录!$D$6</f>
        <v>0</v>
      </c>
      <c r="Z32" s="463">
        <f>财务基础数据!AE75*目录!$D$6</f>
        <v>0</v>
      </c>
      <c r="AA32" s="463">
        <f>财务基础数据!AF75*目录!$D$6</f>
        <v>0</v>
      </c>
      <c r="AB32" s="463">
        <f>财务基础数据!AG75*目录!$D$6</f>
        <v>0</v>
      </c>
      <c r="AC32" s="525">
        <f>财务基础数据!AH75*目录!$D$6</f>
        <v>0</v>
      </c>
      <c r="AD32" s="463">
        <f>财务基础数据!AI75*目录!$D$6</f>
        <v>0</v>
      </c>
      <c r="AE32" s="463">
        <f>财务基础数据!AJ75*目录!$D$6</f>
        <v>0</v>
      </c>
      <c r="AF32" s="463">
        <f>财务基础数据!AK75*目录!$D$6</f>
        <v>0</v>
      </c>
      <c r="AG32" s="463">
        <f>财务基础数据!AL75*目录!$D$6</f>
        <v>0</v>
      </c>
      <c r="AH32" s="463">
        <f>财务基础数据!AM75*目录!$D$6</f>
        <v>0</v>
      </c>
      <c r="AI32" s="463">
        <f>财务基础数据!AN75*目录!$D$6</f>
        <v>0</v>
      </c>
      <c r="AJ32" s="463">
        <f>财务基础数据!AO75*目录!$D$6</f>
        <v>0</v>
      </c>
      <c r="AK32" s="463">
        <f>财务基础数据!AP75*目录!$D$6</f>
        <v>0</v>
      </c>
      <c r="AL32" s="463">
        <f>IF(ISERROR(资产预测!P251),"—",资产预测!P251)</f>
        <v>0</v>
      </c>
      <c r="AM32" s="463">
        <f>IF(ISERROR(资产预测!Q251),"—",资产预测!Q251)</f>
        <v>0</v>
      </c>
      <c r="AN32" s="463">
        <f>IF(ISERROR(资产预测!R251),"—",资产预测!R251)</f>
        <v>0</v>
      </c>
      <c r="AO32" s="463">
        <f>IF(ISERROR(资产预测!S251),"—",资产预测!S251)</f>
        <v>0</v>
      </c>
      <c r="AP32" s="463">
        <f>IF(ISERROR(资产预测!T251),"—",资产预测!T251)</f>
        <v>0</v>
      </c>
      <c r="AQ32" s="463">
        <f>IF(ISERROR(资产预测!U251),"—",资产预测!U251)</f>
        <v>0</v>
      </c>
      <c r="AR32" s="463">
        <f>IF(ISERROR(资产预测!V251),"—",资产预测!V251)</f>
        <v>0</v>
      </c>
      <c r="AS32" s="463">
        <f>IF(ISERROR(资产预测!W251),"—",资产预测!W251)</f>
        <v>0</v>
      </c>
      <c r="AT32" s="463" t="str">
        <f>IF(ISERROR(资产预测!X251),"—",资产预测!X251)</f>
        <v>0</v>
      </c>
      <c r="AU32" s="463" t="str">
        <f>IF(ISERROR(资产预测!Y251),"—",资产预测!Y251)</f>
        <v>0</v>
      </c>
    </row>
    <row r="33" spans="1:47" s="72" customFormat="1" ht="13.75">
      <c r="A33" s="68"/>
      <c r="B33" s="77" t="s">
        <v>898</v>
      </c>
      <c r="C33" s="464"/>
      <c r="D33" s="287"/>
      <c r="E33" s="465">
        <v>0</v>
      </c>
      <c r="F33" s="465">
        <v>0</v>
      </c>
      <c r="G33" s="465">
        <v>0</v>
      </c>
      <c r="H33" s="465">
        <v>0</v>
      </c>
      <c r="I33" s="465">
        <v>0</v>
      </c>
      <c r="J33" s="465">
        <v>0</v>
      </c>
      <c r="K33" s="465">
        <v>0</v>
      </c>
      <c r="L33" s="465">
        <v>0</v>
      </c>
      <c r="M33" s="465">
        <v>0</v>
      </c>
      <c r="N33" s="465">
        <v>0</v>
      </c>
      <c r="O33" s="465">
        <v>0</v>
      </c>
      <c r="P33" s="465">
        <v>0</v>
      </c>
      <c r="Q33" s="465">
        <v>0</v>
      </c>
      <c r="R33" s="465">
        <v>0</v>
      </c>
      <c r="S33" s="465">
        <v>0</v>
      </c>
      <c r="T33" s="465">
        <v>0</v>
      </c>
      <c r="U33" s="465">
        <v>0</v>
      </c>
      <c r="V33" s="465">
        <v>0</v>
      </c>
      <c r="W33" s="465">
        <v>0</v>
      </c>
      <c r="X33" s="465">
        <v>0</v>
      </c>
      <c r="Y33" s="465">
        <v>0</v>
      </c>
      <c r="Z33" s="465">
        <v>0</v>
      </c>
      <c r="AA33" s="465">
        <v>0</v>
      </c>
      <c r="AB33" s="465">
        <v>0</v>
      </c>
      <c r="AC33" s="465">
        <v>0</v>
      </c>
      <c r="AD33" s="465">
        <v>0</v>
      </c>
      <c r="AE33" s="465">
        <v>0</v>
      </c>
      <c r="AF33" s="465">
        <v>0</v>
      </c>
      <c r="AG33" s="465">
        <v>0</v>
      </c>
      <c r="AH33" s="465">
        <v>0</v>
      </c>
      <c r="AI33" s="465">
        <v>0</v>
      </c>
      <c r="AJ33" s="465">
        <v>0</v>
      </c>
      <c r="AK33" s="465">
        <v>0</v>
      </c>
      <c r="AL33" s="561">
        <f>AG33</f>
        <v>0</v>
      </c>
      <c r="AM33" s="561">
        <f>AL33</f>
        <v>0</v>
      </c>
      <c r="AN33" s="561">
        <f>AM33</f>
        <v>0</v>
      </c>
      <c r="AO33" s="561">
        <f>IF(ISERROR(资产预测!S254),"—",资产预测!S254)</f>
        <v>0</v>
      </c>
      <c r="AP33" s="561">
        <f>IF(ISERROR(资产预测!T254),"—",资产预测!T254)</f>
        <v>0</v>
      </c>
      <c r="AQ33" s="561">
        <f>IF(ISERROR(资产预测!U254),"—",资产预测!U254)</f>
        <v>0</v>
      </c>
      <c r="AR33" s="561">
        <f>IF(ISERROR(资产预测!V254),"—",资产预测!V254)</f>
        <v>0</v>
      </c>
      <c r="AS33" s="561">
        <f>IF(ISERROR(资产预测!W254),"—",资产预测!W254)</f>
        <v>0</v>
      </c>
      <c r="AT33" s="561">
        <f>IF(ISERROR(资产预测!X254),"—",资产预测!X254)</f>
        <v>0</v>
      </c>
      <c r="AU33" s="561">
        <f>IF(ISERROR(资产预测!Y254),"—",资产预测!Y254)</f>
        <v>0</v>
      </c>
    </row>
    <row r="34" spans="1:47" s="72" customFormat="1" ht="13.75">
      <c r="A34" s="68"/>
      <c r="B34" s="51"/>
      <c r="C34" s="75"/>
      <c r="D34" s="112"/>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277">
        <f>AG34</f>
        <v>0</v>
      </c>
      <c r="AM34" s="277">
        <f>AL34</f>
        <v>0</v>
      </c>
      <c r="AN34" s="277">
        <f>AM34</f>
        <v>0</v>
      </c>
      <c r="AO34" s="277"/>
      <c r="AP34" s="277"/>
      <c r="AQ34" s="277"/>
      <c r="AR34" s="277"/>
      <c r="AS34" s="277"/>
      <c r="AT34" s="277"/>
      <c r="AU34" s="277"/>
    </row>
    <row r="35" spans="1:47" ht="13.75">
      <c r="B35" s="75" t="s">
        <v>788</v>
      </c>
      <c r="C35" s="81"/>
      <c r="E35" s="83">
        <f t="shared" ref="E35:AK35" si="22">IF(ISERROR(E16-E26-E20-E22-E24+E13),"—",E16-E26-E20-E22-E24+E13)</f>
        <v>0</v>
      </c>
      <c r="F35" s="83">
        <f t="shared" si="22"/>
        <v>0</v>
      </c>
      <c r="G35" s="83">
        <f t="shared" si="22"/>
        <v>0</v>
      </c>
      <c r="H35" s="83">
        <f t="shared" si="22"/>
        <v>0</v>
      </c>
      <c r="I35" s="83">
        <f t="shared" si="22"/>
        <v>0</v>
      </c>
      <c r="J35" s="83">
        <f t="shared" si="22"/>
        <v>0</v>
      </c>
      <c r="K35" s="83">
        <f t="shared" si="22"/>
        <v>0</v>
      </c>
      <c r="L35" s="83">
        <f t="shared" si="22"/>
        <v>0</v>
      </c>
      <c r="M35" s="83">
        <f t="shared" si="22"/>
        <v>0</v>
      </c>
      <c r="N35" s="83">
        <f t="shared" si="22"/>
        <v>0</v>
      </c>
      <c r="O35" s="83">
        <f t="shared" si="22"/>
        <v>0</v>
      </c>
      <c r="P35" s="83">
        <f t="shared" si="22"/>
        <v>0</v>
      </c>
      <c r="Q35" s="83">
        <f t="shared" si="22"/>
        <v>0</v>
      </c>
      <c r="R35" s="83">
        <f t="shared" si="22"/>
        <v>0</v>
      </c>
      <c r="S35" s="83">
        <f t="shared" si="22"/>
        <v>0</v>
      </c>
      <c r="T35" s="83">
        <f t="shared" si="22"/>
        <v>0</v>
      </c>
      <c r="U35" s="83">
        <f t="shared" si="22"/>
        <v>0</v>
      </c>
      <c r="V35" s="83">
        <f t="shared" si="22"/>
        <v>1419.02970899</v>
      </c>
      <c r="W35" s="83">
        <f t="shared" si="22"/>
        <v>2543.3603157400012</v>
      </c>
      <c r="X35" s="83">
        <f t="shared" si="22"/>
        <v>3460.3539813000011</v>
      </c>
      <c r="Y35" s="83">
        <f t="shared" si="22"/>
        <v>0</v>
      </c>
      <c r="Z35" s="83">
        <f t="shared" si="22"/>
        <v>0</v>
      </c>
      <c r="AA35" s="83">
        <f t="shared" si="22"/>
        <v>0</v>
      </c>
      <c r="AB35" s="83">
        <f t="shared" si="22"/>
        <v>0</v>
      </c>
      <c r="AC35" s="83">
        <f t="shared" si="22"/>
        <v>0</v>
      </c>
      <c r="AD35" s="83">
        <f t="shared" si="22"/>
        <v>0</v>
      </c>
      <c r="AE35" s="83">
        <f t="shared" si="22"/>
        <v>0</v>
      </c>
      <c r="AF35" s="83">
        <f t="shared" si="22"/>
        <v>0</v>
      </c>
      <c r="AG35" s="83">
        <f t="shared" si="22"/>
        <v>0</v>
      </c>
      <c r="AH35" s="83">
        <f t="shared" si="22"/>
        <v>0</v>
      </c>
      <c r="AI35" s="83">
        <f t="shared" si="22"/>
        <v>0</v>
      </c>
      <c r="AJ35" s="83">
        <f t="shared" si="22"/>
        <v>0</v>
      </c>
      <c r="AK35" s="83">
        <f t="shared" si="22"/>
        <v>0</v>
      </c>
      <c r="AL35" s="83" t="str">
        <f>IF(ISERROR(AL16-AL26-AL20-AL22-AL24+AL13),"0",AL16-AL26-AL20-AL22-AL24+AL13)</f>
        <v>0</v>
      </c>
      <c r="AM35" s="83" t="str">
        <f t="shared" ref="AM35:AU35" si="23">IF(ISERROR(AM16-AM26-AM20-AM22-AM24+AM13),"0",AM16-AM26-AM20-AM22-AM24+AM13)</f>
        <v>0</v>
      </c>
      <c r="AN35" s="83" t="str">
        <f t="shared" si="23"/>
        <v>0</v>
      </c>
      <c r="AO35" s="83">
        <f t="shared" si="23"/>
        <v>0</v>
      </c>
      <c r="AP35" s="83">
        <f t="shared" si="23"/>
        <v>0</v>
      </c>
      <c r="AQ35" s="83">
        <f t="shared" si="23"/>
        <v>0</v>
      </c>
      <c r="AR35" s="83">
        <f t="shared" si="23"/>
        <v>0</v>
      </c>
      <c r="AS35" s="83">
        <f t="shared" si="23"/>
        <v>0</v>
      </c>
      <c r="AT35" s="83">
        <f t="shared" si="23"/>
        <v>0</v>
      </c>
      <c r="AU35" s="83">
        <f t="shared" si="23"/>
        <v>0</v>
      </c>
    </row>
    <row r="36" spans="1:47" ht="14.15">
      <c r="B36" s="84"/>
      <c r="C36" s="81" t="s">
        <v>786</v>
      </c>
      <c r="E36" s="71" t="str">
        <f>IF(ISERROR(E35/E6),"—",E35/E6)</f>
        <v>—</v>
      </c>
      <c r="F36" s="71"/>
      <c r="G36" s="71" t="str">
        <f>IF(ISERROR(G35/G6),"—",G35/G6)</f>
        <v>—</v>
      </c>
      <c r="H36" s="71"/>
      <c r="I36" s="71" t="str">
        <f>IF(ISERROR(I35/I6),"—",I35/I6)</f>
        <v>—</v>
      </c>
      <c r="J36" s="71"/>
      <c r="K36" s="71" t="str">
        <f>IF(ISERROR(K35/K6),"—",K35/K6)</f>
        <v>—</v>
      </c>
      <c r="L36" s="71"/>
      <c r="M36" s="71" t="str">
        <f>IF(ISERROR(M35/M6),"—",M35/M6)</f>
        <v>—</v>
      </c>
      <c r="N36" s="71"/>
      <c r="O36" s="71" t="str">
        <f t="shared" ref="O36:AM36" si="24">IF(ISERROR(O35/O6),"—",O35/O6)</f>
        <v>—</v>
      </c>
      <c r="P36" s="71" t="str">
        <f t="shared" si="24"/>
        <v>—</v>
      </c>
      <c r="Q36" s="71" t="str">
        <f t="shared" si="24"/>
        <v>—</v>
      </c>
      <c r="R36" s="71" t="str">
        <f t="shared" si="24"/>
        <v>—</v>
      </c>
      <c r="S36" s="71" t="str">
        <f t="shared" si="24"/>
        <v>—</v>
      </c>
      <c r="T36" s="71" t="str">
        <f t="shared" si="24"/>
        <v>—</v>
      </c>
      <c r="U36" s="71" t="str">
        <f t="shared" si="24"/>
        <v>—</v>
      </c>
      <c r="V36" s="71">
        <f t="shared" si="24"/>
        <v>0.42108135145915626</v>
      </c>
      <c r="W36" s="71">
        <f t="shared" si="24"/>
        <v>0.39614146331289973</v>
      </c>
      <c r="X36" s="71">
        <f t="shared" si="24"/>
        <v>0.3735715120241096</v>
      </c>
      <c r="Y36" s="71" t="str">
        <f t="shared" si="24"/>
        <v>—</v>
      </c>
      <c r="Z36" s="71" t="str">
        <f t="shared" si="24"/>
        <v>—</v>
      </c>
      <c r="AA36" s="71" t="str">
        <f t="shared" si="24"/>
        <v>—</v>
      </c>
      <c r="AB36" s="71" t="str">
        <f t="shared" si="24"/>
        <v>—</v>
      </c>
      <c r="AC36" s="71" t="str">
        <f t="shared" si="24"/>
        <v>—</v>
      </c>
      <c r="AD36" s="71" t="str">
        <f t="shared" si="24"/>
        <v>—</v>
      </c>
      <c r="AE36" s="71" t="str">
        <f t="shared" si="24"/>
        <v>—</v>
      </c>
      <c r="AF36" s="71" t="str">
        <f t="shared" si="24"/>
        <v>—</v>
      </c>
      <c r="AG36" s="71" t="str">
        <f t="shared" si="24"/>
        <v>—</v>
      </c>
      <c r="AH36" s="71" t="str">
        <f t="shared" si="24"/>
        <v>—</v>
      </c>
      <c r="AI36" s="71" t="str">
        <f t="shared" si="24"/>
        <v>—</v>
      </c>
      <c r="AJ36" s="71" t="str">
        <f t="shared" si="24"/>
        <v>—</v>
      </c>
      <c r="AK36" s="71" t="str">
        <f t="shared" si="24"/>
        <v>—</v>
      </c>
      <c r="AL36" s="71" t="str">
        <f t="shared" si="24"/>
        <v>—</v>
      </c>
      <c r="AM36" s="71" t="str">
        <f t="shared" si="24"/>
        <v>—</v>
      </c>
      <c r="AN36" s="71" t="str">
        <f t="shared" ref="AN36:AT36" si="25">IF(ISERROR(AN35/AN6),"—",AN35/AN6)</f>
        <v>—</v>
      </c>
      <c r="AO36" s="71" t="str">
        <f t="shared" si="25"/>
        <v>—</v>
      </c>
      <c r="AP36" s="71" t="str">
        <f t="shared" si="25"/>
        <v>—</v>
      </c>
      <c r="AQ36" s="71" t="str">
        <f t="shared" si="25"/>
        <v>—</v>
      </c>
      <c r="AR36" s="71" t="str">
        <f t="shared" si="25"/>
        <v>—</v>
      </c>
      <c r="AS36" s="71" t="str">
        <f t="shared" si="25"/>
        <v>—</v>
      </c>
      <c r="AT36" s="71" t="str">
        <f t="shared" si="25"/>
        <v>—</v>
      </c>
      <c r="AU36" s="71" t="str">
        <f>IF(ISERROR(AU35/AU6),"—",AU35/AU6)</f>
        <v>—</v>
      </c>
    </row>
    <row r="37" spans="1:47" s="423" customFormat="1" ht="14.15">
      <c r="B37" s="431"/>
      <c r="C37" s="426" t="s">
        <v>781</v>
      </c>
      <c r="D37" s="425"/>
      <c r="E37" s="433"/>
      <c r="F37" s="433"/>
      <c r="G37" s="433"/>
      <c r="H37" s="433"/>
      <c r="I37" s="433" t="str">
        <f t="shared" ref="I37:AK37" si="26">IF(ISERROR((I35-E35)/ABS(E35)),"—",(I35-E35)/ABS(E35))</f>
        <v>—</v>
      </c>
      <c r="J37" s="433" t="str">
        <f t="shared" si="26"/>
        <v>—</v>
      </c>
      <c r="K37" s="433" t="str">
        <f t="shared" si="26"/>
        <v>—</v>
      </c>
      <c r="L37" s="433" t="str">
        <f t="shared" si="26"/>
        <v>—</v>
      </c>
      <c r="M37" s="433" t="str">
        <f t="shared" si="26"/>
        <v>—</v>
      </c>
      <c r="N37" s="433" t="str">
        <f t="shared" si="26"/>
        <v>—</v>
      </c>
      <c r="O37" s="433" t="str">
        <f t="shared" si="26"/>
        <v>—</v>
      </c>
      <c r="P37" s="433" t="str">
        <f t="shared" si="26"/>
        <v>—</v>
      </c>
      <c r="Q37" s="433" t="str">
        <f t="shared" si="26"/>
        <v>—</v>
      </c>
      <c r="R37" s="433" t="str">
        <f t="shared" si="26"/>
        <v>—</v>
      </c>
      <c r="S37" s="433" t="str">
        <f t="shared" si="26"/>
        <v>—</v>
      </c>
      <c r="T37" s="433" t="str">
        <f t="shared" si="26"/>
        <v>—</v>
      </c>
      <c r="U37" s="433" t="str">
        <f t="shared" si="26"/>
        <v>—</v>
      </c>
      <c r="V37" s="433" t="str">
        <f t="shared" si="26"/>
        <v>—</v>
      </c>
      <c r="W37" s="433" t="str">
        <f t="shared" si="26"/>
        <v>—</v>
      </c>
      <c r="X37" s="433" t="str">
        <f t="shared" si="26"/>
        <v>—</v>
      </c>
      <c r="Y37" s="433" t="str">
        <f t="shared" si="26"/>
        <v>—</v>
      </c>
      <c r="Z37" s="433">
        <f t="shared" si="26"/>
        <v>-1</v>
      </c>
      <c r="AA37" s="433">
        <f t="shared" si="26"/>
        <v>-1</v>
      </c>
      <c r="AB37" s="433">
        <f t="shared" si="26"/>
        <v>-1</v>
      </c>
      <c r="AC37" s="433" t="str">
        <f t="shared" si="26"/>
        <v>—</v>
      </c>
      <c r="AD37" s="433" t="str">
        <f t="shared" si="26"/>
        <v>—</v>
      </c>
      <c r="AE37" s="433" t="str">
        <f t="shared" si="26"/>
        <v>—</v>
      </c>
      <c r="AF37" s="433" t="str">
        <f t="shared" si="26"/>
        <v>—</v>
      </c>
      <c r="AG37" s="433" t="str">
        <f t="shared" si="26"/>
        <v>—</v>
      </c>
      <c r="AH37" s="433" t="str">
        <f t="shared" si="26"/>
        <v>—</v>
      </c>
      <c r="AI37" s="433" t="str">
        <f t="shared" si="26"/>
        <v>—</v>
      </c>
      <c r="AJ37" s="433" t="str">
        <f t="shared" si="26"/>
        <v>—</v>
      </c>
      <c r="AK37" s="433" t="str">
        <f t="shared" si="26"/>
        <v>—</v>
      </c>
      <c r="AL37" s="422" t="str">
        <f>IF(ISERROR((AL35-AG35)/ABS(AG35)),"—",(AL35-AG35)/ABS(AG35))</f>
        <v>—</v>
      </c>
      <c r="AM37" s="422" t="str">
        <f>IF(ISERROR((AM35-AL35)/ABS(AL35)),"—",(AM35-AL35)/ABS(AL35))</f>
        <v>—</v>
      </c>
      <c r="AN37" s="422" t="str">
        <f t="shared" ref="AN37:AU37" si="27">IF(ISERROR(AN35/AM35-1),"—",AN35/AM35-1)</f>
        <v>—</v>
      </c>
      <c r="AO37" s="422" t="str">
        <f t="shared" si="27"/>
        <v>—</v>
      </c>
      <c r="AP37" s="422" t="str">
        <f t="shared" si="27"/>
        <v>—</v>
      </c>
      <c r="AQ37" s="422" t="str">
        <f t="shared" si="27"/>
        <v>—</v>
      </c>
      <c r="AR37" s="422" t="str">
        <f t="shared" si="27"/>
        <v>—</v>
      </c>
      <c r="AS37" s="422" t="str">
        <f t="shared" si="27"/>
        <v>—</v>
      </c>
      <c r="AT37" s="422" t="str">
        <f t="shared" si="27"/>
        <v>—</v>
      </c>
      <c r="AU37" s="422" t="str">
        <f t="shared" si="27"/>
        <v>—</v>
      </c>
    </row>
    <row r="38" spans="1:47" ht="13.75">
      <c r="B38" s="75" t="s">
        <v>789</v>
      </c>
      <c r="C38" s="81"/>
      <c r="E38" s="86">
        <f t="shared" ref="E38:AK38" si="28">IF(ISERROR(E35-E13),"—",E35-E13)</f>
        <v>0</v>
      </c>
      <c r="F38" s="86">
        <f t="shared" si="28"/>
        <v>0</v>
      </c>
      <c r="G38" s="86">
        <f t="shared" si="28"/>
        <v>0</v>
      </c>
      <c r="H38" s="86">
        <f t="shared" si="28"/>
        <v>0</v>
      </c>
      <c r="I38" s="86">
        <f t="shared" si="28"/>
        <v>0</v>
      </c>
      <c r="J38" s="86">
        <f t="shared" si="28"/>
        <v>0</v>
      </c>
      <c r="K38" s="86">
        <f t="shared" si="28"/>
        <v>0</v>
      </c>
      <c r="L38" s="86">
        <f t="shared" si="28"/>
        <v>0</v>
      </c>
      <c r="M38" s="86">
        <f t="shared" si="28"/>
        <v>0</v>
      </c>
      <c r="N38" s="86">
        <f t="shared" si="28"/>
        <v>0</v>
      </c>
      <c r="O38" s="86">
        <f t="shared" si="28"/>
        <v>0</v>
      </c>
      <c r="P38" s="86">
        <f t="shared" si="28"/>
        <v>0</v>
      </c>
      <c r="Q38" s="86">
        <f t="shared" si="28"/>
        <v>0</v>
      </c>
      <c r="R38" s="86">
        <f t="shared" si="28"/>
        <v>0</v>
      </c>
      <c r="S38" s="86">
        <f t="shared" si="28"/>
        <v>0</v>
      </c>
      <c r="T38" s="86">
        <f t="shared" si="28"/>
        <v>0</v>
      </c>
      <c r="U38" s="86">
        <f t="shared" si="28"/>
        <v>0</v>
      </c>
      <c r="V38" s="86">
        <f t="shared" si="28"/>
        <v>1419.02970899</v>
      </c>
      <c r="W38" s="86">
        <f t="shared" si="28"/>
        <v>2543.3603157400012</v>
      </c>
      <c r="X38" s="86">
        <f t="shared" si="28"/>
        <v>3460.3539813000011</v>
      </c>
      <c r="Y38" s="86">
        <f t="shared" si="28"/>
        <v>0</v>
      </c>
      <c r="Z38" s="86">
        <f t="shared" si="28"/>
        <v>0</v>
      </c>
      <c r="AA38" s="86">
        <f t="shared" si="28"/>
        <v>0</v>
      </c>
      <c r="AB38" s="86">
        <f t="shared" si="28"/>
        <v>0</v>
      </c>
      <c r="AC38" s="86">
        <f t="shared" si="28"/>
        <v>0</v>
      </c>
      <c r="AD38" s="86">
        <f t="shared" si="28"/>
        <v>0</v>
      </c>
      <c r="AE38" s="86">
        <f t="shared" si="28"/>
        <v>0</v>
      </c>
      <c r="AF38" s="86">
        <f t="shared" si="28"/>
        <v>0</v>
      </c>
      <c r="AG38" s="86">
        <f t="shared" si="28"/>
        <v>0</v>
      </c>
      <c r="AH38" s="86">
        <f t="shared" si="28"/>
        <v>0</v>
      </c>
      <c r="AI38" s="86">
        <f t="shared" si="28"/>
        <v>0</v>
      </c>
      <c r="AJ38" s="86">
        <f t="shared" si="28"/>
        <v>0</v>
      </c>
      <c r="AK38" s="86">
        <f t="shared" si="28"/>
        <v>0</v>
      </c>
      <c r="AL38" s="86">
        <f>IF(ISERROR(AL35-AL13),"0",AL35-AL13)</f>
        <v>0</v>
      </c>
      <c r="AM38" s="86">
        <f t="shared" ref="AM38:AU38" si="29">IF(ISERROR(AM35-AM13),"0",AM35-AM13)</f>
        <v>0</v>
      </c>
      <c r="AN38" s="86">
        <f t="shared" si="29"/>
        <v>0</v>
      </c>
      <c r="AO38" s="86">
        <f t="shared" si="29"/>
        <v>0</v>
      </c>
      <c r="AP38" s="86">
        <f t="shared" si="29"/>
        <v>0</v>
      </c>
      <c r="AQ38" s="86">
        <f t="shared" si="29"/>
        <v>0</v>
      </c>
      <c r="AR38" s="86">
        <f t="shared" si="29"/>
        <v>0</v>
      </c>
      <c r="AS38" s="86">
        <f t="shared" si="29"/>
        <v>0</v>
      </c>
      <c r="AT38" s="86">
        <f t="shared" si="29"/>
        <v>0</v>
      </c>
      <c r="AU38" s="86">
        <f t="shared" si="29"/>
        <v>0</v>
      </c>
    </row>
    <row r="39" spans="1:47" ht="14.15">
      <c r="B39" s="84"/>
      <c r="C39" s="81" t="s">
        <v>786</v>
      </c>
      <c r="E39" s="71" t="str">
        <f>IF(ISERROR(E38/E6),"—",E38/E6)</f>
        <v>—</v>
      </c>
      <c r="F39" s="71"/>
      <c r="G39" s="71" t="str">
        <f>IF(ISERROR(G38/G6),"—",G38/G6)</f>
        <v>—</v>
      </c>
      <c r="H39" s="71"/>
      <c r="I39" s="71" t="str">
        <f>IF(ISERROR(I38/I6),"—",I38/I6)</f>
        <v>—</v>
      </c>
      <c r="J39" s="71"/>
      <c r="K39" s="71" t="str">
        <f>IF(ISERROR(K38/K6),"—",K38/K6)</f>
        <v>—</v>
      </c>
      <c r="L39" s="71"/>
      <c r="M39" s="71" t="str">
        <f>IF(ISERROR(M38/M6),"—",M38/M6)</f>
        <v>—</v>
      </c>
      <c r="N39" s="71"/>
      <c r="O39" s="71" t="str">
        <f t="shared" ref="O39:AM39" si="30">IF(ISERROR(O38/O6),"—",O38/O6)</f>
        <v>—</v>
      </c>
      <c r="P39" s="71" t="str">
        <f t="shared" si="30"/>
        <v>—</v>
      </c>
      <c r="Q39" s="71" t="str">
        <f t="shared" si="30"/>
        <v>—</v>
      </c>
      <c r="R39" s="71" t="str">
        <f t="shared" si="30"/>
        <v>—</v>
      </c>
      <c r="S39" s="71" t="str">
        <f t="shared" si="30"/>
        <v>—</v>
      </c>
      <c r="T39" s="71" t="str">
        <f t="shared" si="30"/>
        <v>—</v>
      </c>
      <c r="U39" s="71" t="str">
        <f t="shared" si="30"/>
        <v>—</v>
      </c>
      <c r="V39" s="71">
        <f t="shared" si="30"/>
        <v>0.42108135145915626</v>
      </c>
      <c r="W39" s="71">
        <f t="shared" si="30"/>
        <v>0.39614146331289973</v>
      </c>
      <c r="X39" s="71">
        <f t="shared" si="30"/>
        <v>0.3735715120241096</v>
      </c>
      <c r="Y39" s="71" t="str">
        <f t="shared" si="30"/>
        <v>—</v>
      </c>
      <c r="Z39" s="71" t="str">
        <f t="shared" si="30"/>
        <v>—</v>
      </c>
      <c r="AA39" s="71" t="str">
        <f t="shared" si="30"/>
        <v>—</v>
      </c>
      <c r="AB39" s="71" t="str">
        <f t="shared" si="30"/>
        <v>—</v>
      </c>
      <c r="AC39" s="71" t="str">
        <f t="shared" si="30"/>
        <v>—</v>
      </c>
      <c r="AD39" s="71" t="str">
        <f t="shared" si="30"/>
        <v>—</v>
      </c>
      <c r="AE39" s="71" t="str">
        <f t="shared" si="30"/>
        <v>—</v>
      </c>
      <c r="AF39" s="71" t="str">
        <f t="shared" si="30"/>
        <v>—</v>
      </c>
      <c r="AG39" s="71" t="str">
        <f t="shared" si="30"/>
        <v>—</v>
      </c>
      <c r="AH39" s="71" t="str">
        <f t="shared" si="30"/>
        <v>—</v>
      </c>
      <c r="AI39" s="71" t="str">
        <f t="shared" si="30"/>
        <v>—</v>
      </c>
      <c r="AJ39" s="71" t="str">
        <f t="shared" si="30"/>
        <v>—</v>
      </c>
      <c r="AK39" s="71" t="str">
        <f t="shared" si="30"/>
        <v>—</v>
      </c>
      <c r="AL39" s="71" t="str">
        <f t="shared" si="30"/>
        <v>—</v>
      </c>
      <c r="AM39" s="71" t="str">
        <f t="shared" si="30"/>
        <v>—</v>
      </c>
      <c r="AN39" s="71" t="str">
        <f t="shared" ref="AN39:AT39" si="31">IF(ISERROR(AN38/AN6),"—",AN38/AN6)</f>
        <v>—</v>
      </c>
      <c r="AO39" s="71" t="str">
        <f t="shared" si="31"/>
        <v>—</v>
      </c>
      <c r="AP39" s="71" t="str">
        <f t="shared" si="31"/>
        <v>—</v>
      </c>
      <c r="AQ39" s="71" t="str">
        <f t="shared" si="31"/>
        <v>—</v>
      </c>
      <c r="AR39" s="71" t="str">
        <f t="shared" si="31"/>
        <v>—</v>
      </c>
      <c r="AS39" s="71" t="str">
        <f t="shared" si="31"/>
        <v>—</v>
      </c>
      <c r="AT39" s="71" t="str">
        <f t="shared" si="31"/>
        <v>—</v>
      </c>
      <c r="AU39" s="71" t="str">
        <f>IF(ISERROR(AU38/AU6),"—",AU38/AU6)</f>
        <v>—</v>
      </c>
    </row>
    <row r="40" spans="1:47" s="420" customFormat="1" ht="14.15">
      <c r="B40" s="431"/>
      <c r="C40" s="426" t="s">
        <v>781</v>
      </c>
      <c r="D40" s="432"/>
      <c r="E40" s="422"/>
      <c r="F40" s="422"/>
      <c r="G40" s="422"/>
      <c r="H40" s="422"/>
      <c r="I40" s="422" t="str">
        <f t="shared" ref="I40:AK40" si="32">IF(ISERROR((I38-E38)/ABS(E38)),"—",(I38-E38)/ABS(E38))</f>
        <v>—</v>
      </c>
      <c r="J40" s="422" t="str">
        <f t="shared" si="32"/>
        <v>—</v>
      </c>
      <c r="K40" s="422" t="str">
        <f t="shared" si="32"/>
        <v>—</v>
      </c>
      <c r="L40" s="422" t="str">
        <f t="shared" si="32"/>
        <v>—</v>
      </c>
      <c r="M40" s="422" t="str">
        <f t="shared" si="32"/>
        <v>—</v>
      </c>
      <c r="N40" s="422" t="str">
        <f t="shared" si="32"/>
        <v>—</v>
      </c>
      <c r="O40" s="422" t="str">
        <f t="shared" si="32"/>
        <v>—</v>
      </c>
      <c r="P40" s="422" t="str">
        <f t="shared" si="32"/>
        <v>—</v>
      </c>
      <c r="Q40" s="422" t="str">
        <f t="shared" si="32"/>
        <v>—</v>
      </c>
      <c r="R40" s="422" t="str">
        <f t="shared" si="32"/>
        <v>—</v>
      </c>
      <c r="S40" s="422" t="str">
        <f t="shared" si="32"/>
        <v>—</v>
      </c>
      <c r="T40" s="422" t="str">
        <f t="shared" si="32"/>
        <v>—</v>
      </c>
      <c r="U40" s="422" t="str">
        <f t="shared" si="32"/>
        <v>—</v>
      </c>
      <c r="V40" s="422" t="str">
        <f t="shared" si="32"/>
        <v>—</v>
      </c>
      <c r="W40" s="422" t="str">
        <f t="shared" si="32"/>
        <v>—</v>
      </c>
      <c r="X40" s="422" t="str">
        <f t="shared" si="32"/>
        <v>—</v>
      </c>
      <c r="Y40" s="422" t="str">
        <f t="shared" si="32"/>
        <v>—</v>
      </c>
      <c r="Z40" s="422">
        <f t="shared" si="32"/>
        <v>-1</v>
      </c>
      <c r="AA40" s="422">
        <f t="shared" si="32"/>
        <v>-1</v>
      </c>
      <c r="AB40" s="422">
        <f t="shared" si="32"/>
        <v>-1</v>
      </c>
      <c r="AC40" s="422" t="str">
        <f t="shared" si="32"/>
        <v>—</v>
      </c>
      <c r="AD40" s="422" t="str">
        <f t="shared" si="32"/>
        <v>—</v>
      </c>
      <c r="AE40" s="422" t="str">
        <f t="shared" si="32"/>
        <v>—</v>
      </c>
      <c r="AF40" s="422" t="str">
        <f t="shared" si="32"/>
        <v>—</v>
      </c>
      <c r="AG40" s="422" t="str">
        <f t="shared" si="32"/>
        <v>—</v>
      </c>
      <c r="AH40" s="422" t="str">
        <f t="shared" si="32"/>
        <v>—</v>
      </c>
      <c r="AI40" s="422" t="str">
        <f t="shared" si="32"/>
        <v>—</v>
      </c>
      <c r="AJ40" s="422" t="str">
        <f t="shared" si="32"/>
        <v>—</v>
      </c>
      <c r="AK40" s="422" t="str">
        <f t="shared" si="32"/>
        <v>—</v>
      </c>
      <c r="AL40" s="422" t="str">
        <f>AG40</f>
        <v>—</v>
      </c>
      <c r="AM40" s="422" t="str">
        <f>AL40</f>
        <v>—</v>
      </c>
      <c r="AN40" s="422" t="str">
        <f>AM40</f>
        <v>—</v>
      </c>
      <c r="AO40" s="422" t="str">
        <f t="shared" ref="AO40:AU40" si="33">IF(ISERROR(AO38/AN38-1),"—",AO38/AN38-1)</f>
        <v>—</v>
      </c>
      <c r="AP40" s="422" t="str">
        <f t="shared" si="33"/>
        <v>—</v>
      </c>
      <c r="AQ40" s="422" t="str">
        <f t="shared" si="33"/>
        <v>—</v>
      </c>
      <c r="AR40" s="422" t="str">
        <f t="shared" si="33"/>
        <v>—</v>
      </c>
      <c r="AS40" s="422" t="str">
        <f t="shared" si="33"/>
        <v>—</v>
      </c>
      <c r="AT40" s="422" t="str">
        <f t="shared" si="33"/>
        <v>—</v>
      </c>
      <c r="AU40" s="422" t="str">
        <f t="shared" si="33"/>
        <v>—</v>
      </c>
    </row>
    <row r="41" spans="1:47" s="420" customFormat="1" ht="14.15">
      <c r="B41" s="431"/>
      <c r="C41" s="426"/>
      <c r="D41" s="432"/>
      <c r="E41" s="422"/>
      <c r="F41" s="422"/>
      <c r="G41" s="422"/>
      <c r="H41" s="422"/>
      <c r="I41" s="422"/>
      <c r="J41" s="422"/>
      <c r="K41" s="422"/>
      <c r="L41" s="422"/>
      <c r="M41" s="422"/>
      <c r="N41" s="422"/>
      <c r="O41" s="422"/>
      <c r="P41" s="422"/>
      <c r="Q41" s="422"/>
      <c r="R41" s="422"/>
      <c r="S41" s="422"/>
      <c r="T41" s="422"/>
      <c r="U41" s="422"/>
      <c r="V41" s="422"/>
      <c r="W41" s="422"/>
      <c r="X41" s="422"/>
      <c r="Y41" s="422"/>
      <c r="Z41" s="422"/>
      <c r="AA41" s="422"/>
      <c r="AB41" s="422"/>
      <c r="AC41" s="422"/>
      <c r="AD41" s="422"/>
      <c r="AE41" s="422"/>
      <c r="AF41" s="422"/>
      <c r="AG41" s="422"/>
      <c r="AH41" s="422"/>
      <c r="AI41" s="422"/>
      <c r="AJ41" s="422"/>
      <c r="AK41" s="422"/>
      <c r="AL41" s="422">
        <f>AG41</f>
        <v>0</v>
      </c>
      <c r="AM41" s="422">
        <f>AL41</f>
        <v>0</v>
      </c>
      <c r="AN41" s="422">
        <f>AM41</f>
        <v>0</v>
      </c>
      <c r="AO41" s="422"/>
      <c r="AP41" s="422"/>
      <c r="AQ41" s="422"/>
      <c r="AR41" s="422"/>
      <c r="AS41" s="422"/>
      <c r="AT41" s="422"/>
      <c r="AU41" s="422"/>
    </row>
    <row r="42" spans="1:47" s="260" customFormat="1" ht="13.75">
      <c r="A42" s="497" t="s">
        <v>997</v>
      </c>
      <c r="B42" s="477" t="s">
        <v>969</v>
      </c>
      <c r="C42" s="265"/>
      <c r="D42" s="488"/>
      <c r="E42" s="463">
        <f>财务基础数据!J63*目录!$D$6</f>
        <v>0</v>
      </c>
      <c r="F42" s="463">
        <f>财务基础数据!K63*目录!$D$6</f>
        <v>0</v>
      </c>
      <c r="G42" s="463">
        <f>财务基础数据!L63*目录!$D$6</f>
        <v>0</v>
      </c>
      <c r="H42" s="463">
        <f>财务基础数据!M63*目录!$D$6</f>
        <v>0</v>
      </c>
      <c r="I42" s="463">
        <f>财务基础数据!N63*目录!$D$6</f>
        <v>0</v>
      </c>
      <c r="J42" s="463">
        <f>财务基础数据!O63*目录!$D$6</f>
        <v>0</v>
      </c>
      <c r="K42" s="463">
        <f>财务基础数据!P63*目录!$D$6</f>
        <v>0</v>
      </c>
      <c r="L42" s="463">
        <f>财务基础数据!Q63*目录!$D$6</f>
        <v>0</v>
      </c>
      <c r="M42" s="463">
        <f>财务基础数据!R63*目录!$D$6</f>
        <v>0</v>
      </c>
      <c r="N42" s="463">
        <f>财务基础数据!S63*目录!$D$6</f>
        <v>0</v>
      </c>
      <c r="O42" s="463">
        <f>财务基础数据!T63*目录!$D$6</f>
        <v>0</v>
      </c>
      <c r="P42" s="463">
        <f>财务基础数据!U63*目录!$D$6</f>
        <v>0</v>
      </c>
      <c r="Q42" s="463">
        <f>财务基础数据!V63*目录!$D$6</f>
        <v>0</v>
      </c>
      <c r="R42" s="463">
        <f>财务基础数据!W63*目录!$D$6</f>
        <v>0</v>
      </c>
      <c r="S42" s="463">
        <f>财务基础数据!X63*目录!$D$6</f>
        <v>0</v>
      </c>
      <c r="T42" s="463">
        <f>财务基础数据!Y63*目录!$D$6</f>
        <v>0</v>
      </c>
      <c r="U42" s="463">
        <f>财务基础数据!Z63*目录!$D$6</f>
        <v>0</v>
      </c>
      <c r="V42" s="463">
        <f>财务基础数据!AA63*目录!$D$6</f>
        <v>3.7748032400000002</v>
      </c>
      <c r="W42" s="463">
        <f>财务基础数据!AB63*目录!$D$6</f>
        <v>7.79221275</v>
      </c>
      <c r="X42" s="463">
        <f>财务基础数据!AC63*目录!$D$6</f>
        <v>11.638472839999999</v>
      </c>
      <c r="Y42" s="463">
        <f>财务基础数据!AD63*目录!$D$6</f>
        <v>0</v>
      </c>
      <c r="Z42" s="463">
        <f>财务基础数据!AE63*目录!$D$6</f>
        <v>0</v>
      </c>
      <c r="AA42" s="463">
        <f>财务基础数据!AF63*目录!$D$6</f>
        <v>0</v>
      </c>
      <c r="AB42" s="463">
        <f>财务基础数据!AG63*目录!$D$6</f>
        <v>0</v>
      </c>
      <c r="AC42" s="463">
        <f>财务基础数据!AH63*目录!$D$6</f>
        <v>0</v>
      </c>
      <c r="AD42" s="463">
        <f>财务基础数据!AI63*目录!$D$6</f>
        <v>0</v>
      </c>
      <c r="AE42" s="463">
        <f>财务基础数据!AJ63*目录!$D$6</f>
        <v>0</v>
      </c>
      <c r="AF42" s="463">
        <f>财务基础数据!AK63*目录!$D$6</f>
        <v>0</v>
      </c>
      <c r="AG42" s="463">
        <f>财务基础数据!AL63*目录!$D$6</f>
        <v>0</v>
      </c>
      <c r="AH42" s="463">
        <f>财务基础数据!AM63*目录!$D$6</f>
        <v>0</v>
      </c>
      <c r="AI42" s="463">
        <f>财务基础数据!AN63*目录!$D$6</f>
        <v>0</v>
      </c>
      <c r="AJ42" s="463">
        <f>财务基础数据!AO63*目录!$D$6</f>
        <v>0</v>
      </c>
      <c r="AK42" s="463">
        <f>财务基础数据!AP63*目录!$D$6</f>
        <v>0</v>
      </c>
      <c r="AL42" s="36" t="str">
        <f>IF(ISERROR(销售预测!V28),"—",销售预测!V28)</f>
        <v>—</v>
      </c>
      <c r="AM42" s="36" t="str">
        <f>IF(ISERROR(销售预测!W28),"—",销售预测!W28)</f>
        <v>—</v>
      </c>
      <c r="AN42" s="36" t="str">
        <f>IF(ISERROR(销售预测!X28),"—",销售预测!X28)</f>
        <v>—</v>
      </c>
      <c r="AO42" s="36">
        <f>IF(ISERROR(销售预测!Y28),"—",销售预测!Y28)</f>
        <v>0</v>
      </c>
      <c r="AP42" s="36">
        <f>IF(ISERROR(销售预测!Z28),"—",销售预测!Z28)</f>
        <v>0</v>
      </c>
      <c r="AQ42" s="36">
        <f>IF(ISERROR(销售预测!AA28),"—",销售预测!AA28)</f>
        <v>0</v>
      </c>
      <c r="AR42" s="36">
        <f>IF(ISERROR(销售预测!AB28),"—",销售预测!AB28)</f>
        <v>0</v>
      </c>
      <c r="AS42" s="36">
        <f>IF(ISERROR(销售预测!AC28),"—",销售预测!AC28)</f>
        <v>0</v>
      </c>
      <c r="AT42" s="36">
        <f>IF(ISERROR(销售预测!AD28),"—",销售预测!AD28)</f>
        <v>0</v>
      </c>
      <c r="AU42" s="36">
        <f>IF(ISERROR(销售预测!AE28),"—",销售预测!AE28)</f>
        <v>0</v>
      </c>
    </row>
    <row r="43" spans="1:47" ht="13.75">
      <c r="B43" s="51"/>
      <c r="C43" s="81" t="s">
        <v>791</v>
      </c>
      <c r="E43" s="415" t="str">
        <f t="shared" ref="E43:AJ43" si="34">IF(ISERROR(E42/E74),"—",E42/E74)</f>
        <v>—</v>
      </c>
      <c r="F43" s="415" t="str">
        <f t="shared" si="34"/>
        <v>—</v>
      </c>
      <c r="G43" s="415" t="str">
        <f t="shared" si="34"/>
        <v>—</v>
      </c>
      <c r="H43" s="415" t="str">
        <f t="shared" si="34"/>
        <v>—</v>
      </c>
      <c r="I43" s="415" t="str">
        <f t="shared" si="34"/>
        <v>—</v>
      </c>
      <c r="J43" s="415" t="str">
        <f t="shared" si="34"/>
        <v>—</v>
      </c>
      <c r="K43" s="415" t="str">
        <f t="shared" si="34"/>
        <v>—</v>
      </c>
      <c r="L43" s="415" t="str">
        <f t="shared" si="34"/>
        <v>—</v>
      </c>
      <c r="M43" s="415" t="str">
        <f t="shared" si="34"/>
        <v>—</v>
      </c>
      <c r="N43" s="415" t="str">
        <f t="shared" si="34"/>
        <v>—</v>
      </c>
      <c r="O43" s="415" t="str">
        <f t="shared" si="34"/>
        <v>—</v>
      </c>
      <c r="P43" s="415" t="str">
        <f t="shared" si="34"/>
        <v>—</v>
      </c>
      <c r="Q43" s="415" t="str">
        <f t="shared" si="34"/>
        <v>—</v>
      </c>
      <c r="R43" s="415" t="str">
        <f t="shared" si="34"/>
        <v>—</v>
      </c>
      <c r="S43" s="415" t="str">
        <f t="shared" si="34"/>
        <v>—</v>
      </c>
      <c r="T43" s="415" t="str">
        <f t="shared" si="34"/>
        <v>—</v>
      </c>
      <c r="U43" s="415" t="str">
        <f t="shared" si="34"/>
        <v>—</v>
      </c>
      <c r="V43" s="415">
        <f t="shared" si="34"/>
        <v>2.5246955702342144E-3</v>
      </c>
      <c r="W43" s="415">
        <f t="shared" si="34"/>
        <v>2.8774525036817065E-3</v>
      </c>
      <c r="X43" s="415">
        <f t="shared" si="34"/>
        <v>3.1234500903750094E-3</v>
      </c>
      <c r="Y43" s="415" t="str">
        <f t="shared" si="34"/>
        <v>—</v>
      </c>
      <c r="Z43" s="415" t="str">
        <f t="shared" si="34"/>
        <v>—</v>
      </c>
      <c r="AA43" s="415" t="str">
        <f t="shared" si="34"/>
        <v>—</v>
      </c>
      <c r="AB43" s="415" t="str">
        <f t="shared" si="34"/>
        <v>—</v>
      </c>
      <c r="AC43" s="415" t="str">
        <f t="shared" si="34"/>
        <v>—</v>
      </c>
      <c r="AD43" s="415" t="str">
        <f t="shared" si="34"/>
        <v>—</v>
      </c>
      <c r="AE43" s="415" t="str">
        <f t="shared" si="34"/>
        <v>—</v>
      </c>
      <c r="AF43" s="415" t="str">
        <f t="shared" si="34"/>
        <v>—</v>
      </c>
      <c r="AG43" s="415" t="str">
        <f t="shared" si="34"/>
        <v>—</v>
      </c>
      <c r="AH43" s="415" t="str">
        <f t="shared" si="34"/>
        <v>—</v>
      </c>
      <c r="AI43" s="415" t="str">
        <f t="shared" si="34"/>
        <v>—</v>
      </c>
      <c r="AJ43" s="415" t="str">
        <f t="shared" si="34"/>
        <v>—</v>
      </c>
      <c r="AK43" s="415" t="str">
        <f t="shared" ref="AK43:AR43" si="35">IF(ISERROR(AK42/AK74),"—",AK42/AK74)</f>
        <v>—</v>
      </c>
      <c r="AL43" s="415" t="str">
        <f t="shared" si="35"/>
        <v>—</v>
      </c>
      <c r="AM43" s="415" t="str">
        <f t="shared" si="35"/>
        <v>—</v>
      </c>
      <c r="AN43" s="415" t="str">
        <f t="shared" si="35"/>
        <v>—</v>
      </c>
      <c r="AO43" s="415" t="str">
        <f t="shared" si="35"/>
        <v>—</v>
      </c>
      <c r="AP43" s="415" t="str">
        <f t="shared" si="35"/>
        <v>—</v>
      </c>
      <c r="AQ43" s="415" t="str">
        <f t="shared" si="35"/>
        <v>—</v>
      </c>
      <c r="AR43" s="415" t="str">
        <f t="shared" si="35"/>
        <v>—</v>
      </c>
      <c r="AS43" s="415" t="str">
        <f>IF(ISERROR(AS42/AS74),"—",AS42/AS74)</f>
        <v>—</v>
      </c>
      <c r="AT43" s="415" t="str">
        <f>IF(ISERROR(AT42/AT74),"—",AT42/AT74)</f>
        <v>—</v>
      </c>
      <c r="AU43" s="415" t="str">
        <f>IF(ISERROR(AU42/AU74),"—",AU42/AU74)</f>
        <v>—</v>
      </c>
    </row>
    <row r="44" spans="1:47" s="264" customFormat="1" ht="13.75">
      <c r="A44" s="260"/>
      <c r="B44" s="637" t="s">
        <v>1031</v>
      </c>
      <c r="C44" s="262"/>
      <c r="D44" s="488"/>
      <c r="E44" s="463">
        <f>(财务基础数据!J23+财务基础数据!J27)*目录!$D$6</f>
        <v>0</v>
      </c>
      <c r="F44" s="463">
        <f>(财务基础数据!K23+财务基础数据!K27)*目录!$D$6</f>
        <v>0</v>
      </c>
      <c r="G44" s="463">
        <f>(财务基础数据!L23+财务基础数据!L27)*目录!$D$6</f>
        <v>0</v>
      </c>
      <c r="H44" s="463">
        <f>(财务基础数据!M23+财务基础数据!M27)*目录!$D$6</f>
        <v>0</v>
      </c>
      <c r="I44" s="463">
        <f>(财务基础数据!N23+财务基础数据!N27)*目录!$D$6</f>
        <v>0</v>
      </c>
      <c r="J44" s="463">
        <f>(财务基础数据!O23+财务基础数据!O27)*目录!$D$6</f>
        <v>0</v>
      </c>
      <c r="K44" s="463">
        <f>(财务基础数据!P23+财务基础数据!P27)*目录!$D$6</f>
        <v>0</v>
      </c>
      <c r="L44" s="463">
        <f>(财务基础数据!Q23+财务基础数据!Q27)*目录!$D$6</f>
        <v>0</v>
      </c>
      <c r="M44" s="463">
        <f>(财务基础数据!R23+财务基础数据!R27)*目录!$D$6</f>
        <v>0</v>
      </c>
      <c r="N44" s="463">
        <f>(财务基础数据!S23+财务基础数据!S27)*目录!$D$6</f>
        <v>0</v>
      </c>
      <c r="O44" s="463">
        <f>(财务基础数据!T23+财务基础数据!T27)*目录!$D$6</f>
        <v>0</v>
      </c>
      <c r="P44" s="463">
        <f>(财务基础数据!U23+财务基础数据!U27)*目录!$D$6</f>
        <v>0</v>
      </c>
      <c r="Q44" s="463">
        <f>(财务基础数据!V23+财务基础数据!V27)*目录!$D$6</f>
        <v>0</v>
      </c>
      <c r="R44" s="463">
        <f>(财务基础数据!W23+财务基础数据!W27)*目录!$D$6</f>
        <v>0</v>
      </c>
      <c r="S44" s="463">
        <f>(财务基础数据!X23+财务基础数据!X27)*目录!$D$6</f>
        <v>0</v>
      </c>
      <c r="T44" s="463">
        <f>(财务基础数据!Y23+财务基础数据!Y27)*目录!$D$6</f>
        <v>0</v>
      </c>
      <c r="U44" s="463">
        <f>(财务基础数据!Z23+财务基础数据!Z27)*目录!$D$6</f>
        <v>0</v>
      </c>
      <c r="V44" s="463">
        <f>(财务基础数据!AA23+财务基础数据!AA27)*目录!$D$6</f>
        <v>21.03606216</v>
      </c>
      <c r="W44" s="463">
        <f>(财务基础数据!AB23+财务基础数据!AB27)*目录!$D$6</f>
        <v>60.356782689999996</v>
      </c>
      <c r="X44" s="463">
        <f>(财务基础数据!AC23+财务基础数据!AC27)*目录!$D$6</f>
        <v>90.58400773999999</v>
      </c>
      <c r="Y44" s="463">
        <f>(财务基础数据!AD23+财务基础数据!AD27)*目录!$D$6</f>
        <v>0</v>
      </c>
      <c r="Z44" s="463">
        <f>(财务基础数据!AE23+财务基础数据!AE27)*目录!$D$6</f>
        <v>0</v>
      </c>
      <c r="AA44" s="463">
        <f>(财务基础数据!AF23+财务基础数据!AF27)*目录!$D$6</f>
        <v>0</v>
      </c>
      <c r="AB44" s="463">
        <f>(财务基础数据!AG23+财务基础数据!AG27)*目录!$D$6</f>
        <v>0</v>
      </c>
      <c r="AC44" s="463">
        <f>(财务基础数据!AH23+财务基础数据!AH27)*目录!$D$6</f>
        <v>0</v>
      </c>
      <c r="AD44" s="463">
        <f>(财务基础数据!AI23+财务基础数据!AI27)*目录!$D$6</f>
        <v>0</v>
      </c>
      <c r="AE44" s="463">
        <f>(财务基础数据!AJ23+财务基础数据!AJ27)*目录!$D$6</f>
        <v>0</v>
      </c>
      <c r="AF44" s="463">
        <f>(财务基础数据!AK23+财务基础数据!AK27)*目录!$D$6</f>
        <v>0</v>
      </c>
      <c r="AG44" s="463">
        <f>(财务基础数据!AL23+财务基础数据!AL27)*目录!$D$6</f>
        <v>0</v>
      </c>
      <c r="AH44" s="463">
        <f>(财务基础数据!AM23+财务基础数据!AM27)*目录!$D$6</f>
        <v>0</v>
      </c>
      <c r="AI44" s="463">
        <f>(财务基础数据!AN23+财务基础数据!AN27)*目录!$D$6</f>
        <v>0</v>
      </c>
      <c r="AJ44" s="463">
        <f>(财务基础数据!AO23+财务基础数据!AO27)*目录!$D$6</f>
        <v>0</v>
      </c>
      <c r="AK44" s="463">
        <f>(财务基础数据!AP23+财务基础数据!AP27)*目录!$D$6</f>
        <v>0</v>
      </c>
      <c r="AL44" s="463" t="str">
        <f>IF(ISERROR(销售预测!V31),"—",销售预测!V31)</f>
        <v>—</v>
      </c>
      <c r="AM44" s="36" t="str">
        <f>IF(ISERROR(销售预测!W31),"—",销售预测!W31)</f>
        <v>—</v>
      </c>
      <c r="AN44" s="36" t="str">
        <f>IF(ISERROR(销售预测!X31),"—",销售预测!X31)</f>
        <v>—</v>
      </c>
      <c r="AO44" s="36">
        <f>IF(ISERROR(销售预测!Y31),"—",销售预测!Y31)</f>
        <v>0</v>
      </c>
      <c r="AP44" s="36">
        <f>IF(ISERROR(销售预测!Z31),"—",销售预测!Z31)</f>
        <v>0</v>
      </c>
      <c r="AQ44" s="36">
        <f>IF(ISERROR(销售预测!AA31),"—",销售预测!AA31)</f>
        <v>0</v>
      </c>
      <c r="AR44" s="36">
        <f>IF(ISERROR(销售预测!AB31),"—",销售预测!AB31)</f>
        <v>0</v>
      </c>
      <c r="AS44" s="36">
        <f>IF(ISERROR(销售预测!AC31),"—",销售预测!AC31)</f>
        <v>0</v>
      </c>
      <c r="AT44" s="36">
        <f>IF(ISERROR(销售预测!AD31),"—",销售预测!AD31)</f>
        <v>0</v>
      </c>
      <c r="AU44" s="36">
        <f>IF(ISERROR(销售预测!AE31),"—",销售预测!AE31)</f>
        <v>0</v>
      </c>
    </row>
    <row r="45" spans="1:47" ht="13.75">
      <c r="B45" s="42" t="s">
        <v>899</v>
      </c>
      <c r="C45" s="69"/>
      <c r="E45" s="83">
        <f>财务基础数据!J24*目录!$D$6</f>
        <v>0</v>
      </c>
      <c r="F45" s="83">
        <f>财务基础数据!K24*目录!$D$6</f>
        <v>0</v>
      </c>
      <c r="G45" s="83">
        <f>财务基础数据!L24*目录!$D$6</f>
        <v>0</v>
      </c>
      <c r="H45" s="83">
        <f>财务基础数据!M24*目录!$D$6</f>
        <v>0</v>
      </c>
      <c r="I45" s="83">
        <f>财务基础数据!N24*目录!$D$6</f>
        <v>0</v>
      </c>
      <c r="J45" s="83">
        <f>财务基础数据!O24*目录!$D$6</f>
        <v>0</v>
      </c>
      <c r="K45" s="83">
        <f>财务基础数据!P24*目录!$D$6</f>
        <v>0</v>
      </c>
      <c r="L45" s="83">
        <f>财务基础数据!Q24*目录!$D$6</f>
        <v>0</v>
      </c>
      <c r="M45" s="83">
        <f>财务基础数据!R24*目录!$D$6</f>
        <v>0</v>
      </c>
      <c r="N45" s="83">
        <f>财务基础数据!S24*目录!$D$6</f>
        <v>0</v>
      </c>
      <c r="O45" s="83">
        <f>财务基础数据!T24*目录!$D$6</f>
        <v>0</v>
      </c>
      <c r="P45" s="83">
        <f>财务基础数据!U24*目录!$D$6</f>
        <v>0</v>
      </c>
      <c r="Q45" s="83">
        <f>财务基础数据!V24*目录!$D$6</f>
        <v>0</v>
      </c>
      <c r="R45" s="83">
        <f>财务基础数据!W24*目录!$D$6</f>
        <v>0</v>
      </c>
      <c r="S45" s="83">
        <f>财务基础数据!X24*目录!$D$6</f>
        <v>0</v>
      </c>
      <c r="T45" s="83">
        <f>财务基础数据!Y24*目录!$D$6</f>
        <v>0</v>
      </c>
      <c r="U45" s="83">
        <f>财务基础数据!Z24*目录!$D$6</f>
        <v>0</v>
      </c>
      <c r="V45" s="83">
        <f>财务基础数据!AA24*目录!$D$6</f>
        <v>21.03606216</v>
      </c>
      <c r="W45" s="83">
        <f>财务基础数据!AB24*目录!$D$6</f>
        <v>55.583441689999994</v>
      </c>
      <c r="X45" s="83">
        <f>财务基础数据!AC24*目录!$D$6</f>
        <v>81.471466739999997</v>
      </c>
      <c r="Y45" s="83">
        <f>财务基础数据!AD24*目录!$D$6</f>
        <v>0</v>
      </c>
      <c r="Z45" s="83">
        <f>财务基础数据!AE24*目录!$D$6</f>
        <v>0</v>
      </c>
      <c r="AA45" s="83">
        <f>财务基础数据!AF24*目录!$D$6</f>
        <v>0</v>
      </c>
      <c r="AB45" s="83">
        <f>财务基础数据!AG24*目录!$D$6</f>
        <v>0</v>
      </c>
      <c r="AC45" s="83">
        <f>财务基础数据!AH24*目录!$D$6</f>
        <v>0</v>
      </c>
      <c r="AD45" s="83">
        <f>财务基础数据!AI24*目录!$D$6</f>
        <v>0</v>
      </c>
      <c r="AE45" s="83">
        <f>财务基础数据!AJ24*目录!$D$6</f>
        <v>0</v>
      </c>
      <c r="AF45" s="83">
        <f>财务基础数据!AK24*目录!$D$6</f>
        <v>0</v>
      </c>
      <c r="AG45" s="83">
        <f>财务基础数据!AL24*目录!$D$6</f>
        <v>0</v>
      </c>
      <c r="AH45" s="83">
        <f>财务基础数据!AM24*目录!$D$6</f>
        <v>0</v>
      </c>
      <c r="AI45" s="83">
        <f>财务基础数据!AN24*目录!$D$6</f>
        <v>0</v>
      </c>
      <c r="AJ45" s="83">
        <f>财务基础数据!AO24*目录!$D$6</f>
        <v>0</v>
      </c>
      <c r="AK45" s="83">
        <f>财务基础数据!AP24*目录!$D$6</f>
        <v>0</v>
      </c>
      <c r="AL45" s="36"/>
      <c r="AM45" s="36"/>
      <c r="AN45" s="36"/>
      <c r="AO45" s="36"/>
      <c r="AP45" s="36"/>
      <c r="AQ45" s="36"/>
      <c r="AR45" s="36"/>
      <c r="AS45" s="36"/>
      <c r="AT45" s="36"/>
      <c r="AU45" s="36"/>
    </row>
    <row r="46" spans="1:47" ht="13.75">
      <c r="B46" s="556" t="s">
        <v>1030</v>
      </c>
      <c r="C46" s="69"/>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36"/>
      <c r="AM46" s="36"/>
      <c r="AN46" s="36"/>
      <c r="AO46" s="36"/>
      <c r="AP46" s="36"/>
      <c r="AQ46" s="36"/>
      <c r="AR46" s="36"/>
      <c r="AS46" s="36"/>
      <c r="AT46" s="36"/>
      <c r="AU46" s="36"/>
    </row>
    <row r="47" spans="1:47" s="68" customFormat="1" ht="14.15">
      <c r="A47" s="2"/>
      <c r="B47" s="1"/>
      <c r="C47" s="81" t="s">
        <v>791</v>
      </c>
      <c r="D47" s="107"/>
      <c r="E47" s="85" t="str">
        <f>IF(ISERROR(E44/E74),"—",E44/E74)</f>
        <v>—</v>
      </c>
      <c r="F47" s="85"/>
      <c r="G47" s="85" t="str">
        <f>IF(ISERROR(G44/G74),"—",G44/G74)</f>
        <v>—</v>
      </c>
      <c r="H47" s="85"/>
      <c r="I47" s="85" t="str">
        <f>IF(ISERROR(I44/I74),"—",I44/I74)</f>
        <v>—</v>
      </c>
      <c r="J47" s="85"/>
      <c r="K47" s="85" t="str">
        <f>IF(ISERROR(K44/K74),"—",K44/K74)</f>
        <v>—</v>
      </c>
      <c r="L47" s="85"/>
      <c r="M47" s="85" t="str">
        <f>IF(ISERROR(M44/M74),"—",M44/M74)</f>
        <v>—</v>
      </c>
      <c r="N47" s="85"/>
      <c r="O47" s="85" t="str">
        <f t="shared" ref="O47:AM47" si="36">IF(ISERROR(O44/O74),"—",O44/O74)</f>
        <v>—</v>
      </c>
      <c r="P47" s="85" t="str">
        <f t="shared" si="36"/>
        <v>—</v>
      </c>
      <c r="Q47" s="85" t="str">
        <f t="shared" si="36"/>
        <v>—</v>
      </c>
      <c r="R47" s="85" t="str">
        <f t="shared" si="36"/>
        <v>—</v>
      </c>
      <c r="S47" s="85" t="str">
        <f t="shared" si="36"/>
        <v>—</v>
      </c>
      <c r="T47" s="85" t="str">
        <f t="shared" si="36"/>
        <v>—</v>
      </c>
      <c r="U47" s="85" t="str">
        <f t="shared" si="36"/>
        <v>—</v>
      </c>
      <c r="V47" s="85">
        <f t="shared" si="36"/>
        <v>1.4069515567789853E-2</v>
      </c>
      <c r="W47" s="85">
        <f t="shared" si="36"/>
        <v>2.2288120337257626E-2</v>
      </c>
      <c r="X47" s="85">
        <f t="shared" si="36"/>
        <v>2.431028804652291E-2</v>
      </c>
      <c r="Y47" s="85" t="str">
        <f t="shared" si="36"/>
        <v>—</v>
      </c>
      <c r="Z47" s="85" t="str">
        <f t="shared" si="36"/>
        <v>—</v>
      </c>
      <c r="AA47" s="85" t="str">
        <f t="shared" si="36"/>
        <v>—</v>
      </c>
      <c r="AB47" s="85" t="str">
        <f t="shared" si="36"/>
        <v>—</v>
      </c>
      <c r="AC47" s="85" t="str">
        <f t="shared" si="36"/>
        <v>—</v>
      </c>
      <c r="AD47" s="85" t="str">
        <f t="shared" si="36"/>
        <v>—</v>
      </c>
      <c r="AE47" s="85" t="str">
        <f t="shared" si="36"/>
        <v>—</v>
      </c>
      <c r="AF47" s="85" t="str">
        <f t="shared" si="36"/>
        <v>—</v>
      </c>
      <c r="AG47" s="85" t="str">
        <f t="shared" si="36"/>
        <v>—</v>
      </c>
      <c r="AH47" s="85" t="str">
        <f t="shared" si="36"/>
        <v>—</v>
      </c>
      <c r="AI47" s="85" t="str">
        <f t="shared" si="36"/>
        <v>—</v>
      </c>
      <c r="AJ47" s="85" t="str">
        <f t="shared" si="36"/>
        <v>—</v>
      </c>
      <c r="AK47" s="85" t="str">
        <f t="shared" si="36"/>
        <v>—</v>
      </c>
      <c r="AL47" s="85" t="str">
        <f t="shared" si="36"/>
        <v>—</v>
      </c>
      <c r="AM47" s="85" t="str">
        <f t="shared" si="36"/>
        <v>—</v>
      </c>
      <c r="AN47" s="85" t="str">
        <f t="shared" ref="AN47:AT47" si="37">IF(ISERROR(AN44/AN74),"—",AN44/AN74)</f>
        <v>—</v>
      </c>
      <c r="AO47" s="85" t="str">
        <f t="shared" si="37"/>
        <v>—</v>
      </c>
      <c r="AP47" s="85" t="str">
        <f t="shared" si="37"/>
        <v>—</v>
      </c>
      <c r="AQ47" s="85" t="str">
        <f t="shared" si="37"/>
        <v>—</v>
      </c>
      <c r="AR47" s="85" t="str">
        <f t="shared" si="37"/>
        <v>—</v>
      </c>
      <c r="AS47" s="85" t="str">
        <f t="shared" si="37"/>
        <v>—</v>
      </c>
      <c r="AT47" s="85" t="str">
        <f t="shared" si="37"/>
        <v>—</v>
      </c>
      <c r="AU47" s="85" t="str">
        <f>IF(ISERROR(AU44/AU74),"—",AU44/AU74)</f>
        <v>—</v>
      </c>
    </row>
    <row r="48" spans="1:47" s="68" customFormat="1" ht="14.15">
      <c r="A48" s="2"/>
      <c r="B48" s="1"/>
      <c r="C48" s="81"/>
      <c r="D48" s="107"/>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c r="AU48" s="85"/>
    </row>
    <row r="49" spans="1:47" s="72" customFormat="1" ht="13.75">
      <c r="A49" s="68"/>
      <c r="B49" s="559" t="s">
        <v>1032</v>
      </c>
      <c r="C49" s="75"/>
      <c r="D49" s="112" t="s">
        <v>699</v>
      </c>
      <c r="E49" s="36">
        <f>财务基础数据!J72*目录!$D$6</f>
        <v>0</v>
      </c>
      <c r="F49" s="36">
        <f>财务基础数据!K72*目录!$D$6</f>
        <v>0</v>
      </c>
      <c r="G49" s="36">
        <f>财务基础数据!L72*目录!$D$6</f>
        <v>0</v>
      </c>
      <c r="H49" s="36">
        <f>财务基础数据!M72*目录!$D$6</f>
        <v>0</v>
      </c>
      <c r="I49" s="36">
        <f>财务基础数据!N72*目录!$D$6</f>
        <v>0</v>
      </c>
      <c r="J49" s="36">
        <f>财务基础数据!O72*目录!$D$6</f>
        <v>0</v>
      </c>
      <c r="K49" s="36">
        <f>财务基础数据!P72*目录!$D$6</f>
        <v>0</v>
      </c>
      <c r="L49" s="36">
        <f>财务基础数据!Q72*目录!$D$6</f>
        <v>0</v>
      </c>
      <c r="M49" s="36">
        <f>财务基础数据!R72*目录!$D$6</f>
        <v>0</v>
      </c>
      <c r="N49" s="36">
        <f>财务基础数据!S72*目录!$D$6</f>
        <v>0</v>
      </c>
      <c r="O49" s="36">
        <f>财务基础数据!T72*目录!$D$6</f>
        <v>0</v>
      </c>
      <c r="P49" s="36">
        <f>财务基础数据!U72*目录!$D$6</f>
        <v>0</v>
      </c>
      <c r="Q49" s="36">
        <f>财务基础数据!V72*目录!$D$6</f>
        <v>0</v>
      </c>
      <c r="R49" s="36">
        <f>财务基础数据!W72*目录!$D$6</f>
        <v>0</v>
      </c>
      <c r="S49" s="36">
        <f>财务基础数据!X72*目录!$D$6</f>
        <v>0</v>
      </c>
      <c r="T49" s="36">
        <f>财务基础数据!Y72*目录!$D$6</f>
        <v>0</v>
      </c>
      <c r="U49" s="36">
        <f>财务基础数据!Z72*目录!$D$6</f>
        <v>0</v>
      </c>
      <c r="V49" s="36">
        <f>财务基础数据!AA72*目录!$D$6</f>
        <v>0</v>
      </c>
      <c r="W49" s="36">
        <f>财务基础数据!AB72*目录!$D$6</f>
        <v>0</v>
      </c>
      <c r="X49" s="36">
        <f>财务基础数据!AC72*目录!$D$6</f>
        <v>0</v>
      </c>
      <c r="Y49" s="36">
        <f>财务基础数据!AD72*目录!$D$6</f>
        <v>0</v>
      </c>
      <c r="Z49" s="36">
        <f>财务基础数据!AE72*目录!$D$6</f>
        <v>0</v>
      </c>
      <c r="AA49" s="36">
        <f>财务基础数据!AF72*目录!$D$6</f>
        <v>0</v>
      </c>
      <c r="AB49" s="36">
        <f>财务基础数据!AG72*目录!$D$6</f>
        <v>0</v>
      </c>
      <c r="AC49" s="36">
        <f>财务基础数据!AH72*目录!$D$6</f>
        <v>0</v>
      </c>
      <c r="AD49" s="36">
        <f>财务基础数据!AI72*目录!$D$6</f>
        <v>0</v>
      </c>
      <c r="AE49" s="36">
        <f>财务基础数据!AJ72*目录!$D$6</f>
        <v>0</v>
      </c>
      <c r="AF49" s="36">
        <f>财务基础数据!AK72*目录!$D$6</f>
        <v>0</v>
      </c>
      <c r="AG49" s="36">
        <f>财务基础数据!AL72*目录!$D$6</f>
        <v>0</v>
      </c>
      <c r="AH49" s="36">
        <f>财务基础数据!AM72*目录!$D$6</f>
        <v>0</v>
      </c>
      <c r="AI49" s="36">
        <f>财务基础数据!AN72*目录!$D$6</f>
        <v>0</v>
      </c>
      <c r="AJ49" s="36">
        <f>财务基础数据!AO72*目录!$D$6</f>
        <v>0</v>
      </c>
      <c r="AK49" s="36">
        <f>财务基础数据!AP72*目录!$D$6</f>
        <v>0</v>
      </c>
      <c r="AL49" s="87">
        <v>0</v>
      </c>
      <c r="AM49" s="87">
        <v>0</v>
      </c>
      <c r="AN49" s="87">
        <v>0</v>
      </c>
      <c r="AO49" s="87">
        <v>0</v>
      </c>
      <c r="AP49" s="87">
        <v>0</v>
      </c>
      <c r="AQ49" s="87">
        <v>0</v>
      </c>
      <c r="AR49" s="87">
        <v>0</v>
      </c>
      <c r="AS49" s="87">
        <v>0</v>
      </c>
      <c r="AT49" s="87">
        <v>0</v>
      </c>
      <c r="AU49" s="87">
        <v>0</v>
      </c>
    </row>
    <row r="50" spans="1:47" s="72" customFormat="1" ht="13.75">
      <c r="A50" s="68"/>
      <c r="B50" s="51"/>
      <c r="C50" s="81" t="s">
        <v>791</v>
      </c>
      <c r="D50" s="112"/>
      <c r="E50" s="415" t="str">
        <f t="shared" ref="E50:AJ50" si="38">IF(ISERROR(E49/E74),"—",E49/E74)</f>
        <v>—</v>
      </c>
      <c r="F50" s="415" t="str">
        <f t="shared" si="38"/>
        <v>—</v>
      </c>
      <c r="G50" s="415" t="str">
        <f t="shared" si="38"/>
        <v>—</v>
      </c>
      <c r="H50" s="415" t="str">
        <f t="shared" si="38"/>
        <v>—</v>
      </c>
      <c r="I50" s="415" t="str">
        <f t="shared" si="38"/>
        <v>—</v>
      </c>
      <c r="J50" s="415" t="str">
        <f t="shared" si="38"/>
        <v>—</v>
      </c>
      <c r="K50" s="415" t="str">
        <f t="shared" si="38"/>
        <v>—</v>
      </c>
      <c r="L50" s="415" t="str">
        <f t="shared" si="38"/>
        <v>—</v>
      </c>
      <c r="M50" s="415" t="str">
        <f t="shared" si="38"/>
        <v>—</v>
      </c>
      <c r="N50" s="415" t="str">
        <f t="shared" si="38"/>
        <v>—</v>
      </c>
      <c r="O50" s="415" t="str">
        <f t="shared" si="38"/>
        <v>—</v>
      </c>
      <c r="P50" s="415" t="str">
        <f t="shared" si="38"/>
        <v>—</v>
      </c>
      <c r="Q50" s="415" t="str">
        <f t="shared" si="38"/>
        <v>—</v>
      </c>
      <c r="R50" s="415" t="str">
        <f t="shared" si="38"/>
        <v>—</v>
      </c>
      <c r="S50" s="415" t="str">
        <f t="shared" si="38"/>
        <v>—</v>
      </c>
      <c r="T50" s="415" t="str">
        <f t="shared" si="38"/>
        <v>—</v>
      </c>
      <c r="U50" s="415" t="str">
        <f t="shared" si="38"/>
        <v>—</v>
      </c>
      <c r="V50" s="415">
        <f t="shared" si="38"/>
        <v>0</v>
      </c>
      <c r="W50" s="415">
        <f t="shared" si="38"/>
        <v>0</v>
      </c>
      <c r="X50" s="415">
        <f t="shared" si="38"/>
        <v>0</v>
      </c>
      <c r="Y50" s="415" t="str">
        <f t="shared" si="38"/>
        <v>—</v>
      </c>
      <c r="Z50" s="415" t="str">
        <f t="shared" si="38"/>
        <v>—</v>
      </c>
      <c r="AA50" s="415" t="str">
        <f t="shared" si="38"/>
        <v>—</v>
      </c>
      <c r="AB50" s="415" t="str">
        <f t="shared" si="38"/>
        <v>—</v>
      </c>
      <c r="AC50" s="415" t="str">
        <f t="shared" si="38"/>
        <v>—</v>
      </c>
      <c r="AD50" s="415" t="str">
        <f t="shared" si="38"/>
        <v>—</v>
      </c>
      <c r="AE50" s="415" t="str">
        <f t="shared" si="38"/>
        <v>—</v>
      </c>
      <c r="AF50" s="415" t="str">
        <f t="shared" si="38"/>
        <v>—</v>
      </c>
      <c r="AG50" s="415" t="str">
        <f t="shared" si="38"/>
        <v>—</v>
      </c>
      <c r="AH50" s="415" t="str">
        <f t="shared" si="38"/>
        <v>—</v>
      </c>
      <c r="AI50" s="415" t="str">
        <f t="shared" si="38"/>
        <v>—</v>
      </c>
      <c r="AJ50" s="415" t="str">
        <f t="shared" si="38"/>
        <v>—</v>
      </c>
      <c r="AK50" s="415" t="str">
        <f t="shared" ref="AK50:AR50" si="39">IF(ISERROR(AK49/AK74),"—",AK49/AK74)</f>
        <v>—</v>
      </c>
      <c r="AL50" s="415" t="str">
        <f t="shared" si="39"/>
        <v>—</v>
      </c>
      <c r="AM50" s="415" t="str">
        <f t="shared" si="39"/>
        <v>—</v>
      </c>
      <c r="AN50" s="415" t="str">
        <f t="shared" si="39"/>
        <v>—</v>
      </c>
      <c r="AO50" s="415" t="str">
        <f t="shared" si="39"/>
        <v>—</v>
      </c>
      <c r="AP50" s="415" t="str">
        <f t="shared" si="39"/>
        <v>—</v>
      </c>
      <c r="AQ50" s="415" t="str">
        <f t="shared" si="39"/>
        <v>—</v>
      </c>
      <c r="AR50" s="415" t="str">
        <f t="shared" si="39"/>
        <v>—</v>
      </c>
      <c r="AS50" s="415" t="str">
        <f>IF(ISERROR(AS49/AS74),"—",AS49/AS74)</f>
        <v>—</v>
      </c>
      <c r="AT50" s="415" t="str">
        <f>IF(ISERROR(AT49/AT74),"—",AT49/AT74)</f>
        <v>—</v>
      </c>
      <c r="AU50" s="415" t="str">
        <f>IF(ISERROR(AU49/AU74),"—",AU49/AU74)</f>
        <v>—</v>
      </c>
    </row>
    <row r="51" spans="1:47" s="72" customFormat="1" ht="13.75">
      <c r="A51" s="68"/>
      <c r="B51" s="51"/>
      <c r="C51" s="81"/>
      <c r="D51" s="112"/>
      <c r="E51" s="415"/>
      <c r="F51" s="415"/>
      <c r="G51" s="415"/>
      <c r="H51" s="415"/>
      <c r="I51" s="415"/>
      <c r="J51" s="415"/>
      <c r="K51" s="415"/>
      <c r="L51" s="415"/>
      <c r="M51" s="415"/>
      <c r="N51" s="415"/>
      <c r="O51" s="415"/>
      <c r="P51" s="415"/>
      <c r="Q51" s="415"/>
      <c r="R51" s="415"/>
      <c r="S51" s="415"/>
      <c r="T51" s="415"/>
      <c r="U51" s="415"/>
      <c r="V51" s="415"/>
      <c r="W51" s="415"/>
      <c r="X51" s="415"/>
      <c r="Y51" s="415"/>
      <c r="Z51" s="415"/>
      <c r="AA51" s="415"/>
      <c r="AB51" s="415"/>
      <c r="AC51" s="415"/>
      <c r="AD51" s="415"/>
      <c r="AE51" s="415"/>
      <c r="AF51" s="415"/>
      <c r="AG51" s="415"/>
      <c r="AH51" s="415"/>
      <c r="AI51" s="415"/>
      <c r="AJ51" s="415"/>
      <c r="AK51" s="415"/>
      <c r="AL51" s="415"/>
      <c r="AM51" s="415"/>
      <c r="AN51" s="415"/>
      <c r="AO51" s="415"/>
      <c r="AP51" s="415"/>
      <c r="AQ51" s="415"/>
      <c r="AR51" s="415"/>
      <c r="AS51" s="415"/>
      <c r="AT51" s="415"/>
      <c r="AU51" s="415"/>
    </row>
    <row r="52" spans="1:47" s="88" customFormat="1" ht="13.75">
      <c r="A52" s="2"/>
      <c r="B52" s="559" t="s">
        <v>657</v>
      </c>
      <c r="C52" s="81"/>
      <c r="D52" s="107"/>
      <c r="E52" s="36">
        <f>财务基础数据!J22*目录!$D$6</f>
        <v>0</v>
      </c>
      <c r="F52" s="36">
        <f>财务基础数据!K22*目录!$D$6</f>
        <v>0</v>
      </c>
      <c r="G52" s="36">
        <f>财务基础数据!L22*目录!$D$6</f>
        <v>0</v>
      </c>
      <c r="H52" s="36">
        <f>财务基础数据!M22*目录!$D$6</f>
        <v>0</v>
      </c>
      <c r="I52" s="36">
        <f>财务基础数据!N22*目录!$D$6</f>
        <v>0</v>
      </c>
      <c r="J52" s="36">
        <f>财务基础数据!O22*目录!$D$6</f>
        <v>0</v>
      </c>
      <c r="K52" s="36">
        <f>财务基础数据!P22*目录!$D$6</f>
        <v>0</v>
      </c>
      <c r="L52" s="36">
        <f>财务基础数据!Q22*目录!$D$6</f>
        <v>0</v>
      </c>
      <c r="M52" s="36">
        <f>财务基础数据!R22*目录!$D$6</f>
        <v>0</v>
      </c>
      <c r="N52" s="36">
        <f>财务基础数据!S22*目录!$D$6</f>
        <v>0</v>
      </c>
      <c r="O52" s="36">
        <f>财务基础数据!T22*目录!$D$6</f>
        <v>0</v>
      </c>
      <c r="P52" s="36">
        <f>财务基础数据!U22*目录!$D$6</f>
        <v>0</v>
      </c>
      <c r="Q52" s="36">
        <f>财务基础数据!V22*目录!$D$6</f>
        <v>0</v>
      </c>
      <c r="R52" s="36">
        <f>财务基础数据!W22*目录!$D$6</f>
        <v>0</v>
      </c>
      <c r="S52" s="36">
        <f>财务基础数据!X22*目录!$D$6</f>
        <v>0</v>
      </c>
      <c r="T52" s="36">
        <f>财务基础数据!Y22*目录!$D$6</f>
        <v>0</v>
      </c>
      <c r="U52" s="36">
        <f>财务基础数据!Z22*目录!$D$6</f>
        <v>0</v>
      </c>
      <c r="V52" s="36">
        <f>财务基础数据!AA22*目录!$D$6</f>
        <v>0</v>
      </c>
      <c r="W52" s="36">
        <f>财务基础数据!AB22*目录!$D$6</f>
        <v>0</v>
      </c>
      <c r="X52" s="36">
        <f>财务基础数据!AC22*目录!$D$6</f>
        <v>0</v>
      </c>
      <c r="Y52" s="36">
        <f>财务基础数据!AD22*目录!$D$6</f>
        <v>0</v>
      </c>
      <c r="Z52" s="36">
        <f>财务基础数据!AE22*目录!$D$6</f>
        <v>0</v>
      </c>
      <c r="AA52" s="36">
        <f>财务基础数据!AF22*目录!$D$6</f>
        <v>0</v>
      </c>
      <c r="AB52" s="36">
        <f>财务基础数据!AG22*目录!$D$6</f>
        <v>0</v>
      </c>
      <c r="AC52" s="36">
        <f>财务基础数据!AH22*目录!$D$6</f>
        <v>0</v>
      </c>
      <c r="AD52" s="36">
        <f>财务基础数据!AI22*目录!$D$6</f>
        <v>0</v>
      </c>
      <c r="AE52" s="36">
        <f>财务基础数据!AJ22*目录!$D$6</f>
        <v>0</v>
      </c>
      <c r="AF52" s="36">
        <f>财务基础数据!AK22*目录!$D$6</f>
        <v>0</v>
      </c>
      <c r="AG52" s="36">
        <f>财务基础数据!AL22*目录!$D$6</f>
        <v>0</v>
      </c>
      <c r="AH52" s="36">
        <f>财务基础数据!AM22*目录!$D$6</f>
        <v>0</v>
      </c>
      <c r="AI52" s="36">
        <f>财务基础数据!AN22*目录!$D$6</f>
        <v>0</v>
      </c>
      <c r="AJ52" s="36">
        <f>财务基础数据!AO22*目录!$D$6</f>
        <v>0</v>
      </c>
      <c r="AK52" s="36">
        <f>财务基础数据!AP22*目录!$D$6</f>
        <v>0</v>
      </c>
      <c r="AL52" s="463">
        <f>IF(ISERROR(资产预测!P279),"—",资产预测!P279)</f>
        <v>0</v>
      </c>
      <c r="AM52" s="36">
        <f>IF(ISERROR(资产预测!Q279),"—",资产预测!Q279)</f>
        <v>0</v>
      </c>
      <c r="AN52" s="36">
        <f>IF(ISERROR(资产预测!R279),"—",资产预测!R279)</f>
        <v>0</v>
      </c>
      <c r="AO52" s="36">
        <f>IF(ISERROR(资产预测!S279),"—",资产预测!S279)</f>
        <v>0</v>
      </c>
      <c r="AP52" s="36">
        <f>IF(ISERROR(资产预测!T279),"—",资产预测!T279)</f>
        <v>0</v>
      </c>
      <c r="AQ52" s="36">
        <f>IF(ISERROR(资产预测!U279),"—",资产预测!U279)</f>
        <v>0</v>
      </c>
      <c r="AR52" s="36">
        <f>IF(ISERROR(资产预测!V279),"—",资产预测!V279)</f>
        <v>0</v>
      </c>
      <c r="AS52" s="36">
        <f>IF(ISERROR(资产预测!W279),"—",资产预测!W279)</f>
        <v>0</v>
      </c>
      <c r="AT52" s="36">
        <f>IF(ISERROR(资产预测!X279),"—",资产预测!X279)</f>
        <v>0</v>
      </c>
      <c r="AU52" s="36">
        <f>IF(ISERROR(资产预测!Y279),"—",资产预测!Y279)</f>
        <v>0</v>
      </c>
    </row>
    <row r="53" spans="1:47" s="88" customFormat="1" ht="14.15">
      <c r="A53" s="2"/>
      <c r="B53" s="51"/>
      <c r="C53" s="81" t="s">
        <v>791</v>
      </c>
      <c r="D53" s="107"/>
      <c r="E53" s="71" t="str">
        <f>IF(ISERROR(E52/E74),"—",E52/E74)</f>
        <v>—</v>
      </c>
      <c r="F53" s="71"/>
      <c r="G53" s="71" t="str">
        <f>IF(ISERROR(G52/G74),"—",G52/G74)</f>
        <v>—</v>
      </c>
      <c r="H53" s="71"/>
      <c r="I53" s="71" t="str">
        <f>IF(ISERROR(I52/I74),"—",I52/I74)</f>
        <v>—</v>
      </c>
      <c r="J53" s="71"/>
      <c r="K53" s="71" t="str">
        <f>IF(ISERROR(K52/K74),"—",K52/K74)</f>
        <v>—</v>
      </c>
      <c r="L53" s="71"/>
      <c r="M53" s="71" t="str">
        <f>IF(ISERROR(M52/M74),"—",M52/M74)</f>
        <v>—</v>
      </c>
      <c r="N53" s="71"/>
      <c r="O53" s="71" t="str">
        <f t="shared" ref="O53:AM53" si="40">IF(ISERROR(O52/O74),"—",O52/O74)</f>
        <v>—</v>
      </c>
      <c r="P53" s="71" t="str">
        <f t="shared" si="40"/>
        <v>—</v>
      </c>
      <c r="Q53" s="71" t="str">
        <f t="shared" si="40"/>
        <v>—</v>
      </c>
      <c r="R53" s="71" t="str">
        <f t="shared" si="40"/>
        <v>—</v>
      </c>
      <c r="S53" s="71" t="str">
        <f t="shared" si="40"/>
        <v>—</v>
      </c>
      <c r="T53" s="71" t="str">
        <f t="shared" si="40"/>
        <v>—</v>
      </c>
      <c r="U53" s="71" t="str">
        <f t="shared" si="40"/>
        <v>—</v>
      </c>
      <c r="V53" s="71">
        <f t="shared" si="40"/>
        <v>0</v>
      </c>
      <c r="W53" s="71">
        <f t="shared" si="40"/>
        <v>0</v>
      </c>
      <c r="X53" s="71">
        <f t="shared" si="40"/>
        <v>0</v>
      </c>
      <c r="Y53" s="71" t="str">
        <f t="shared" si="40"/>
        <v>—</v>
      </c>
      <c r="Z53" s="71" t="str">
        <f t="shared" si="40"/>
        <v>—</v>
      </c>
      <c r="AA53" s="71" t="str">
        <f t="shared" si="40"/>
        <v>—</v>
      </c>
      <c r="AB53" s="71" t="str">
        <f t="shared" si="40"/>
        <v>—</v>
      </c>
      <c r="AC53" s="71" t="str">
        <f t="shared" si="40"/>
        <v>—</v>
      </c>
      <c r="AD53" s="71" t="str">
        <f t="shared" si="40"/>
        <v>—</v>
      </c>
      <c r="AE53" s="71" t="str">
        <f t="shared" si="40"/>
        <v>—</v>
      </c>
      <c r="AF53" s="71" t="str">
        <f t="shared" si="40"/>
        <v>—</v>
      </c>
      <c r="AG53" s="71" t="str">
        <f t="shared" si="40"/>
        <v>—</v>
      </c>
      <c r="AH53" s="71" t="str">
        <f t="shared" si="40"/>
        <v>—</v>
      </c>
      <c r="AI53" s="71" t="str">
        <f t="shared" si="40"/>
        <v>—</v>
      </c>
      <c r="AJ53" s="71" t="str">
        <f t="shared" si="40"/>
        <v>—</v>
      </c>
      <c r="AK53" s="71" t="str">
        <f t="shared" si="40"/>
        <v>—</v>
      </c>
      <c r="AL53" s="71" t="str">
        <f t="shared" si="40"/>
        <v>—</v>
      </c>
      <c r="AM53" s="71" t="str">
        <f t="shared" si="40"/>
        <v>—</v>
      </c>
      <c r="AN53" s="71" t="str">
        <f t="shared" ref="AN53:AT53" si="41">IF(ISERROR(AN52/AN74),"—",AN52/AN74)</f>
        <v>—</v>
      </c>
      <c r="AO53" s="71" t="str">
        <f t="shared" si="41"/>
        <v>—</v>
      </c>
      <c r="AP53" s="71" t="str">
        <f t="shared" si="41"/>
        <v>—</v>
      </c>
      <c r="AQ53" s="71" t="str">
        <f t="shared" si="41"/>
        <v>—</v>
      </c>
      <c r="AR53" s="71" t="str">
        <f t="shared" si="41"/>
        <v>—</v>
      </c>
      <c r="AS53" s="71" t="str">
        <f t="shared" si="41"/>
        <v>—</v>
      </c>
      <c r="AT53" s="71" t="str">
        <f t="shared" si="41"/>
        <v>—</v>
      </c>
      <c r="AU53" s="71" t="str">
        <f>IF(ISERROR(AU52/AU74),"—",AU52/AU74)</f>
        <v>—</v>
      </c>
    </row>
    <row r="54" spans="1:47" s="88" customFormat="1" ht="14.15">
      <c r="A54" s="2"/>
      <c r="B54" s="51"/>
      <c r="C54" s="81"/>
      <c r="D54" s="107"/>
      <c r="E54" s="71"/>
      <c r="F54" s="71"/>
      <c r="G54" s="71"/>
      <c r="H54" s="71"/>
      <c r="I54" s="71"/>
      <c r="J54" s="71"/>
      <c r="K54" s="71"/>
      <c r="L54" s="71"/>
      <c r="M54" s="71"/>
      <c r="N54" s="71"/>
      <c r="O54" s="71"/>
      <c r="P54" s="71"/>
      <c r="Q54" s="71"/>
      <c r="R54" s="71"/>
      <c r="S54" s="71"/>
      <c r="T54" s="71"/>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row>
    <row r="55" spans="1:47" s="72" customFormat="1" ht="13.75">
      <c r="A55" s="68"/>
      <c r="B55" s="735" t="s">
        <v>1240</v>
      </c>
      <c r="C55" s="75"/>
      <c r="D55" s="112" t="s">
        <v>699</v>
      </c>
      <c r="E55" s="36">
        <f>财务基础数据!J71*目录!$D$6</f>
        <v>0</v>
      </c>
      <c r="F55" s="36">
        <f>财务基础数据!K71*目录!$D$6</f>
        <v>0</v>
      </c>
      <c r="G55" s="36">
        <f>财务基础数据!L71*目录!$D$6</f>
        <v>0</v>
      </c>
      <c r="H55" s="36">
        <f>财务基础数据!M71*目录!$D$6</f>
        <v>0</v>
      </c>
      <c r="I55" s="36">
        <f>财务基础数据!N71*目录!$D$6</f>
        <v>0</v>
      </c>
      <c r="J55" s="36">
        <f>财务基础数据!O71*目录!$D$6</f>
        <v>0</v>
      </c>
      <c r="K55" s="36">
        <f>财务基础数据!P71*目录!$D$6</f>
        <v>0</v>
      </c>
      <c r="L55" s="36">
        <f>财务基础数据!Q71*目录!$D$6</f>
        <v>0</v>
      </c>
      <c r="M55" s="36">
        <f>财务基础数据!R71*目录!$D$6</f>
        <v>0</v>
      </c>
      <c r="N55" s="36">
        <f>财务基础数据!S71*目录!$D$6</f>
        <v>0</v>
      </c>
      <c r="O55" s="36">
        <f>财务基础数据!T71*目录!$D$6</f>
        <v>0</v>
      </c>
      <c r="P55" s="36">
        <f>财务基础数据!U71*目录!$D$6</f>
        <v>0</v>
      </c>
      <c r="Q55" s="36">
        <f>财务基础数据!V71*目录!$D$6</f>
        <v>0</v>
      </c>
      <c r="R55" s="36">
        <f>财务基础数据!W71*目录!$D$6</f>
        <v>0</v>
      </c>
      <c r="S55" s="36">
        <f>财务基础数据!X71*目录!$D$6</f>
        <v>0</v>
      </c>
      <c r="T55" s="36">
        <f>财务基础数据!Y71*目录!$D$6</f>
        <v>0</v>
      </c>
      <c r="U55" s="36">
        <f>财务基础数据!Z71*目录!$D$6</f>
        <v>0</v>
      </c>
      <c r="V55" s="36">
        <f>财务基础数据!AA71*目录!$D$6</f>
        <v>0</v>
      </c>
      <c r="W55" s="36">
        <f>财务基础数据!AB71*目录!$D$6</f>
        <v>0</v>
      </c>
      <c r="X55" s="36">
        <f>财务基础数据!AC71*目录!$D$6</f>
        <v>0</v>
      </c>
      <c r="Y55" s="36">
        <f>财务基础数据!AD71*目录!$D$6</f>
        <v>0</v>
      </c>
      <c r="Z55" s="36">
        <f>财务基础数据!AE71*目录!$D$6</f>
        <v>0</v>
      </c>
      <c r="AA55" s="36">
        <f>财务基础数据!AF71*目录!$D$6</f>
        <v>0</v>
      </c>
      <c r="AB55" s="36">
        <f>财务基础数据!AG71*目录!$D$6</f>
        <v>0</v>
      </c>
      <c r="AC55" s="36">
        <f>财务基础数据!AH71*目录!$D$6</f>
        <v>0</v>
      </c>
      <c r="AD55" s="36">
        <f>财务基础数据!AI71*目录!$D$6</f>
        <v>0</v>
      </c>
      <c r="AE55" s="36">
        <f>财务基础数据!AJ71*目录!$D$6</f>
        <v>0</v>
      </c>
      <c r="AF55" s="36">
        <f>财务基础数据!AK71*目录!$D$6</f>
        <v>0</v>
      </c>
      <c r="AG55" s="36">
        <f>财务基础数据!AL71*目录!$D$6</f>
        <v>0</v>
      </c>
      <c r="AH55" s="36">
        <f>财务基础数据!AM71*目录!$D$6</f>
        <v>0</v>
      </c>
      <c r="AI55" s="36">
        <f>财务基础数据!AN71*目录!$D$6</f>
        <v>0</v>
      </c>
      <c r="AJ55" s="36">
        <f>财务基础数据!AO71*目录!$D$6</f>
        <v>0</v>
      </c>
      <c r="AK55" s="36">
        <f>财务基础数据!AP71*目录!$D$6</f>
        <v>0</v>
      </c>
      <c r="AL55" s="87">
        <v>0</v>
      </c>
      <c r="AM55" s="87">
        <v>0</v>
      </c>
      <c r="AN55" s="87">
        <v>0</v>
      </c>
      <c r="AO55" s="87">
        <v>0</v>
      </c>
      <c r="AP55" s="87">
        <v>0</v>
      </c>
      <c r="AQ55" s="87">
        <v>0</v>
      </c>
      <c r="AR55" s="87">
        <v>0</v>
      </c>
      <c r="AS55" s="87">
        <v>0</v>
      </c>
      <c r="AT55" s="87">
        <v>0</v>
      </c>
      <c r="AU55" s="87">
        <v>0</v>
      </c>
    </row>
    <row r="56" spans="1:47" s="72" customFormat="1" ht="13.75">
      <c r="A56" s="68"/>
      <c r="B56" s="51"/>
      <c r="C56" s="81" t="s">
        <v>791</v>
      </c>
      <c r="D56" s="112"/>
      <c r="E56" s="415" t="str">
        <f t="shared" ref="E56:AJ56" si="42">IF(ISERROR(E55/E74),"—",E55/E74)</f>
        <v>—</v>
      </c>
      <c r="F56" s="415" t="str">
        <f t="shared" si="42"/>
        <v>—</v>
      </c>
      <c r="G56" s="415" t="str">
        <f t="shared" si="42"/>
        <v>—</v>
      </c>
      <c r="H56" s="415" t="str">
        <f t="shared" si="42"/>
        <v>—</v>
      </c>
      <c r="I56" s="415" t="str">
        <f t="shared" si="42"/>
        <v>—</v>
      </c>
      <c r="J56" s="415" t="str">
        <f t="shared" si="42"/>
        <v>—</v>
      </c>
      <c r="K56" s="415" t="str">
        <f t="shared" si="42"/>
        <v>—</v>
      </c>
      <c r="L56" s="415" t="str">
        <f t="shared" si="42"/>
        <v>—</v>
      </c>
      <c r="M56" s="415" t="str">
        <f t="shared" si="42"/>
        <v>—</v>
      </c>
      <c r="N56" s="415" t="str">
        <f t="shared" si="42"/>
        <v>—</v>
      </c>
      <c r="O56" s="415" t="str">
        <f t="shared" si="42"/>
        <v>—</v>
      </c>
      <c r="P56" s="415" t="str">
        <f t="shared" si="42"/>
        <v>—</v>
      </c>
      <c r="Q56" s="415" t="str">
        <f t="shared" si="42"/>
        <v>—</v>
      </c>
      <c r="R56" s="415" t="str">
        <f t="shared" si="42"/>
        <v>—</v>
      </c>
      <c r="S56" s="415" t="str">
        <f t="shared" si="42"/>
        <v>—</v>
      </c>
      <c r="T56" s="415" t="str">
        <f t="shared" si="42"/>
        <v>—</v>
      </c>
      <c r="U56" s="415" t="str">
        <f t="shared" si="42"/>
        <v>—</v>
      </c>
      <c r="V56" s="415">
        <f t="shared" si="42"/>
        <v>0</v>
      </c>
      <c r="W56" s="415">
        <f t="shared" si="42"/>
        <v>0</v>
      </c>
      <c r="X56" s="415">
        <f t="shared" si="42"/>
        <v>0</v>
      </c>
      <c r="Y56" s="415" t="str">
        <f t="shared" si="42"/>
        <v>—</v>
      </c>
      <c r="Z56" s="415" t="str">
        <f t="shared" si="42"/>
        <v>—</v>
      </c>
      <c r="AA56" s="415" t="str">
        <f t="shared" si="42"/>
        <v>—</v>
      </c>
      <c r="AB56" s="415" t="str">
        <f t="shared" si="42"/>
        <v>—</v>
      </c>
      <c r="AC56" s="415" t="str">
        <f t="shared" si="42"/>
        <v>—</v>
      </c>
      <c r="AD56" s="415" t="str">
        <f t="shared" si="42"/>
        <v>—</v>
      </c>
      <c r="AE56" s="415" t="str">
        <f t="shared" si="42"/>
        <v>—</v>
      </c>
      <c r="AF56" s="415" t="str">
        <f t="shared" si="42"/>
        <v>—</v>
      </c>
      <c r="AG56" s="415" t="str">
        <f t="shared" si="42"/>
        <v>—</v>
      </c>
      <c r="AH56" s="415" t="str">
        <f t="shared" si="42"/>
        <v>—</v>
      </c>
      <c r="AI56" s="415" t="str">
        <f t="shared" si="42"/>
        <v>—</v>
      </c>
      <c r="AJ56" s="415" t="str">
        <f t="shared" si="42"/>
        <v>—</v>
      </c>
      <c r="AK56" s="415" t="str">
        <f t="shared" ref="AK56:AR56" si="43">IF(ISERROR(AK55/AK74),"—",AK55/AK74)</f>
        <v>—</v>
      </c>
      <c r="AL56" s="415" t="str">
        <f t="shared" si="43"/>
        <v>—</v>
      </c>
      <c r="AM56" s="415" t="str">
        <f t="shared" si="43"/>
        <v>—</v>
      </c>
      <c r="AN56" s="415" t="str">
        <f t="shared" si="43"/>
        <v>—</v>
      </c>
      <c r="AO56" s="415" t="str">
        <f t="shared" si="43"/>
        <v>—</v>
      </c>
      <c r="AP56" s="415" t="str">
        <f t="shared" si="43"/>
        <v>—</v>
      </c>
      <c r="AQ56" s="415" t="str">
        <f t="shared" si="43"/>
        <v>—</v>
      </c>
      <c r="AR56" s="415" t="str">
        <f t="shared" si="43"/>
        <v>—</v>
      </c>
      <c r="AS56" s="415" t="str">
        <f>IF(ISERROR(AS55/AS74),"—",AS55/AS74)</f>
        <v>—</v>
      </c>
      <c r="AT56" s="415" t="str">
        <f>IF(ISERROR(AT55/AT74),"—",AT55/AT74)</f>
        <v>—</v>
      </c>
      <c r="AU56" s="415" t="str">
        <f>IF(ISERROR(AU55/AU74),"—",AU55/AU74)</f>
        <v>—</v>
      </c>
    </row>
    <row r="57" spans="1:47" s="72" customFormat="1" ht="13.75">
      <c r="A57" s="68"/>
      <c r="B57" s="51"/>
      <c r="C57" s="81"/>
      <c r="D57" s="112"/>
      <c r="E57" s="415"/>
      <c r="F57" s="415"/>
      <c r="G57" s="415"/>
      <c r="H57" s="415"/>
      <c r="I57" s="415"/>
      <c r="J57" s="415"/>
      <c r="K57" s="415"/>
      <c r="L57" s="415"/>
      <c r="M57" s="415"/>
      <c r="N57" s="415"/>
      <c r="O57" s="415"/>
      <c r="P57" s="415"/>
      <c r="Q57" s="415"/>
      <c r="R57" s="415"/>
      <c r="S57" s="415"/>
      <c r="T57" s="415"/>
      <c r="U57" s="415"/>
      <c r="V57" s="415"/>
      <c r="W57" s="415"/>
      <c r="X57" s="415"/>
      <c r="Y57" s="415"/>
      <c r="Z57" s="415"/>
      <c r="AA57" s="415"/>
      <c r="AB57" s="415"/>
      <c r="AC57" s="415"/>
      <c r="AD57" s="415"/>
      <c r="AE57" s="415"/>
      <c r="AF57" s="415"/>
      <c r="AG57" s="415"/>
      <c r="AH57" s="415"/>
      <c r="AI57" s="415"/>
      <c r="AJ57" s="415"/>
      <c r="AK57" s="415"/>
      <c r="AL57" s="415"/>
      <c r="AM57" s="415"/>
      <c r="AN57" s="415"/>
      <c r="AO57" s="415"/>
      <c r="AP57" s="415"/>
      <c r="AQ57" s="415"/>
      <c r="AR57" s="415"/>
      <c r="AS57" s="415"/>
      <c r="AT57" s="415"/>
      <c r="AU57" s="415"/>
    </row>
    <row r="58" spans="1:47" s="72" customFormat="1" ht="13.75">
      <c r="A58" s="68"/>
      <c r="B58" s="735" t="s">
        <v>1241</v>
      </c>
      <c r="C58" s="75"/>
      <c r="D58" s="112"/>
      <c r="E58" s="36">
        <f>财务基础数据!J21*目录!$D$6</f>
        <v>0</v>
      </c>
      <c r="F58" s="36">
        <f>财务基础数据!K21*目录!$D$6</f>
        <v>0</v>
      </c>
      <c r="G58" s="36">
        <f>财务基础数据!L21*目录!$D$6</f>
        <v>0</v>
      </c>
      <c r="H58" s="36">
        <f>财务基础数据!M21*目录!$D$6</f>
        <v>0</v>
      </c>
      <c r="I58" s="36">
        <f>财务基础数据!N21*目录!$D$6</f>
        <v>0</v>
      </c>
      <c r="J58" s="36">
        <f>财务基础数据!O21*目录!$D$6</f>
        <v>0</v>
      </c>
      <c r="K58" s="36">
        <f>财务基础数据!P21*目录!$D$6</f>
        <v>0</v>
      </c>
      <c r="L58" s="36">
        <f>财务基础数据!Q21*目录!$D$6</f>
        <v>0</v>
      </c>
      <c r="M58" s="36">
        <f>财务基础数据!R21*目录!$D$6</f>
        <v>0</v>
      </c>
      <c r="N58" s="36">
        <f>财务基础数据!S21*目录!$D$6</f>
        <v>0</v>
      </c>
      <c r="O58" s="36">
        <f>财务基础数据!T21*目录!$D$6</f>
        <v>0</v>
      </c>
      <c r="P58" s="36">
        <f>财务基础数据!U21*目录!$D$6</f>
        <v>0</v>
      </c>
      <c r="Q58" s="36">
        <f>财务基础数据!V21*目录!$D$6</f>
        <v>0</v>
      </c>
      <c r="R58" s="36">
        <f>财务基础数据!W21*目录!$D$6</f>
        <v>0</v>
      </c>
      <c r="S58" s="36">
        <f>财务基础数据!X21*目录!$D$6</f>
        <v>0</v>
      </c>
      <c r="T58" s="36">
        <f>财务基础数据!Y21*目录!$D$6</f>
        <v>0</v>
      </c>
      <c r="U58" s="36">
        <f>财务基础数据!Z21*目录!$D$6</f>
        <v>0</v>
      </c>
      <c r="V58" s="36">
        <f>财务基础数据!AA21*目录!$D$6</f>
        <v>-1.0866391399999999</v>
      </c>
      <c r="W58" s="36">
        <f>财务基础数据!AB21*目录!$D$6</f>
        <v>1.85952206</v>
      </c>
      <c r="X58" s="36">
        <f>财务基础数据!AC21*目录!$D$6</f>
        <v>0.47721385999999999</v>
      </c>
      <c r="Y58" s="36">
        <f>财务基础数据!AD21*目录!$D$6</f>
        <v>0</v>
      </c>
      <c r="Z58" s="36">
        <f>财务基础数据!AE21*目录!$D$6</f>
        <v>0</v>
      </c>
      <c r="AA58" s="36">
        <f>财务基础数据!AF21*目录!$D$6</f>
        <v>0</v>
      </c>
      <c r="AB58" s="36">
        <f>财务基础数据!AG21*目录!$D$6</f>
        <v>0</v>
      </c>
      <c r="AC58" s="36">
        <f>财务基础数据!AH21*目录!$D$6</f>
        <v>0</v>
      </c>
      <c r="AD58" s="36">
        <f>财务基础数据!AI21*目录!$D$6</f>
        <v>0</v>
      </c>
      <c r="AE58" s="36">
        <f>财务基础数据!AJ21*目录!$D$6</f>
        <v>0</v>
      </c>
      <c r="AF58" s="36">
        <f>财务基础数据!AK21*目录!$D$6</f>
        <v>0</v>
      </c>
      <c r="AG58" s="36">
        <f>财务基础数据!AL21*目录!$D$6</f>
        <v>0</v>
      </c>
      <c r="AH58" s="36">
        <f>财务基础数据!AM21*目录!$D$6</f>
        <v>0</v>
      </c>
      <c r="AI58" s="36">
        <f>财务基础数据!AN21*目录!$D$6</f>
        <v>0</v>
      </c>
      <c r="AJ58" s="36">
        <f>财务基础数据!AO21*目录!$D$6</f>
        <v>0</v>
      </c>
      <c r="AK58" s="36">
        <f>财务基础数据!AP21*目录!$D$6</f>
        <v>0</v>
      </c>
      <c r="AL58" s="463">
        <f>IF(ISERROR(资产预测!P265),"—",资产预测!P265)</f>
        <v>0</v>
      </c>
      <c r="AM58" s="36">
        <f>IF(ISERROR(资产预测!Q265),"—",资产预测!Q265)</f>
        <v>0</v>
      </c>
      <c r="AN58" s="36">
        <f>IF(ISERROR(资产预测!R265),"—",资产预测!R265)</f>
        <v>0</v>
      </c>
      <c r="AO58" s="36">
        <f>IF(ISERROR(资产预测!S265),"—",资产预测!S265)</f>
        <v>0</v>
      </c>
      <c r="AP58" s="36">
        <f>IF(ISERROR(资产预测!T265),"—",资产预测!T265)</f>
        <v>0</v>
      </c>
      <c r="AQ58" s="36">
        <f>IF(ISERROR(资产预测!U265),"—",资产预测!U265)</f>
        <v>0</v>
      </c>
      <c r="AR58" s="36">
        <f>IF(ISERROR(资产预测!V265),"—",资产预测!V265)</f>
        <v>0</v>
      </c>
      <c r="AS58" s="36">
        <f>IF(ISERROR(资产预测!W265),"—",资产预测!W265)</f>
        <v>0</v>
      </c>
      <c r="AT58" s="36">
        <f>IF(ISERROR(资产预测!X265),"—",资产预测!X265)</f>
        <v>0</v>
      </c>
      <c r="AU58" s="36">
        <f>IF(ISERROR(资产预测!Y265),"—",资产预测!Y265)</f>
        <v>0</v>
      </c>
    </row>
    <row r="59" spans="1:47" s="72" customFormat="1" ht="13.75">
      <c r="A59" s="68"/>
      <c r="B59" s="51"/>
      <c r="C59" s="81" t="s">
        <v>791</v>
      </c>
      <c r="D59" s="112"/>
      <c r="E59" s="415" t="str">
        <f t="shared" ref="E59:AJ59" si="44">IF(ISERROR(E58/E74),"—",E58/E74)</f>
        <v>—</v>
      </c>
      <c r="F59" s="415" t="str">
        <f t="shared" si="44"/>
        <v>—</v>
      </c>
      <c r="G59" s="415" t="str">
        <f t="shared" si="44"/>
        <v>—</v>
      </c>
      <c r="H59" s="415" t="str">
        <f t="shared" si="44"/>
        <v>—</v>
      </c>
      <c r="I59" s="415" t="str">
        <f t="shared" si="44"/>
        <v>—</v>
      </c>
      <c r="J59" s="415" t="str">
        <f t="shared" si="44"/>
        <v>—</v>
      </c>
      <c r="K59" s="415" t="str">
        <f t="shared" si="44"/>
        <v>—</v>
      </c>
      <c r="L59" s="415" t="str">
        <f t="shared" si="44"/>
        <v>—</v>
      </c>
      <c r="M59" s="415" t="str">
        <f t="shared" si="44"/>
        <v>—</v>
      </c>
      <c r="N59" s="415" t="str">
        <f t="shared" si="44"/>
        <v>—</v>
      </c>
      <c r="O59" s="415" t="str">
        <f t="shared" si="44"/>
        <v>—</v>
      </c>
      <c r="P59" s="415" t="str">
        <f t="shared" si="44"/>
        <v>—</v>
      </c>
      <c r="Q59" s="415" t="str">
        <f t="shared" si="44"/>
        <v>—</v>
      </c>
      <c r="R59" s="415" t="str">
        <f t="shared" si="44"/>
        <v>—</v>
      </c>
      <c r="S59" s="415" t="str">
        <f t="shared" si="44"/>
        <v>—</v>
      </c>
      <c r="T59" s="415" t="str">
        <f t="shared" si="44"/>
        <v>—</v>
      </c>
      <c r="U59" s="415" t="str">
        <f t="shared" si="44"/>
        <v>—</v>
      </c>
      <c r="V59" s="415">
        <f t="shared" si="44"/>
        <v>-7.2677510555520133E-4</v>
      </c>
      <c r="W59" s="415">
        <f t="shared" si="44"/>
        <v>6.8667098536270897E-4</v>
      </c>
      <c r="X59" s="415">
        <f t="shared" si="44"/>
        <v>1.2807124221851147E-4</v>
      </c>
      <c r="Y59" s="415" t="str">
        <f t="shared" si="44"/>
        <v>—</v>
      </c>
      <c r="Z59" s="415" t="str">
        <f t="shared" si="44"/>
        <v>—</v>
      </c>
      <c r="AA59" s="415" t="str">
        <f t="shared" si="44"/>
        <v>—</v>
      </c>
      <c r="AB59" s="415" t="str">
        <f t="shared" si="44"/>
        <v>—</v>
      </c>
      <c r="AC59" s="415" t="str">
        <f t="shared" si="44"/>
        <v>—</v>
      </c>
      <c r="AD59" s="415" t="str">
        <f t="shared" si="44"/>
        <v>—</v>
      </c>
      <c r="AE59" s="415" t="str">
        <f t="shared" si="44"/>
        <v>—</v>
      </c>
      <c r="AF59" s="415" t="str">
        <f t="shared" si="44"/>
        <v>—</v>
      </c>
      <c r="AG59" s="415" t="str">
        <f t="shared" si="44"/>
        <v>—</v>
      </c>
      <c r="AH59" s="415" t="str">
        <f t="shared" si="44"/>
        <v>—</v>
      </c>
      <c r="AI59" s="415" t="str">
        <f t="shared" si="44"/>
        <v>—</v>
      </c>
      <c r="AJ59" s="415" t="str">
        <f t="shared" si="44"/>
        <v>—</v>
      </c>
      <c r="AK59" s="415" t="str">
        <f t="shared" ref="AK59:AR59" si="45">IF(ISERROR(AK58/AK74),"—",AK58/AK74)</f>
        <v>—</v>
      </c>
      <c r="AL59" s="415" t="str">
        <f>AG59</f>
        <v>—</v>
      </c>
      <c r="AM59" s="415" t="str">
        <f>AL59</f>
        <v>—</v>
      </c>
      <c r="AN59" s="415" t="str">
        <f>AM59</f>
        <v>—</v>
      </c>
      <c r="AO59" s="415" t="str">
        <f t="shared" si="45"/>
        <v>—</v>
      </c>
      <c r="AP59" s="415" t="str">
        <f t="shared" si="45"/>
        <v>—</v>
      </c>
      <c r="AQ59" s="415" t="str">
        <f t="shared" si="45"/>
        <v>—</v>
      </c>
      <c r="AR59" s="415" t="str">
        <f t="shared" si="45"/>
        <v>—</v>
      </c>
      <c r="AS59" s="415" t="str">
        <f>IF(ISERROR(AS58/AS74),"—",AS58/AS74)</f>
        <v>—</v>
      </c>
      <c r="AT59" s="415" t="str">
        <f>IF(ISERROR(AT58/AT74),"—",AT58/AT74)</f>
        <v>—</v>
      </c>
      <c r="AU59" s="415" t="str">
        <f>IF(ISERROR(AU58/AU74),"—",AU58/AU74)</f>
        <v>—</v>
      </c>
    </row>
    <row r="60" spans="1:47" s="72" customFormat="1" ht="13.75">
      <c r="A60" s="68"/>
      <c r="B60" s="51"/>
      <c r="C60" s="81"/>
      <c r="D60" s="112"/>
      <c r="E60" s="415"/>
      <c r="F60" s="415"/>
      <c r="G60" s="415"/>
      <c r="H60" s="415"/>
      <c r="I60" s="415"/>
      <c r="J60" s="415"/>
      <c r="K60" s="415"/>
      <c r="L60" s="415"/>
      <c r="M60" s="415"/>
      <c r="N60" s="415"/>
      <c r="O60" s="415"/>
      <c r="P60" s="415"/>
      <c r="Q60" s="415"/>
      <c r="R60" s="415"/>
      <c r="S60" s="415"/>
      <c r="T60" s="415"/>
      <c r="U60" s="415"/>
      <c r="V60" s="415"/>
      <c r="W60" s="415"/>
      <c r="X60" s="415"/>
      <c r="Y60" s="415"/>
      <c r="Z60" s="415"/>
      <c r="AA60" s="415"/>
      <c r="AB60" s="415"/>
      <c r="AC60" s="415"/>
      <c r="AD60" s="415"/>
      <c r="AE60" s="415"/>
      <c r="AF60" s="415"/>
      <c r="AG60" s="415"/>
      <c r="AH60" s="415"/>
      <c r="AI60" s="415"/>
      <c r="AJ60" s="415"/>
      <c r="AK60" s="415"/>
      <c r="AL60" s="415">
        <f>AG60</f>
        <v>0</v>
      </c>
      <c r="AM60" s="415">
        <f>AL60</f>
        <v>0</v>
      </c>
      <c r="AN60" s="415">
        <f>AM60</f>
        <v>0</v>
      </c>
      <c r="AO60" s="415"/>
      <c r="AP60" s="415"/>
      <c r="AQ60" s="415"/>
      <c r="AR60" s="415"/>
      <c r="AS60" s="415"/>
      <c r="AT60" s="415"/>
      <c r="AU60" s="415"/>
    </row>
    <row r="61" spans="1:47" s="260" customFormat="1" ht="13.75">
      <c r="B61" s="557" t="s">
        <v>1033</v>
      </c>
      <c r="C61" s="265"/>
      <c r="D61" s="488"/>
      <c r="E61" s="463">
        <f>财务基础数据!J65*目录!$D$6</f>
        <v>0</v>
      </c>
      <c r="F61" s="463">
        <f>财务基础数据!K65*目录!$D$6</f>
        <v>0</v>
      </c>
      <c r="G61" s="463">
        <f>财务基础数据!L65*目录!$D$6</f>
        <v>0</v>
      </c>
      <c r="H61" s="463">
        <f>财务基础数据!M65*目录!$D$6</f>
        <v>0</v>
      </c>
      <c r="I61" s="463">
        <f>财务基础数据!N65*目录!$D$6</f>
        <v>0</v>
      </c>
      <c r="J61" s="463">
        <f>财务基础数据!O65*目录!$D$6</f>
        <v>0</v>
      </c>
      <c r="K61" s="463">
        <f>财务基础数据!P65*目录!$D$6</f>
        <v>0</v>
      </c>
      <c r="L61" s="463">
        <f>财务基础数据!Q65*目录!$D$6</f>
        <v>0</v>
      </c>
      <c r="M61" s="463">
        <f>财务基础数据!R65*目录!$D$6</f>
        <v>0</v>
      </c>
      <c r="N61" s="463">
        <f>财务基础数据!S65*目录!$D$6</f>
        <v>0</v>
      </c>
      <c r="O61" s="463">
        <f>财务基础数据!T65*目录!$D$6</f>
        <v>0</v>
      </c>
      <c r="P61" s="463">
        <f>财务基础数据!U65*目录!$D$6</f>
        <v>0</v>
      </c>
      <c r="Q61" s="463">
        <f>财务基础数据!V65*目录!$D$6</f>
        <v>0</v>
      </c>
      <c r="R61" s="463">
        <f>财务基础数据!W65*目录!$D$6</f>
        <v>0</v>
      </c>
      <c r="S61" s="463">
        <f>财务基础数据!X65*目录!$D$6</f>
        <v>0</v>
      </c>
      <c r="T61" s="463">
        <f>财务基础数据!Y65*目录!$D$6</f>
        <v>0</v>
      </c>
      <c r="U61" s="463">
        <f>财务基础数据!Z65*目录!$D$6</f>
        <v>0</v>
      </c>
      <c r="V61" s="463">
        <f>财务基础数据!AA65*目录!$D$6</f>
        <v>0</v>
      </c>
      <c r="W61" s="463">
        <f>财务基础数据!AB65*目录!$D$6</f>
        <v>-9.371032E-2</v>
      </c>
      <c r="X61" s="463">
        <f>财务基础数据!AC65*目录!$D$6</f>
        <v>-9.371032E-2</v>
      </c>
      <c r="Y61" s="463">
        <f>财务基础数据!AD65*目录!$D$6</f>
        <v>0</v>
      </c>
      <c r="Z61" s="463">
        <f>财务基础数据!AE65*目录!$D$6</f>
        <v>0</v>
      </c>
      <c r="AA61" s="463">
        <f>财务基础数据!AF65*目录!$D$6</f>
        <v>0</v>
      </c>
      <c r="AB61" s="463">
        <f>财务基础数据!AG65*目录!$D$6</f>
        <v>0</v>
      </c>
      <c r="AC61" s="463">
        <f>财务基础数据!AH65*目录!$D$6</f>
        <v>0</v>
      </c>
      <c r="AD61" s="463">
        <f>财务基础数据!AI65*目录!$D$6</f>
        <v>0</v>
      </c>
      <c r="AE61" s="463">
        <f>财务基础数据!AJ65*目录!$D$6</f>
        <v>0</v>
      </c>
      <c r="AF61" s="463">
        <f>财务基础数据!AK65*目录!$D$6</f>
        <v>0</v>
      </c>
      <c r="AG61" s="463">
        <f>财务基础数据!AL65*目录!$D$6</f>
        <v>0</v>
      </c>
      <c r="AH61" s="463">
        <f>财务基础数据!AM65*目录!$D$6</f>
        <v>0</v>
      </c>
      <c r="AI61" s="463">
        <f>财务基础数据!AN65*目录!$D$6</f>
        <v>0</v>
      </c>
      <c r="AJ61" s="463">
        <f>财务基础数据!AO65*目录!$D$6</f>
        <v>0</v>
      </c>
      <c r="AK61" s="463">
        <f>财务基础数据!AP65*目录!$D$6</f>
        <v>0</v>
      </c>
      <c r="AL61" s="463" t="str">
        <f>IF(ISERROR(销售预测!V34),"—",销售预测!V34)</f>
        <v>—</v>
      </c>
      <c r="AM61" s="36" t="str">
        <f>IF(ISERROR(销售预测!W34),"—",销售预测!W34)</f>
        <v>—</v>
      </c>
      <c r="AN61" s="36" t="str">
        <f>IF(ISERROR(销售预测!X34),"—",销售预测!X34)</f>
        <v>—</v>
      </c>
      <c r="AO61" s="36">
        <f>IF(ISERROR(销售预测!Y34),"—",销售预测!Y34)</f>
        <v>0</v>
      </c>
      <c r="AP61" s="36">
        <f>IF(ISERROR(销售预测!Z34),"—",销售预测!Z34)</f>
        <v>0</v>
      </c>
      <c r="AQ61" s="36">
        <f>IF(ISERROR(销售预测!AA34),"—",销售预测!AA34)</f>
        <v>0</v>
      </c>
      <c r="AR61" s="36">
        <f>IF(ISERROR(销售预测!AB34),"—",销售预测!AB34)</f>
        <v>0</v>
      </c>
      <c r="AS61" s="36">
        <f>IF(ISERROR(销售预测!AC34),"—",销售预测!AC34)</f>
        <v>0</v>
      </c>
      <c r="AT61" s="36">
        <f>IF(ISERROR(销售预测!AD34),"—",销售预测!AD34)</f>
        <v>0</v>
      </c>
      <c r="AU61" s="36">
        <f>IF(ISERROR(销售预测!AE34),"—",销售预测!AE34)</f>
        <v>0</v>
      </c>
    </row>
    <row r="62" spans="1:47" ht="13.75">
      <c r="B62" s="77"/>
      <c r="C62" s="89" t="s">
        <v>791</v>
      </c>
      <c r="D62" s="466"/>
      <c r="E62" s="467" t="str">
        <f t="shared" ref="E62:AJ62" si="46">IF(ISERROR(E61/E74),"—",E61/E74)</f>
        <v>—</v>
      </c>
      <c r="F62" s="467" t="str">
        <f t="shared" si="46"/>
        <v>—</v>
      </c>
      <c r="G62" s="467" t="str">
        <f t="shared" si="46"/>
        <v>—</v>
      </c>
      <c r="H62" s="467" t="str">
        <f t="shared" si="46"/>
        <v>—</v>
      </c>
      <c r="I62" s="467" t="str">
        <f t="shared" si="46"/>
        <v>—</v>
      </c>
      <c r="J62" s="467" t="str">
        <f t="shared" si="46"/>
        <v>—</v>
      </c>
      <c r="K62" s="467" t="str">
        <f t="shared" si="46"/>
        <v>—</v>
      </c>
      <c r="L62" s="467" t="str">
        <f t="shared" si="46"/>
        <v>—</v>
      </c>
      <c r="M62" s="467" t="str">
        <f t="shared" si="46"/>
        <v>—</v>
      </c>
      <c r="N62" s="467" t="str">
        <f t="shared" si="46"/>
        <v>—</v>
      </c>
      <c r="O62" s="467" t="str">
        <f t="shared" si="46"/>
        <v>—</v>
      </c>
      <c r="P62" s="467" t="str">
        <f t="shared" si="46"/>
        <v>—</v>
      </c>
      <c r="Q62" s="467" t="str">
        <f t="shared" si="46"/>
        <v>—</v>
      </c>
      <c r="R62" s="467" t="str">
        <f t="shared" si="46"/>
        <v>—</v>
      </c>
      <c r="S62" s="467" t="str">
        <f t="shared" si="46"/>
        <v>—</v>
      </c>
      <c r="T62" s="467" t="str">
        <f t="shared" si="46"/>
        <v>—</v>
      </c>
      <c r="U62" s="467" t="str">
        <f t="shared" si="46"/>
        <v>—</v>
      </c>
      <c r="V62" s="467">
        <f t="shared" si="46"/>
        <v>0</v>
      </c>
      <c r="W62" s="467">
        <f t="shared" si="46"/>
        <v>-3.4604675662226224E-5</v>
      </c>
      <c r="X62" s="467">
        <f t="shared" si="46"/>
        <v>-2.5149305368235157E-5</v>
      </c>
      <c r="Y62" s="467" t="str">
        <f t="shared" si="46"/>
        <v>—</v>
      </c>
      <c r="Z62" s="467" t="str">
        <f t="shared" si="46"/>
        <v>—</v>
      </c>
      <c r="AA62" s="467" t="str">
        <f t="shared" si="46"/>
        <v>—</v>
      </c>
      <c r="AB62" s="467" t="str">
        <f t="shared" si="46"/>
        <v>—</v>
      </c>
      <c r="AC62" s="467" t="str">
        <f t="shared" si="46"/>
        <v>—</v>
      </c>
      <c r="AD62" s="467" t="str">
        <f t="shared" si="46"/>
        <v>—</v>
      </c>
      <c r="AE62" s="467" t="str">
        <f t="shared" si="46"/>
        <v>—</v>
      </c>
      <c r="AF62" s="467" t="str">
        <f t="shared" si="46"/>
        <v>—</v>
      </c>
      <c r="AG62" s="467" t="str">
        <f t="shared" si="46"/>
        <v>—</v>
      </c>
      <c r="AH62" s="467" t="str">
        <f t="shared" si="46"/>
        <v>—</v>
      </c>
      <c r="AI62" s="467" t="str">
        <f t="shared" si="46"/>
        <v>—</v>
      </c>
      <c r="AJ62" s="467" t="str">
        <f t="shared" si="46"/>
        <v>—</v>
      </c>
      <c r="AK62" s="467" t="str">
        <f t="shared" ref="AK62:AR62" si="47">IF(ISERROR(AK61/AK74),"—",AK61/AK74)</f>
        <v>—</v>
      </c>
      <c r="AL62" s="467" t="str">
        <f t="shared" si="47"/>
        <v>—</v>
      </c>
      <c r="AM62" s="467" t="str">
        <f t="shared" si="47"/>
        <v>—</v>
      </c>
      <c r="AN62" s="467" t="str">
        <f t="shared" si="47"/>
        <v>—</v>
      </c>
      <c r="AO62" s="467" t="str">
        <f t="shared" si="47"/>
        <v>—</v>
      </c>
      <c r="AP62" s="467" t="str">
        <f t="shared" si="47"/>
        <v>—</v>
      </c>
      <c r="AQ62" s="467" t="str">
        <f t="shared" si="47"/>
        <v>—</v>
      </c>
      <c r="AR62" s="467" t="str">
        <f t="shared" si="47"/>
        <v>—</v>
      </c>
      <c r="AS62" s="467" t="str">
        <f>IF(ISERROR(AS61/AS74),"—",AS61/AS74)</f>
        <v>—</v>
      </c>
      <c r="AT62" s="467" t="str">
        <f>IF(ISERROR(AT61/AT74),"—",AT61/AT74)</f>
        <v>—</v>
      </c>
      <c r="AU62" s="467" t="str">
        <f>IF(ISERROR(AU61/AU74),"—",AU61/AU74)</f>
        <v>—</v>
      </c>
    </row>
    <row r="63" spans="1:47" ht="14.15">
      <c r="B63" s="54" t="s">
        <v>792</v>
      </c>
      <c r="C63" s="39"/>
      <c r="D63" s="124"/>
      <c r="E63" s="35">
        <f>财务基础数据!J26*目录!$D$6</f>
        <v>0</v>
      </c>
      <c r="F63" s="35">
        <f>财务基础数据!K26*目录!$D$6</f>
        <v>0</v>
      </c>
      <c r="G63" s="35">
        <f>财务基础数据!L26*目录!$D$6</f>
        <v>0</v>
      </c>
      <c r="H63" s="35">
        <f>财务基础数据!M26*目录!$D$6</f>
        <v>0</v>
      </c>
      <c r="I63" s="35">
        <f>财务基础数据!N26*目录!$D$6</f>
        <v>0</v>
      </c>
      <c r="J63" s="35">
        <f>财务基础数据!O26*目录!$D$6</f>
        <v>0</v>
      </c>
      <c r="K63" s="35">
        <f>财务基础数据!P26*目录!$D$6</f>
        <v>0</v>
      </c>
      <c r="L63" s="35">
        <f>财务基础数据!Q26*目录!$D$6</f>
        <v>0</v>
      </c>
      <c r="M63" s="35">
        <f>财务基础数据!R26*目录!$D$6</f>
        <v>0</v>
      </c>
      <c r="N63" s="35">
        <f>财务基础数据!S26*目录!$D$6</f>
        <v>0</v>
      </c>
      <c r="O63" s="35">
        <f>财务基础数据!T26*目录!$D$6</f>
        <v>0</v>
      </c>
      <c r="P63" s="35">
        <f>财务基础数据!U26*目录!$D$6</f>
        <v>0</v>
      </c>
      <c r="Q63" s="35">
        <f>财务基础数据!V26*目录!$D$6</f>
        <v>0</v>
      </c>
      <c r="R63" s="35">
        <f>财务基础数据!W26*目录!$D$6</f>
        <v>0</v>
      </c>
      <c r="S63" s="35">
        <f>财务基础数据!X26*目录!$D$6</f>
        <v>0</v>
      </c>
      <c r="T63" s="35">
        <f>财务基础数据!Y26*目录!$D$6</f>
        <v>0</v>
      </c>
      <c r="U63" s="35">
        <f>财务基础数据!Z26*目录!$D$6</f>
        <v>0</v>
      </c>
      <c r="V63" s="35">
        <f>财务基础数据!AA26*目录!$D$6</f>
        <v>1492.2685993499999</v>
      </c>
      <c r="W63" s="35">
        <f>财务基础数据!AB26*目录!$D$6</f>
        <v>2718.4765665999998</v>
      </c>
      <c r="X63" s="35">
        <f>财务基础数据!AC26*目录!$D$6</f>
        <v>3728.1472287800002</v>
      </c>
      <c r="Y63" s="35">
        <f>财务基础数据!AD26*目录!$D$6</f>
        <v>0</v>
      </c>
      <c r="Z63" s="35">
        <f>财务基础数据!AE26*目录!$D$6</f>
        <v>0</v>
      </c>
      <c r="AA63" s="35">
        <f>财务基础数据!AF26*目录!$D$6</f>
        <v>0</v>
      </c>
      <c r="AB63" s="35">
        <f>财务基础数据!AG26*目录!$D$6</f>
        <v>0</v>
      </c>
      <c r="AC63" s="35">
        <f>财务基础数据!AH26*目录!$D$6</f>
        <v>0</v>
      </c>
      <c r="AD63" s="35">
        <f>财务基础数据!AI26*目录!$D$6</f>
        <v>0</v>
      </c>
      <c r="AE63" s="35">
        <f>财务基础数据!AJ26*目录!$D$6</f>
        <v>0</v>
      </c>
      <c r="AF63" s="35">
        <f>财务基础数据!AK26*目录!$D$6</f>
        <v>0</v>
      </c>
      <c r="AG63" s="35">
        <f>财务基础数据!AL26*目录!$D$6</f>
        <v>0</v>
      </c>
      <c r="AH63" s="35">
        <f>财务基础数据!AM26*目录!$D$6</f>
        <v>0</v>
      </c>
      <c r="AI63" s="35">
        <f>财务基础数据!AN26*目录!$D$6</f>
        <v>0</v>
      </c>
      <c r="AJ63" s="35">
        <f>财务基础数据!AO26*目录!$D$6</f>
        <v>0</v>
      </c>
      <c r="AK63" s="35">
        <f>财务基础数据!AP26*目录!$D$6</f>
        <v>0</v>
      </c>
      <c r="AL63" s="35" t="str">
        <f t="shared" ref="AL63:AU63" si="48">IF(ISERROR(AL38-AL29-AL58-AL55+AL49+AL52+AL44+AL42+AL61),"—",AL38-AL29-AL58-AL55+AL49+AL52+AL44+AL42+AL61)</f>
        <v>—</v>
      </c>
      <c r="AM63" s="35" t="str">
        <f t="shared" si="48"/>
        <v>—</v>
      </c>
      <c r="AN63" s="35" t="str">
        <f t="shared" si="48"/>
        <v>—</v>
      </c>
      <c r="AO63" s="35">
        <f t="shared" si="48"/>
        <v>0</v>
      </c>
      <c r="AP63" s="35">
        <f t="shared" si="48"/>
        <v>0</v>
      </c>
      <c r="AQ63" s="35">
        <f t="shared" si="48"/>
        <v>0</v>
      </c>
      <c r="AR63" s="35">
        <f t="shared" si="48"/>
        <v>0</v>
      </c>
      <c r="AS63" s="35">
        <f t="shared" si="48"/>
        <v>0</v>
      </c>
      <c r="AT63" s="35">
        <f t="shared" si="48"/>
        <v>0</v>
      </c>
      <c r="AU63" s="35">
        <f t="shared" si="48"/>
        <v>0</v>
      </c>
    </row>
    <row r="64" spans="1:47" ht="14.15">
      <c r="B64" s="42"/>
      <c r="C64" s="81" t="s">
        <v>786</v>
      </c>
      <c r="E64" s="71" t="str">
        <f t="shared" ref="E64:AJ64" si="49">IF(ISERROR(E63/E6),"—",E63/E6)</f>
        <v>—</v>
      </c>
      <c r="F64" s="71" t="str">
        <f t="shared" si="49"/>
        <v>—</v>
      </c>
      <c r="G64" s="71" t="str">
        <f>IF(ISERROR(G63/G6),"—",G63/G6)</f>
        <v>—</v>
      </c>
      <c r="H64" s="71" t="str">
        <f t="shared" si="49"/>
        <v>—</v>
      </c>
      <c r="I64" s="71" t="str">
        <f t="shared" si="49"/>
        <v>—</v>
      </c>
      <c r="J64" s="71" t="str">
        <f t="shared" si="49"/>
        <v>—</v>
      </c>
      <c r="K64" s="71" t="str">
        <f t="shared" si="49"/>
        <v>—</v>
      </c>
      <c r="L64" s="71" t="str">
        <f t="shared" si="49"/>
        <v>—</v>
      </c>
      <c r="M64" s="71" t="str">
        <f t="shared" si="49"/>
        <v>—</v>
      </c>
      <c r="N64" s="71" t="str">
        <f t="shared" si="49"/>
        <v>—</v>
      </c>
      <c r="O64" s="71" t="str">
        <f t="shared" si="49"/>
        <v>—</v>
      </c>
      <c r="P64" s="71" t="str">
        <f t="shared" si="49"/>
        <v>—</v>
      </c>
      <c r="Q64" s="71" t="str">
        <f t="shared" si="49"/>
        <v>—</v>
      </c>
      <c r="R64" s="71" t="str">
        <f t="shared" si="49"/>
        <v>—</v>
      </c>
      <c r="S64" s="71" t="str">
        <f t="shared" si="49"/>
        <v>—</v>
      </c>
      <c r="T64" s="71" t="str">
        <f t="shared" si="49"/>
        <v>—</v>
      </c>
      <c r="U64" s="71" t="str">
        <f t="shared" si="49"/>
        <v>—</v>
      </c>
      <c r="V64" s="71">
        <f t="shared" si="49"/>
        <v>0.44281418110802101</v>
      </c>
      <c r="W64" s="71">
        <f t="shared" si="49"/>
        <v>0.42341672094597521</v>
      </c>
      <c r="X64" s="71">
        <f t="shared" si="49"/>
        <v>0.40248182839970953</v>
      </c>
      <c r="Y64" s="71" t="str">
        <f t="shared" si="49"/>
        <v>—</v>
      </c>
      <c r="Z64" s="71" t="str">
        <f t="shared" si="49"/>
        <v>—</v>
      </c>
      <c r="AA64" s="71" t="str">
        <f t="shared" si="49"/>
        <v>—</v>
      </c>
      <c r="AB64" s="71" t="str">
        <f t="shared" si="49"/>
        <v>—</v>
      </c>
      <c r="AC64" s="71" t="str">
        <f t="shared" si="49"/>
        <v>—</v>
      </c>
      <c r="AD64" s="71" t="str">
        <f t="shared" si="49"/>
        <v>—</v>
      </c>
      <c r="AE64" s="71" t="str">
        <f t="shared" si="49"/>
        <v>—</v>
      </c>
      <c r="AF64" s="71" t="str">
        <f t="shared" si="49"/>
        <v>—</v>
      </c>
      <c r="AG64" s="71" t="str">
        <f t="shared" si="49"/>
        <v>—</v>
      </c>
      <c r="AH64" s="71" t="str">
        <f t="shared" si="49"/>
        <v>—</v>
      </c>
      <c r="AI64" s="71" t="str">
        <f t="shared" si="49"/>
        <v>—</v>
      </c>
      <c r="AJ64" s="71" t="str">
        <f t="shared" si="49"/>
        <v>—</v>
      </c>
      <c r="AK64" s="71" t="str">
        <f t="shared" ref="AK64:AR64" si="50">IF(ISERROR(AK63/AK6),"—",AK63/AK6)</f>
        <v>—</v>
      </c>
      <c r="AL64" s="71" t="str">
        <f t="shared" si="50"/>
        <v>—</v>
      </c>
      <c r="AM64" s="71" t="str">
        <f t="shared" si="50"/>
        <v>—</v>
      </c>
      <c r="AN64" s="71" t="str">
        <f t="shared" si="50"/>
        <v>—</v>
      </c>
      <c r="AO64" s="71" t="str">
        <f t="shared" si="50"/>
        <v>—</v>
      </c>
      <c r="AP64" s="71" t="str">
        <f t="shared" si="50"/>
        <v>—</v>
      </c>
      <c r="AQ64" s="71" t="str">
        <f t="shared" si="50"/>
        <v>—</v>
      </c>
      <c r="AR64" s="71" t="str">
        <f t="shared" si="50"/>
        <v>—</v>
      </c>
      <c r="AS64" s="71" t="str">
        <f>IF(ISERROR(AS63/AS6),"—",AS63/AS6)</f>
        <v>—</v>
      </c>
      <c r="AT64" s="71" t="str">
        <f>IF(ISERROR(AT63/AT6),"—",AT63/AT6)</f>
        <v>—</v>
      </c>
      <c r="AU64" s="71" t="str">
        <f>IF(ISERROR(AU63/AU6),"—",AU63/AU6)</f>
        <v>—</v>
      </c>
    </row>
    <row r="65" spans="1:47" s="420" customFormat="1" ht="14.15">
      <c r="B65" s="434"/>
      <c r="C65" s="426" t="s">
        <v>781</v>
      </c>
      <c r="D65" s="432"/>
      <c r="E65" s="422"/>
      <c r="F65" s="422"/>
      <c r="G65" s="422"/>
      <c r="H65" s="422"/>
      <c r="I65" s="422" t="str">
        <f t="shared" ref="I65:AK65" si="51">IF(ISERROR((I63-E63)/ABS(E63)),"—",(I63-E63)/ABS(E63))</f>
        <v>—</v>
      </c>
      <c r="J65" s="422" t="str">
        <f t="shared" si="51"/>
        <v>—</v>
      </c>
      <c r="K65" s="422" t="str">
        <f t="shared" si="51"/>
        <v>—</v>
      </c>
      <c r="L65" s="422" t="str">
        <f t="shared" si="51"/>
        <v>—</v>
      </c>
      <c r="M65" s="422" t="str">
        <f t="shared" si="51"/>
        <v>—</v>
      </c>
      <c r="N65" s="422" t="str">
        <f t="shared" si="51"/>
        <v>—</v>
      </c>
      <c r="O65" s="422" t="str">
        <f t="shared" si="51"/>
        <v>—</v>
      </c>
      <c r="P65" s="422" t="str">
        <f t="shared" si="51"/>
        <v>—</v>
      </c>
      <c r="Q65" s="422" t="str">
        <f t="shared" si="51"/>
        <v>—</v>
      </c>
      <c r="R65" s="422" t="str">
        <f t="shared" si="51"/>
        <v>—</v>
      </c>
      <c r="S65" s="422" t="str">
        <f t="shared" si="51"/>
        <v>—</v>
      </c>
      <c r="T65" s="422" t="str">
        <f t="shared" si="51"/>
        <v>—</v>
      </c>
      <c r="U65" s="422" t="str">
        <f t="shared" si="51"/>
        <v>—</v>
      </c>
      <c r="V65" s="422" t="str">
        <f t="shared" si="51"/>
        <v>—</v>
      </c>
      <c r="W65" s="422" t="str">
        <f t="shared" si="51"/>
        <v>—</v>
      </c>
      <c r="X65" s="422" t="str">
        <f t="shared" si="51"/>
        <v>—</v>
      </c>
      <c r="Y65" s="422" t="str">
        <f t="shared" si="51"/>
        <v>—</v>
      </c>
      <c r="Z65" s="422">
        <f t="shared" si="51"/>
        <v>-1</v>
      </c>
      <c r="AA65" s="422">
        <f t="shared" si="51"/>
        <v>-1</v>
      </c>
      <c r="AB65" s="422">
        <f t="shared" si="51"/>
        <v>-1</v>
      </c>
      <c r="AC65" s="422" t="str">
        <f t="shared" si="51"/>
        <v>—</v>
      </c>
      <c r="AD65" s="422" t="str">
        <f t="shared" si="51"/>
        <v>—</v>
      </c>
      <c r="AE65" s="422" t="str">
        <f t="shared" si="51"/>
        <v>—</v>
      </c>
      <c r="AF65" s="422" t="str">
        <f t="shared" si="51"/>
        <v>—</v>
      </c>
      <c r="AG65" s="422" t="str">
        <f t="shared" si="51"/>
        <v>—</v>
      </c>
      <c r="AH65" s="422" t="str">
        <f t="shared" si="51"/>
        <v>—</v>
      </c>
      <c r="AI65" s="422" t="str">
        <f t="shared" si="51"/>
        <v>—</v>
      </c>
      <c r="AJ65" s="422" t="str">
        <f t="shared" si="51"/>
        <v>—</v>
      </c>
      <c r="AK65" s="422" t="str">
        <f t="shared" si="51"/>
        <v>—</v>
      </c>
      <c r="AL65" s="422" t="str">
        <f>IF(ISERROR((AL63-AG63)/ABS(AG63)),"—",(AL63-AG63)/ABS(AG63))</f>
        <v>—</v>
      </c>
      <c r="AM65" s="422" t="str">
        <f>IF(ISERROR((AM63-AL63)/ABS(AL63)),"—",(AM63-AL63)/ABS(AL63))</f>
        <v>—</v>
      </c>
      <c r="AN65" s="422" t="str">
        <f t="shared" ref="AN65:AU65" si="52">IF(ISERROR(AN63/AM63-1),"—",AN63/AM63-1)</f>
        <v>—</v>
      </c>
      <c r="AO65" s="422" t="str">
        <f t="shared" si="52"/>
        <v>—</v>
      </c>
      <c r="AP65" s="422" t="str">
        <f t="shared" si="52"/>
        <v>—</v>
      </c>
      <c r="AQ65" s="422" t="str">
        <f t="shared" si="52"/>
        <v>—</v>
      </c>
      <c r="AR65" s="422" t="str">
        <f t="shared" si="52"/>
        <v>—</v>
      </c>
      <c r="AS65" s="422" t="str">
        <f t="shared" si="52"/>
        <v>—</v>
      </c>
      <c r="AT65" s="422" t="str">
        <f t="shared" si="52"/>
        <v>—</v>
      </c>
      <c r="AU65" s="422" t="str">
        <f t="shared" si="52"/>
        <v>—</v>
      </c>
    </row>
    <row r="66" spans="1:47" ht="13.75">
      <c r="B66" s="593"/>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row>
    <row r="67" spans="1:47" s="260" customFormat="1" ht="13.75">
      <c r="B67" s="498" t="s">
        <v>715</v>
      </c>
      <c r="C67" s="310"/>
      <c r="D67" s="488"/>
      <c r="E67" s="362">
        <f>(财务基础数据!J29)*目录!$D$6</f>
        <v>0</v>
      </c>
      <c r="F67" s="362">
        <f>(财务基础数据!K29)*目录!$D$6</f>
        <v>0</v>
      </c>
      <c r="G67" s="362">
        <f>(财务基础数据!L29)*目录!$D$6</f>
        <v>0</v>
      </c>
      <c r="H67" s="362">
        <f>(财务基础数据!M29)*目录!$D$6</f>
        <v>0</v>
      </c>
      <c r="I67" s="362">
        <f>(财务基础数据!N29)*目录!$D$6</f>
        <v>0</v>
      </c>
      <c r="J67" s="362">
        <f>(财务基础数据!O29)*目录!$D$6</f>
        <v>0</v>
      </c>
      <c r="K67" s="362">
        <f>(财务基础数据!P29)*目录!$D$6</f>
        <v>0</v>
      </c>
      <c r="L67" s="362">
        <f>(财务基础数据!Q29)*目录!$D$6</f>
        <v>0</v>
      </c>
      <c r="M67" s="362">
        <f>(财务基础数据!R29)*目录!$D$6</f>
        <v>0</v>
      </c>
      <c r="N67" s="362">
        <f>(财务基础数据!S29)*目录!$D$6</f>
        <v>0</v>
      </c>
      <c r="O67" s="362">
        <f>(财务基础数据!T29)*目录!$D$6</f>
        <v>0</v>
      </c>
      <c r="P67" s="362">
        <f>(财务基础数据!U29)*目录!$D$6</f>
        <v>0</v>
      </c>
      <c r="Q67" s="362">
        <f>(财务基础数据!V29)*目录!$D$6</f>
        <v>0</v>
      </c>
      <c r="R67" s="362">
        <f>(财务基础数据!W29)*目录!$D$6</f>
        <v>0</v>
      </c>
      <c r="S67" s="362">
        <f>(财务基础数据!X29)*目录!$D$6</f>
        <v>0</v>
      </c>
      <c r="T67" s="362">
        <f>(财务基础数据!Y29)*目录!$D$6</f>
        <v>0</v>
      </c>
      <c r="U67" s="362">
        <f>(财务基础数据!Z29)*目录!$D$6</f>
        <v>0</v>
      </c>
      <c r="V67" s="362">
        <f>(财务基础数据!AA29)*目录!$D$6</f>
        <v>6.6888568199999998</v>
      </c>
      <c r="W67" s="362">
        <f>(财务基础数据!AB29)*目录!$D$6</f>
        <v>12.23663676</v>
      </c>
      <c r="X67" s="362">
        <f>(财务基础数据!AC29)*目录!$D$6</f>
        <v>25.175903879999996</v>
      </c>
      <c r="Y67" s="362">
        <f>(财务基础数据!AD29)*目录!$D$6</f>
        <v>0</v>
      </c>
      <c r="Z67" s="362">
        <f>(财务基础数据!AE29)*目录!$D$6</f>
        <v>0</v>
      </c>
      <c r="AA67" s="362">
        <f>(财务基础数据!AF29)*目录!$D$6</f>
        <v>0</v>
      </c>
      <c r="AB67" s="362">
        <f>(财务基础数据!AG29)*目录!$D$6</f>
        <v>0</v>
      </c>
      <c r="AC67" s="362">
        <f>(财务基础数据!AH29)*目录!$D$6</f>
        <v>0</v>
      </c>
      <c r="AD67" s="362">
        <f>(财务基础数据!AI29)*目录!$D$6</f>
        <v>0</v>
      </c>
      <c r="AE67" s="362">
        <f>(财务基础数据!AJ29)*目录!$D$6</f>
        <v>0</v>
      </c>
      <c r="AF67" s="362">
        <f>(财务基础数据!AK29)*目录!$D$6</f>
        <v>0</v>
      </c>
      <c r="AG67" s="362">
        <f>(财务基础数据!AL29)*目录!$D$6</f>
        <v>0</v>
      </c>
      <c r="AH67" s="362">
        <f>(财务基础数据!AM29)*目录!$D$6</f>
        <v>0</v>
      </c>
      <c r="AI67" s="362">
        <f>(财务基础数据!AN29)*目录!$D$6</f>
        <v>0</v>
      </c>
      <c r="AJ67" s="362">
        <f>(财务基础数据!AO29)*目录!$D$6</f>
        <v>0</v>
      </c>
      <c r="AK67" s="362">
        <f>(财务基础数据!AP29)*目录!$D$6</f>
        <v>0</v>
      </c>
      <c r="AL67" s="36">
        <f>AG67</f>
        <v>0</v>
      </c>
      <c r="AM67" s="36">
        <f>AL67</f>
        <v>0</v>
      </c>
      <c r="AN67" s="36">
        <f>AM67</f>
        <v>0</v>
      </c>
      <c r="AO67" s="36">
        <f>IF(ISERROR(销售预测!Y37),"—",销售预测!Y37)</f>
        <v>0</v>
      </c>
      <c r="AP67" s="36">
        <f>IF(ISERROR(销售预测!Z37),"—",销售预测!Z37)</f>
        <v>0</v>
      </c>
      <c r="AQ67" s="36">
        <f>IF(ISERROR(销售预测!AA37),"—",销售预测!AA37)</f>
        <v>0</v>
      </c>
      <c r="AR67" s="36">
        <f>IF(ISERROR(销售预测!AB37),"—",销售预测!AB37)</f>
        <v>0</v>
      </c>
      <c r="AS67" s="36">
        <f>IF(ISERROR(销售预测!AC37),"—",销售预测!AC37)</f>
        <v>0</v>
      </c>
      <c r="AT67" s="36">
        <f>IF(ISERROR(销售预测!AD37),"—",销售预测!AD37)</f>
        <v>0</v>
      </c>
      <c r="AU67" s="36">
        <f>IF(ISERROR(销售预测!AE37),"—",销售预测!AE37)</f>
        <v>0</v>
      </c>
    </row>
    <row r="68" spans="1:47" ht="14.15">
      <c r="B68" s="84"/>
      <c r="C68" s="81" t="s">
        <v>786</v>
      </c>
      <c r="E68" s="71" t="str">
        <f t="shared" ref="E68:AJ68" si="53">IF(ISERROR(E67/E6),"—",E67/E6)</f>
        <v>—</v>
      </c>
      <c r="F68" s="71" t="str">
        <f t="shared" si="53"/>
        <v>—</v>
      </c>
      <c r="G68" s="71" t="str">
        <f t="shared" si="53"/>
        <v>—</v>
      </c>
      <c r="H68" s="71" t="str">
        <f t="shared" si="53"/>
        <v>—</v>
      </c>
      <c r="I68" s="71" t="str">
        <f t="shared" si="53"/>
        <v>—</v>
      </c>
      <c r="J68" s="71" t="str">
        <f t="shared" si="53"/>
        <v>—</v>
      </c>
      <c r="K68" s="71" t="str">
        <f t="shared" si="53"/>
        <v>—</v>
      </c>
      <c r="L68" s="71" t="str">
        <f t="shared" si="53"/>
        <v>—</v>
      </c>
      <c r="M68" s="71" t="str">
        <f t="shared" si="53"/>
        <v>—</v>
      </c>
      <c r="N68" s="71" t="str">
        <f t="shared" si="53"/>
        <v>—</v>
      </c>
      <c r="O68" s="71" t="str">
        <f t="shared" si="53"/>
        <v>—</v>
      </c>
      <c r="P68" s="71" t="str">
        <f t="shared" si="53"/>
        <v>—</v>
      </c>
      <c r="Q68" s="71" t="str">
        <f t="shared" si="53"/>
        <v>—</v>
      </c>
      <c r="R68" s="71" t="str">
        <f t="shared" si="53"/>
        <v>—</v>
      </c>
      <c r="S68" s="71" t="str">
        <f t="shared" si="53"/>
        <v>—</v>
      </c>
      <c r="T68" s="71" t="str">
        <f t="shared" si="53"/>
        <v>—</v>
      </c>
      <c r="U68" s="71" t="str">
        <f t="shared" si="53"/>
        <v>—</v>
      </c>
      <c r="V68" s="71">
        <f t="shared" si="53"/>
        <v>1.9848441872912493E-3</v>
      </c>
      <c r="W68" s="71">
        <f t="shared" si="53"/>
        <v>1.9059191739902719E-3</v>
      </c>
      <c r="X68" s="71">
        <f t="shared" si="53"/>
        <v>2.7179301683731018E-3</v>
      </c>
      <c r="Y68" s="71" t="str">
        <f t="shared" si="53"/>
        <v>—</v>
      </c>
      <c r="Z68" s="71" t="str">
        <f t="shared" si="53"/>
        <v>—</v>
      </c>
      <c r="AA68" s="71" t="str">
        <f t="shared" si="53"/>
        <v>—</v>
      </c>
      <c r="AB68" s="71" t="str">
        <f t="shared" si="53"/>
        <v>—</v>
      </c>
      <c r="AC68" s="71" t="str">
        <f t="shared" si="53"/>
        <v>—</v>
      </c>
      <c r="AD68" s="71" t="str">
        <f t="shared" si="53"/>
        <v>—</v>
      </c>
      <c r="AE68" s="71" t="str">
        <f t="shared" si="53"/>
        <v>—</v>
      </c>
      <c r="AF68" s="71" t="str">
        <f t="shared" si="53"/>
        <v>—</v>
      </c>
      <c r="AG68" s="71" t="str">
        <f t="shared" si="53"/>
        <v>—</v>
      </c>
      <c r="AH68" s="71" t="str">
        <f t="shared" si="53"/>
        <v>—</v>
      </c>
      <c r="AI68" s="71" t="str">
        <f t="shared" si="53"/>
        <v>—</v>
      </c>
      <c r="AJ68" s="71" t="str">
        <f t="shared" si="53"/>
        <v>—</v>
      </c>
      <c r="AK68" s="71" t="str">
        <f t="shared" ref="AK68:AR68" si="54">IF(ISERROR(AK67/AK6),"—",AK67/AK6)</f>
        <v>—</v>
      </c>
      <c r="AL68" s="71" t="str">
        <f>AG68</f>
        <v>—</v>
      </c>
      <c r="AM68" s="71" t="str">
        <f>AL68</f>
        <v>—</v>
      </c>
      <c r="AN68" s="71" t="str">
        <f>AM68</f>
        <v>—</v>
      </c>
      <c r="AO68" s="71" t="str">
        <f t="shared" si="54"/>
        <v>—</v>
      </c>
      <c r="AP68" s="71" t="str">
        <f t="shared" si="54"/>
        <v>—</v>
      </c>
      <c r="AQ68" s="71" t="str">
        <f t="shared" si="54"/>
        <v>—</v>
      </c>
      <c r="AR68" s="71" t="str">
        <f t="shared" si="54"/>
        <v>—</v>
      </c>
      <c r="AS68" s="71" t="str">
        <f>IF(ISERROR(AS67/AS6),"—",AS67/AS6)</f>
        <v>—</v>
      </c>
      <c r="AT68" s="71" t="str">
        <f>IF(ISERROR(AT67/AT6),"—",AT67/AT6)</f>
        <v>—</v>
      </c>
      <c r="AU68" s="71" t="str">
        <f>IF(ISERROR(AU67/AU6),"—",AU67/AU6)</f>
        <v>—</v>
      </c>
    </row>
    <row r="69" spans="1:47" s="260" customFormat="1" ht="13.75">
      <c r="B69" s="498" t="s">
        <v>716</v>
      </c>
      <c r="C69" s="310"/>
      <c r="D69" s="488"/>
      <c r="E69" s="362">
        <f>(财务基础数据!J30)*目录!$D$6</f>
        <v>0</v>
      </c>
      <c r="F69" s="362">
        <f>(财务基础数据!K30)*目录!$D$6</f>
        <v>0</v>
      </c>
      <c r="G69" s="362">
        <f>(财务基础数据!L30)*目录!$D$6</f>
        <v>0</v>
      </c>
      <c r="H69" s="362">
        <f>(财务基础数据!M30)*目录!$D$6</f>
        <v>0</v>
      </c>
      <c r="I69" s="362">
        <f>(财务基础数据!N30)*目录!$D$6</f>
        <v>0</v>
      </c>
      <c r="J69" s="362">
        <f>(财务基础数据!O30)*目录!$D$6</f>
        <v>0</v>
      </c>
      <c r="K69" s="362">
        <f>(财务基础数据!P30)*目录!$D$6</f>
        <v>0</v>
      </c>
      <c r="L69" s="362">
        <f>(财务基础数据!Q30)*目录!$D$6</f>
        <v>0</v>
      </c>
      <c r="M69" s="362">
        <f>(财务基础数据!R30)*目录!$D$6</f>
        <v>0</v>
      </c>
      <c r="N69" s="362">
        <f>(财务基础数据!S30)*目录!$D$6</f>
        <v>0</v>
      </c>
      <c r="O69" s="362">
        <f>(财务基础数据!T30)*目录!$D$6</f>
        <v>0</v>
      </c>
      <c r="P69" s="362">
        <f>(财务基础数据!U30)*目录!$D$6</f>
        <v>0</v>
      </c>
      <c r="Q69" s="362">
        <f>(财务基础数据!V30)*目录!$D$6</f>
        <v>0</v>
      </c>
      <c r="R69" s="362">
        <f>(财务基础数据!W30)*目录!$D$6</f>
        <v>0</v>
      </c>
      <c r="S69" s="362">
        <f>(财务基础数据!X30)*目录!$D$6</f>
        <v>0</v>
      </c>
      <c r="T69" s="362">
        <f>(财务基础数据!Y30)*目录!$D$6</f>
        <v>0</v>
      </c>
      <c r="U69" s="362">
        <f>(财务基础数据!Z30)*目录!$D$6</f>
        <v>0</v>
      </c>
      <c r="V69" s="362">
        <f>(财务基础数据!AA30)*目录!$D$6</f>
        <v>3.8056111299999995</v>
      </c>
      <c r="W69" s="362">
        <f>(财务基础数据!AB30)*目录!$D$6</f>
        <v>22.68840016</v>
      </c>
      <c r="X69" s="362">
        <f>(财务基础数据!AC30)*目录!$D$6</f>
        <v>27.16375657</v>
      </c>
      <c r="Y69" s="362">
        <f>(财务基础数据!AD30)*目录!$D$6</f>
        <v>0</v>
      </c>
      <c r="Z69" s="362">
        <f>(财务基础数据!AE30)*目录!$D$6</f>
        <v>0</v>
      </c>
      <c r="AA69" s="362">
        <f>(财务基础数据!AF30)*目录!$D$6</f>
        <v>0</v>
      </c>
      <c r="AB69" s="362">
        <f>(财务基础数据!AG30)*目录!$D$6</f>
        <v>0</v>
      </c>
      <c r="AC69" s="362">
        <f>(财务基础数据!AH30)*目录!$D$6</f>
        <v>0</v>
      </c>
      <c r="AD69" s="362">
        <f>(财务基础数据!AI30)*目录!$D$6</f>
        <v>0</v>
      </c>
      <c r="AE69" s="362">
        <f>(财务基础数据!AJ30)*目录!$D$6</f>
        <v>0</v>
      </c>
      <c r="AF69" s="362">
        <f>(财务基础数据!AK30)*目录!$D$6</f>
        <v>0</v>
      </c>
      <c r="AG69" s="362">
        <f>(财务基础数据!AL30)*目录!$D$6</f>
        <v>0</v>
      </c>
      <c r="AH69" s="362">
        <f>(财务基础数据!AM30)*目录!$D$6</f>
        <v>0</v>
      </c>
      <c r="AI69" s="362">
        <f>(财务基础数据!AN30)*目录!$D$6</f>
        <v>0</v>
      </c>
      <c r="AJ69" s="362">
        <f>(财务基础数据!AO30)*目录!$D$6</f>
        <v>0</v>
      </c>
      <c r="AK69" s="362">
        <f>(财务基础数据!AP30)*目录!$D$6</f>
        <v>0</v>
      </c>
      <c r="AL69" s="36">
        <f>AG69</f>
        <v>0</v>
      </c>
      <c r="AM69" s="36">
        <f>AL69</f>
        <v>0</v>
      </c>
      <c r="AN69" s="36">
        <f>AM69</f>
        <v>0</v>
      </c>
      <c r="AO69" s="36">
        <f>IF(ISERROR(销售预测!Y38),"—",销售预测!Y38)</f>
        <v>0</v>
      </c>
      <c r="AP69" s="36">
        <f>IF(ISERROR(销售预测!Z38),"—",销售预测!Z38)</f>
        <v>0</v>
      </c>
      <c r="AQ69" s="36">
        <f>IF(ISERROR(销售预测!AA38),"—",销售预测!AA38)</f>
        <v>0</v>
      </c>
      <c r="AR69" s="36">
        <f>IF(ISERROR(销售预测!AB38),"—",销售预测!AB38)</f>
        <v>0</v>
      </c>
      <c r="AS69" s="36">
        <f>IF(ISERROR(销售预测!AC38),"—",销售预测!AC38)</f>
        <v>0</v>
      </c>
      <c r="AT69" s="36">
        <f>IF(ISERROR(销售预测!AD38),"—",销售预测!AD38)</f>
        <v>0</v>
      </c>
      <c r="AU69" s="36">
        <f>IF(ISERROR(销售预测!AE38),"—",销售预测!AE38)</f>
        <v>0</v>
      </c>
    </row>
    <row r="70" spans="1:47" ht="14.15">
      <c r="B70" s="84"/>
      <c r="C70" s="81" t="s">
        <v>786</v>
      </c>
      <c r="E70" s="71" t="str">
        <f t="shared" ref="E70:AJ70" si="55">IF(ISERROR(E69/E6),"—",E69/E6)</f>
        <v>—</v>
      </c>
      <c r="F70" s="71" t="str">
        <f t="shared" si="55"/>
        <v>—</v>
      </c>
      <c r="G70" s="71" t="str">
        <f t="shared" si="55"/>
        <v>—</v>
      </c>
      <c r="H70" s="71" t="str">
        <f t="shared" si="55"/>
        <v>—</v>
      </c>
      <c r="I70" s="71" t="str">
        <f t="shared" si="55"/>
        <v>—</v>
      </c>
      <c r="J70" s="71" t="str">
        <f t="shared" si="55"/>
        <v>—</v>
      </c>
      <c r="K70" s="71" t="str">
        <f t="shared" si="55"/>
        <v>—</v>
      </c>
      <c r="L70" s="71" t="str">
        <f t="shared" si="55"/>
        <v>—</v>
      </c>
      <c r="M70" s="71" t="str">
        <f t="shared" si="55"/>
        <v>—</v>
      </c>
      <c r="N70" s="71" t="str">
        <f t="shared" si="55"/>
        <v>—</v>
      </c>
      <c r="O70" s="71" t="str">
        <f t="shared" si="55"/>
        <v>—</v>
      </c>
      <c r="P70" s="71" t="str">
        <f t="shared" si="55"/>
        <v>—</v>
      </c>
      <c r="Q70" s="71" t="str">
        <f t="shared" si="55"/>
        <v>—</v>
      </c>
      <c r="R70" s="71" t="str">
        <f t="shared" si="55"/>
        <v>—</v>
      </c>
      <c r="S70" s="71" t="str">
        <f t="shared" si="55"/>
        <v>—</v>
      </c>
      <c r="T70" s="71" t="str">
        <f t="shared" si="55"/>
        <v>—</v>
      </c>
      <c r="U70" s="71" t="str">
        <f t="shared" si="55"/>
        <v>—</v>
      </c>
      <c r="V70" s="71">
        <f t="shared" si="55"/>
        <v>1.1292729585548793E-3</v>
      </c>
      <c r="W70" s="71">
        <f t="shared" si="55"/>
        <v>3.5338351329886131E-3</v>
      </c>
      <c r="X70" s="71">
        <f t="shared" si="55"/>
        <v>2.9325339745436803E-3</v>
      </c>
      <c r="Y70" s="71" t="str">
        <f t="shared" si="55"/>
        <v>—</v>
      </c>
      <c r="Z70" s="71" t="str">
        <f t="shared" si="55"/>
        <v>—</v>
      </c>
      <c r="AA70" s="71" t="str">
        <f t="shared" si="55"/>
        <v>—</v>
      </c>
      <c r="AB70" s="71" t="str">
        <f t="shared" si="55"/>
        <v>—</v>
      </c>
      <c r="AC70" s="71" t="str">
        <f t="shared" si="55"/>
        <v>—</v>
      </c>
      <c r="AD70" s="71" t="str">
        <f t="shared" si="55"/>
        <v>—</v>
      </c>
      <c r="AE70" s="71" t="str">
        <f t="shared" si="55"/>
        <v>—</v>
      </c>
      <c r="AF70" s="71" t="str">
        <f t="shared" si="55"/>
        <v>—</v>
      </c>
      <c r="AG70" s="71" t="str">
        <f t="shared" si="55"/>
        <v>—</v>
      </c>
      <c r="AH70" s="71" t="str">
        <f t="shared" si="55"/>
        <v>—</v>
      </c>
      <c r="AI70" s="71" t="str">
        <f t="shared" si="55"/>
        <v>—</v>
      </c>
      <c r="AJ70" s="71" t="str">
        <f t="shared" si="55"/>
        <v>—</v>
      </c>
      <c r="AK70" s="71" t="str">
        <f t="shared" ref="AK70:AR70" si="56">IF(ISERROR(AK69/AK6),"—",AK69/AK6)</f>
        <v>—</v>
      </c>
      <c r="AL70" s="71" t="str">
        <f>AG70</f>
        <v>—</v>
      </c>
      <c r="AM70" s="71" t="str">
        <f>AL70</f>
        <v>—</v>
      </c>
      <c r="AN70" s="71" t="str">
        <f>AM70</f>
        <v>—</v>
      </c>
      <c r="AO70" s="71" t="str">
        <f t="shared" si="56"/>
        <v>—</v>
      </c>
      <c r="AP70" s="71" t="str">
        <f t="shared" si="56"/>
        <v>—</v>
      </c>
      <c r="AQ70" s="71" t="str">
        <f t="shared" si="56"/>
        <v>—</v>
      </c>
      <c r="AR70" s="71" t="str">
        <f t="shared" si="56"/>
        <v>—</v>
      </c>
      <c r="AS70" s="71" t="str">
        <f>IF(ISERROR(AS69/AS6),"—",AS69/AS6)</f>
        <v>—</v>
      </c>
      <c r="AT70" s="71" t="str">
        <f>IF(ISERROR(AT69/AT6),"—",AT69/AT6)</f>
        <v>—</v>
      </c>
      <c r="AU70" s="71" t="str">
        <f>IF(ISERROR(AU69/AU6),"—",AU69/AU6)</f>
        <v>—</v>
      </c>
    </row>
    <row r="71" spans="1:47" s="260" customFormat="1" ht="14.15">
      <c r="A71" s="338"/>
      <c r="B71" s="498" t="s">
        <v>717</v>
      </c>
      <c r="C71" s="480"/>
      <c r="D71" s="499"/>
      <c r="E71" s="463">
        <f>(财务基础数据!J29-财务基础数据!J30)*目录!$D$6</f>
        <v>0</v>
      </c>
      <c r="F71" s="463">
        <f>(财务基础数据!K29-财务基础数据!K30)*目录!$D$6</f>
        <v>0</v>
      </c>
      <c r="G71" s="463">
        <f>(财务基础数据!L29-财务基础数据!L30)*目录!$D$6</f>
        <v>0</v>
      </c>
      <c r="H71" s="463">
        <f>(财务基础数据!M29-财务基础数据!M30)*目录!$D$6</f>
        <v>0</v>
      </c>
      <c r="I71" s="463">
        <f>(财务基础数据!N29-财务基础数据!N30)*目录!$D$6</f>
        <v>0</v>
      </c>
      <c r="J71" s="463">
        <f>(财务基础数据!O29-财务基础数据!O30)*目录!$D$6</f>
        <v>0</v>
      </c>
      <c r="K71" s="463">
        <f>(财务基础数据!P29-财务基础数据!P30)*目录!$D$6</f>
        <v>0</v>
      </c>
      <c r="L71" s="463">
        <f>(财务基础数据!Q29-财务基础数据!Q30)*目录!$D$6</f>
        <v>0</v>
      </c>
      <c r="M71" s="463">
        <f>(财务基础数据!R29-财务基础数据!R30)*目录!$D$6</f>
        <v>0</v>
      </c>
      <c r="N71" s="463">
        <f>(财务基础数据!S29-财务基础数据!S30)*目录!$D$6</f>
        <v>0</v>
      </c>
      <c r="O71" s="463">
        <f>(财务基础数据!T29-财务基础数据!T30)*目录!$D$6</f>
        <v>0</v>
      </c>
      <c r="P71" s="463">
        <f>(财务基础数据!U29-财务基础数据!U30)*目录!$D$6</f>
        <v>0</v>
      </c>
      <c r="Q71" s="463">
        <f>(财务基础数据!V29-财务基础数据!V30)*目录!$D$6</f>
        <v>0</v>
      </c>
      <c r="R71" s="463">
        <f>(财务基础数据!W29-财务基础数据!W30)*目录!$D$6</f>
        <v>0</v>
      </c>
      <c r="S71" s="463">
        <f>(财务基础数据!X29-财务基础数据!X30)*目录!$D$6</f>
        <v>0</v>
      </c>
      <c r="T71" s="463">
        <f>(财务基础数据!Y29-财务基础数据!Y30)*目录!$D$6</f>
        <v>0</v>
      </c>
      <c r="U71" s="463">
        <f>(财务基础数据!Z29-财务基础数据!Z30)*目录!$D$6</f>
        <v>0</v>
      </c>
      <c r="V71" s="463">
        <f>(财务基础数据!AA29-财务基础数据!AA30)*目录!$D$6</f>
        <v>2.8832456900000003</v>
      </c>
      <c r="W71" s="463">
        <f>(财务基础数据!AB29-财务基础数据!AB30)*目录!$D$6</f>
        <v>-10.451763399999999</v>
      </c>
      <c r="X71" s="463">
        <f>(财务基础数据!AC29-财务基础数据!AC30)*目录!$D$6</f>
        <v>-1.9878526900000013</v>
      </c>
      <c r="Y71" s="463">
        <f>(财务基础数据!AD29-财务基础数据!AD30)*目录!$D$6</f>
        <v>0</v>
      </c>
      <c r="Z71" s="463">
        <f>(财务基础数据!AE29-财务基础数据!AE30)*目录!$D$6</f>
        <v>0</v>
      </c>
      <c r="AA71" s="463">
        <f>(财务基础数据!AF29-财务基础数据!AF30)*目录!$D$6</f>
        <v>0</v>
      </c>
      <c r="AB71" s="463">
        <f>(财务基础数据!AG29-财务基础数据!AG30)*目录!$D$6</f>
        <v>0</v>
      </c>
      <c r="AC71" s="463">
        <f>(财务基础数据!AH29-财务基础数据!AH30)*目录!$D$6</f>
        <v>0</v>
      </c>
      <c r="AD71" s="463">
        <f>(财务基础数据!AI29-财务基础数据!AI30)*目录!$D$6</f>
        <v>0</v>
      </c>
      <c r="AE71" s="463">
        <f>(财务基础数据!AJ29-财务基础数据!AJ30)*目录!$D$6</f>
        <v>0</v>
      </c>
      <c r="AF71" s="463">
        <f>(财务基础数据!AK29-财务基础数据!AK30)*目录!$D$6</f>
        <v>0</v>
      </c>
      <c r="AG71" s="463">
        <f>(财务基础数据!AL29-财务基础数据!AL30)*目录!$D$6</f>
        <v>0</v>
      </c>
      <c r="AH71" s="463">
        <f>(财务基础数据!AM29-财务基础数据!AM30)*目录!$D$6</f>
        <v>0</v>
      </c>
      <c r="AI71" s="463">
        <f>(财务基础数据!AN29-财务基础数据!AN30)*目录!$D$6</f>
        <v>0</v>
      </c>
      <c r="AJ71" s="463">
        <f>(财务基础数据!AO29-财务基础数据!AO30)*目录!$D$6</f>
        <v>0</v>
      </c>
      <c r="AK71" s="463">
        <f>(财务基础数据!AP29-财务基础数据!AP30)*目录!$D$6</f>
        <v>0</v>
      </c>
      <c r="AL71" s="463">
        <f>AG71</f>
        <v>0</v>
      </c>
      <c r="AM71" s="36">
        <f>AL71</f>
        <v>0</v>
      </c>
      <c r="AN71" s="36">
        <f>AM71</f>
        <v>0</v>
      </c>
      <c r="AO71" s="36">
        <f>IF(ISERROR(销售预测!Y39),"—",销售预测!Y39)</f>
        <v>0</v>
      </c>
      <c r="AP71" s="36">
        <f>IF(ISERROR(销售预测!Z39),"—",销售预测!Z39)</f>
        <v>0</v>
      </c>
      <c r="AQ71" s="36">
        <f>IF(ISERROR(销售预测!AA39),"—",销售预测!AA39)</f>
        <v>0</v>
      </c>
      <c r="AR71" s="36">
        <f>IF(ISERROR(销售预测!AB39),"—",销售预测!AB39)</f>
        <v>0</v>
      </c>
      <c r="AS71" s="36">
        <f>IF(ISERROR(销售预测!AC39),"—",销售预测!AC39)</f>
        <v>0</v>
      </c>
      <c r="AT71" s="36">
        <f>IF(ISERROR(销售预测!AD39),"—",销售预测!AD39)</f>
        <v>0</v>
      </c>
      <c r="AU71" s="36">
        <f>IF(ISERROR(销售预测!AE39),"—",销售预测!AE39)</f>
        <v>0</v>
      </c>
    </row>
    <row r="72" spans="1:47" ht="14.15">
      <c r="B72" s="39"/>
      <c r="C72" s="81" t="s">
        <v>791</v>
      </c>
      <c r="D72" s="124"/>
      <c r="E72" s="71" t="str">
        <f t="shared" ref="E72:AF72" si="57">IF(ISERROR(E71/E74),"—",E71/E74)</f>
        <v>—</v>
      </c>
      <c r="F72" s="71" t="str">
        <f t="shared" si="57"/>
        <v>—</v>
      </c>
      <c r="G72" s="71" t="str">
        <f t="shared" si="57"/>
        <v>—</v>
      </c>
      <c r="H72" s="71" t="str">
        <f t="shared" si="57"/>
        <v>—</v>
      </c>
      <c r="I72" s="71" t="str">
        <f t="shared" si="57"/>
        <v>—</v>
      </c>
      <c r="J72" s="71" t="str">
        <f t="shared" si="57"/>
        <v>—</v>
      </c>
      <c r="K72" s="71" t="str">
        <f t="shared" si="57"/>
        <v>—</v>
      </c>
      <c r="L72" s="71" t="str">
        <f t="shared" si="57"/>
        <v>—</v>
      </c>
      <c r="M72" s="71" t="str">
        <f t="shared" si="57"/>
        <v>—</v>
      </c>
      <c r="N72" s="71" t="str">
        <f t="shared" si="57"/>
        <v>—</v>
      </c>
      <c r="O72" s="71" t="str">
        <f t="shared" si="57"/>
        <v>—</v>
      </c>
      <c r="P72" s="71" t="str">
        <f t="shared" si="57"/>
        <v>—</v>
      </c>
      <c r="Q72" s="71" t="str">
        <f t="shared" si="57"/>
        <v>—</v>
      </c>
      <c r="R72" s="71" t="str">
        <f t="shared" si="57"/>
        <v>—</v>
      </c>
      <c r="S72" s="71" t="str">
        <f t="shared" si="57"/>
        <v>—</v>
      </c>
      <c r="T72" s="71" t="str">
        <f t="shared" si="57"/>
        <v>—</v>
      </c>
      <c r="U72" s="71" t="str">
        <f t="shared" si="57"/>
        <v>—</v>
      </c>
      <c r="V72" s="71">
        <f t="shared" si="57"/>
        <v>1.9283965702646508E-3</v>
      </c>
      <c r="W72" s="71">
        <f t="shared" si="57"/>
        <v>-3.8595523156395879E-3</v>
      </c>
      <c r="X72" s="71">
        <f t="shared" si="57"/>
        <v>-5.3348568575881214E-4</v>
      </c>
      <c r="Y72" s="71" t="str">
        <f t="shared" si="57"/>
        <v>—</v>
      </c>
      <c r="Z72" s="71" t="str">
        <f t="shared" si="57"/>
        <v>—</v>
      </c>
      <c r="AA72" s="71" t="str">
        <f t="shared" si="57"/>
        <v>—</v>
      </c>
      <c r="AB72" s="71" t="str">
        <f t="shared" si="57"/>
        <v>—</v>
      </c>
      <c r="AC72" s="71" t="str">
        <f t="shared" si="57"/>
        <v>—</v>
      </c>
      <c r="AD72" s="71" t="str">
        <f t="shared" si="57"/>
        <v>—</v>
      </c>
      <c r="AE72" s="71" t="str">
        <f t="shared" si="57"/>
        <v>—</v>
      </c>
      <c r="AF72" s="71" t="str">
        <f t="shared" si="57"/>
        <v>—</v>
      </c>
      <c r="AG72" s="71" t="str">
        <f t="shared" ref="AG72:AO72" si="58">IF(ISERROR(AG71/AG74),"—",AG71/AG74)</f>
        <v>—</v>
      </c>
      <c r="AH72" s="71" t="str">
        <f t="shared" si="58"/>
        <v>—</v>
      </c>
      <c r="AI72" s="71" t="str">
        <f t="shared" si="58"/>
        <v>—</v>
      </c>
      <c r="AJ72" s="71" t="str">
        <f t="shared" si="58"/>
        <v>—</v>
      </c>
      <c r="AK72" s="71" t="str">
        <f t="shared" si="58"/>
        <v>—</v>
      </c>
      <c r="AL72" s="71" t="str">
        <f>AG72</f>
        <v>—</v>
      </c>
      <c r="AM72" s="71" t="str">
        <f>AL72</f>
        <v>—</v>
      </c>
      <c r="AN72" s="71" t="str">
        <f>AM72</f>
        <v>—</v>
      </c>
      <c r="AO72" s="71" t="str">
        <f t="shared" si="58"/>
        <v>—</v>
      </c>
      <c r="AP72" s="71" t="str">
        <f t="shared" ref="AP72:AU72" si="59">IF(ISERROR(AP71/AP74),"—",AP71/AP74)</f>
        <v>—</v>
      </c>
      <c r="AQ72" s="71" t="str">
        <f t="shared" si="59"/>
        <v>—</v>
      </c>
      <c r="AR72" s="71" t="str">
        <f t="shared" si="59"/>
        <v>—</v>
      </c>
      <c r="AS72" s="71" t="str">
        <f t="shared" si="59"/>
        <v>—</v>
      </c>
      <c r="AT72" s="71" t="str">
        <f t="shared" si="59"/>
        <v>—</v>
      </c>
      <c r="AU72" s="71" t="str">
        <f t="shared" si="59"/>
        <v>—</v>
      </c>
    </row>
    <row r="73" spans="1:47" ht="13.75">
      <c r="A73" s="68"/>
      <c r="B73" s="51"/>
      <c r="C73" s="75"/>
      <c r="D73" s="112"/>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row>
    <row r="74" spans="1:47" s="68" customFormat="1" ht="14.15">
      <c r="A74" s="2"/>
      <c r="B74" s="42" t="s">
        <v>793</v>
      </c>
      <c r="C74" s="81"/>
      <c r="D74" s="288"/>
      <c r="E74" s="86">
        <f t="shared" ref="E74:AO74" si="60">IF(ISERROR(E63+E71),"—",E63+E71)</f>
        <v>0</v>
      </c>
      <c r="F74" s="86">
        <f t="shared" si="60"/>
        <v>0</v>
      </c>
      <c r="G74" s="86">
        <f t="shared" si="60"/>
        <v>0</v>
      </c>
      <c r="H74" s="86">
        <f t="shared" si="60"/>
        <v>0</v>
      </c>
      <c r="I74" s="86">
        <f t="shared" si="60"/>
        <v>0</v>
      </c>
      <c r="J74" s="86">
        <f t="shared" si="60"/>
        <v>0</v>
      </c>
      <c r="K74" s="86">
        <f t="shared" si="60"/>
        <v>0</v>
      </c>
      <c r="L74" s="86">
        <f t="shared" si="60"/>
        <v>0</v>
      </c>
      <c r="M74" s="86">
        <f t="shared" si="60"/>
        <v>0</v>
      </c>
      <c r="N74" s="86">
        <f t="shared" si="60"/>
        <v>0</v>
      </c>
      <c r="O74" s="86">
        <f t="shared" si="60"/>
        <v>0</v>
      </c>
      <c r="P74" s="86">
        <f t="shared" si="60"/>
        <v>0</v>
      </c>
      <c r="Q74" s="86">
        <f t="shared" si="60"/>
        <v>0</v>
      </c>
      <c r="R74" s="86">
        <f t="shared" si="60"/>
        <v>0</v>
      </c>
      <c r="S74" s="86">
        <f t="shared" si="60"/>
        <v>0</v>
      </c>
      <c r="T74" s="86">
        <f t="shared" si="60"/>
        <v>0</v>
      </c>
      <c r="U74" s="86">
        <f t="shared" si="60"/>
        <v>0</v>
      </c>
      <c r="V74" s="86">
        <f t="shared" si="60"/>
        <v>1495.1518450399999</v>
      </c>
      <c r="W74" s="86">
        <f t="shared" si="60"/>
        <v>2708.0248032</v>
      </c>
      <c r="X74" s="86">
        <f t="shared" si="60"/>
        <v>3726.15937609</v>
      </c>
      <c r="Y74" s="86">
        <f t="shared" si="60"/>
        <v>0</v>
      </c>
      <c r="Z74" s="86">
        <f t="shared" si="60"/>
        <v>0</v>
      </c>
      <c r="AA74" s="86">
        <f t="shared" si="60"/>
        <v>0</v>
      </c>
      <c r="AB74" s="86">
        <f t="shared" si="60"/>
        <v>0</v>
      </c>
      <c r="AC74" s="86">
        <f t="shared" si="60"/>
        <v>0</v>
      </c>
      <c r="AD74" s="86">
        <f t="shared" si="60"/>
        <v>0</v>
      </c>
      <c r="AE74" s="86">
        <f t="shared" si="60"/>
        <v>0</v>
      </c>
      <c r="AF74" s="86">
        <f t="shared" si="60"/>
        <v>0</v>
      </c>
      <c r="AG74" s="86">
        <f t="shared" si="60"/>
        <v>0</v>
      </c>
      <c r="AH74" s="86">
        <f t="shared" si="60"/>
        <v>0</v>
      </c>
      <c r="AI74" s="86">
        <f t="shared" si="60"/>
        <v>0</v>
      </c>
      <c r="AJ74" s="86">
        <f t="shared" si="60"/>
        <v>0</v>
      </c>
      <c r="AK74" s="86">
        <f t="shared" si="60"/>
        <v>0</v>
      </c>
      <c r="AL74" s="86" t="str">
        <f>IF(ISERROR(AL63+AL71),"—",AL63+AL71)</f>
        <v>—</v>
      </c>
      <c r="AM74" s="86" t="str">
        <f t="shared" si="60"/>
        <v>—</v>
      </c>
      <c r="AN74" s="86" t="str">
        <f t="shared" si="60"/>
        <v>—</v>
      </c>
      <c r="AO74" s="86">
        <f t="shared" si="60"/>
        <v>0</v>
      </c>
      <c r="AP74" s="86">
        <f t="shared" ref="AP74:AU74" si="61">IF(ISERROR(AP63+AP71),"—",AP63+AP71)</f>
        <v>0</v>
      </c>
      <c r="AQ74" s="86">
        <f t="shared" si="61"/>
        <v>0</v>
      </c>
      <c r="AR74" s="86">
        <f t="shared" si="61"/>
        <v>0</v>
      </c>
      <c r="AS74" s="86">
        <f t="shared" si="61"/>
        <v>0</v>
      </c>
      <c r="AT74" s="86">
        <f t="shared" si="61"/>
        <v>0</v>
      </c>
      <c r="AU74" s="86">
        <f t="shared" si="61"/>
        <v>0</v>
      </c>
    </row>
    <row r="75" spans="1:47" s="68" customFormat="1" ht="14.15">
      <c r="A75" s="2"/>
      <c r="B75" s="42"/>
      <c r="C75" s="81" t="s">
        <v>786</v>
      </c>
      <c r="D75" s="288"/>
      <c r="E75" s="71" t="str">
        <f t="shared" ref="E75:AJ75" si="62">IF(ISERROR(E74/E6),"—",E74/E6)</f>
        <v>—</v>
      </c>
      <c r="F75" s="71" t="str">
        <f t="shared" si="62"/>
        <v>—</v>
      </c>
      <c r="G75" s="71" t="str">
        <f t="shared" si="62"/>
        <v>—</v>
      </c>
      <c r="H75" s="71" t="str">
        <f t="shared" si="62"/>
        <v>—</v>
      </c>
      <c r="I75" s="71" t="str">
        <f t="shared" si="62"/>
        <v>—</v>
      </c>
      <c r="J75" s="71" t="str">
        <f t="shared" si="62"/>
        <v>—</v>
      </c>
      <c r="K75" s="71" t="str">
        <f t="shared" si="62"/>
        <v>—</v>
      </c>
      <c r="L75" s="71" t="str">
        <f t="shared" si="62"/>
        <v>—</v>
      </c>
      <c r="M75" s="71" t="str">
        <f t="shared" si="62"/>
        <v>—</v>
      </c>
      <c r="N75" s="71" t="str">
        <f t="shared" si="62"/>
        <v>—</v>
      </c>
      <c r="O75" s="71" t="str">
        <f t="shared" si="62"/>
        <v>—</v>
      </c>
      <c r="P75" s="71" t="str">
        <f t="shared" si="62"/>
        <v>—</v>
      </c>
      <c r="Q75" s="71" t="str">
        <f t="shared" si="62"/>
        <v>—</v>
      </c>
      <c r="R75" s="71" t="str">
        <f t="shared" si="62"/>
        <v>—</v>
      </c>
      <c r="S75" s="71" t="str">
        <f t="shared" si="62"/>
        <v>—</v>
      </c>
      <c r="T75" s="71" t="str">
        <f t="shared" si="62"/>
        <v>—</v>
      </c>
      <c r="U75" s="71" t="str">
        <f t="shared" si="62"/>
        <v>—</v>
      </c>
      <c r="V75" s="71">
        <f t="shared" si="62"/>
        <v>0.44366975233675737</v>
      </c>
      <c r="W75" s="71">
        <f t="shared" si="62"/>
        <v>0.42178880498697685</v>
      </c>
      <c r="X75" s="71">
        <f t="shared" si="62"/>
        <v>0.40226722459353892</v>
      </c>
      <c r="Y75" s="71" t="str">
        <f t="shared" si="62"/>
        <v>—</v>
      </c>
      <c r="Z75" s="71" t="str">
        <f t="shared" si="62"/>
        <v>—</v>
      </c>
      <c r="AA75" s="71" t="str">
        <f t="shared" si="62"/>
        <v>—</v>
      </c>
      <c r="AB75" s="71" t="str">
        <f t="shared" si="62"/>
        <v>—</v>
      </c>
      <c r="AC75" s="71" t="str">
        <f t="shared" si="62"/>
        <v>—</v>
      </c>
      <c r="AD75" s="71" t="str">
        <f t="shared" si="62"/>
        <v>—</v>
      </c>
      <c r="AE75" s="71" t="str">
        <f t="shared" si="62"/>
        <v>—</v>
      </c>
      <c r="AF75" s="71" t="str">
        <f t="shared" si="62"/>
        <v>—</v>
      </c>
      <c r="AG75" s="71" t="str">
        <f t="shared" si="62"/>
        <v>—</v>
      </c>
      <c r="AH75" s="71" t="str">
        <f t="shared" si="62"/>
        <v>—</v>
      </c>
      <c r="AI75" s="71" t="str">
        <f t="shared" si="62"/>
        <v>—</v>
      </c>
      <c r="AJ75" s="71" t="str">
        <f t="shared" si="62"/>
        <v>—</v>
      </c>
      <c r="AK75" s="71" t="str">
        <f t="shared" ref="AK75:AR75" si="63">IF(ISERROR(AK74/AK6),"—",AK74/AK6)</f>
        <v>—</v>
      </c>
      <c r="AL75" s="71" t="str">
        <f t="shared" si="63"/>
        <v>—</v>
      </c>
      <c r="AM75" s="71" t="str">
        <f t="shared" si="63"/>
        <v>—</v>
      </c>
      <c r="AN75" s="71" t="str">
        <f t="shared" si="63"/>
        <v>—</v>
      </c>
      <c r="AO75" s="71" t="str">
        <f t="shared" si="63"/>
        <v>—</v>
      </c>
      <c r="AP75" s="71" t="str">
        <f t="shared" si="63"/>
        <v>—</v>
      </c>
      <c r="AQ75" s="71" t="str">
        <f t="shared" si="63"/>
        <v>—</v>
      </c>
      <c r="AR75" s="71" t="str">
        <f t="shared" si="63"/>
        <v>—</v>
      </c>
      <c r="AS75" s="71" t="str">
        <f>IF(ISERROR(AS74/AS6),"—",AS74/AS6)</f>
        <v>—</v>
      </c>
      <c r="AT75" s="71" t="str">
        <f>IF(ISERROR(AT74/AT6),"—",AT74/AT6)</f>
        <v>—</v>
      </c>
      <c r="AU75" s="71" t="str">
        <f>IF(ISERROR(AU74/AU6),"—",AU74/AU6)</f>
        <v>—</v>
      </c>
    </row>
    <row r="76" spans="1:47" s="68" customFormat="1" ht="14.15">
      <c r="A76" s="2"/>
      <c r="B76" s="272" t="s">
        <v>794</v>
      </c>
      <c r="C76" s="82"/>
      <c r="D76" s="288"/>
      <c r="E76" s="36">
        <f>(财务基础数据!J34-财务基础数据!J35)*目录!$D$6</f>
        <v>0</v>
      </c>
      <c r="F76" s="36">
        <f>(财务基础数据!K34-财务基础数据!K35)*目录!$D$6</f>
        <v>0</v>
      </c>
      <c r="G76" s="36">
        <f>(财务基础数据!L34-财务基础数据!L35)*目录!$D$6</f>
        <v>0</v>
      </c>
      <c r="H76" s="36">
        <f>(财务基础数据!M34-财务基础数据!M35)*目录!$D$6</f>
        <v>0</v>
      </c>
      <c r="I76" s="36">
        <f>(财务基础数据!N34-财务基础数据!N35)*目录!$D$6</f>
        <v>0</v>
      </c>
      <c r="J76" s="36">
        <f>(财务基础数据!O34-财务基础数据!O35)*目录!$D$6</f>
        <v>0</v>
      </c>
      <c r="K76" s="36">
        <f>(财务基础数据!P34-财务基础数据!P35)*目录!$D$6</f>
        <v>0</v>
      </c>
      <c r="L76" s="36">
        <f>(财务基础数据!Q34-财务基础数据!Q35)*目录!$D$6</f>
        <v>0</v>
      </c>
      <c r="M76" s="36">
        <f>(财务基础数据!R34-财务基础数据!R35)*目录!$D$6</f>
        <v>0</v>
      </c>
      <c r="N76" s="36">
        <f>(财务基础数据!S34-财务基础数据!S35)*目录!$D$6</f>
        <v>0</v>
      </c>
      <c r="O76" s="36">
        <f>(财务基础数据!T34-财务基础数据!T35)*目录!$D$6</f>
        <v>0</v>
      </c>
      <c r="P76" s="36">
        <f>(财务基础数据!U34-财务基础数据!U35)*目录!$D$6</f>
        <v>0</v>
      </c>
      <c r="Q76" s="36">
        <f>(财务基础数据!V34-财务基础数据!V35)*目录!$D$6</f>
        <v>0</v>
      </c>
      <c r="R76" s="36">
        <f>(财务基础数据!W34-财务基础数据!W35)*目录!$D$6</f>
        <v>0</v>
      </c>
      <c r="S76" s="36">
        <f>(财务基础数据!X34-财务基础数据!X35)*目录!$D$6</f>
        <v>0</v>
      </c>
      <c r="T76" s="36">
        <f>(财务基础数据!Y34-财务基础数据!Y35)*目录!$D$6</f>
        <v>0</v>
      </c>
      <c r="U76" s="36">
        <f>(财务基础数据!Z34-财务基础数据!Z35)*目录!$D$6</f>
        <v>0</v>
      </c>
      <c r="V76" s="36">
        <f>(财务基础数据!AA34-财务基础数据!AA35)*目录!$D$6</f>
        <v>383.93731226999995</v>
      </c>
      <c r="W76" s="36">
        <f>(财务基础数据!AB34-财务基础数据!AB35)*目录!$D$6</f>
        <v>672.27381200999992</v>
      </c>
      <c r="X76" s="36">
        <f>(财务基础数据!AC34-财务基础数据!AC35)*目录!$D$6</f>
        <v>908.19904876999999</v>
      </c>
      <c r="Y76" s="36">
        <f>(财务基础数据!AD34-财务基础数据!AD35)*目录!$D$6</f>
        <v>0</v>
      </c>
      <c r="Z76" s="36">
        <f>(财务基础数据!AE34-财务基础数据!AE35)*目录!$D$6</f>
        <v>0</v>
      </c>
      <c r="AA76" s="36">
        <f>(财务基础数据!AF34-财务基础数据!AF35)*目录!$D$6</f>
        <v>0</v>
      </c>
      <c r="AB76" s="36">
        <f>(财务基础数据!AG34-财务基础数据!AG35)*目录!$D$6</f>
        <v>0</v>
      </c>
      <c r="AC76" s="36">
        <f>(财务基础数据!AH34-财务基础数据!AH35)*目录!$D$6</f>
        <v>0</v>
      </c>
      <c r="AD76" s="36">
        <f>(财务基础数据!AI34-财务基础数据!AI35)*目录!$D$6</f>
        <v>0</v>
      </c>
      <c r="AE76" s="36">
        <f>(财务基础数据!AJ34-财务基础数据!AJ35)*目录!$D$6</f>
        <v>0</v>
      </c>
      <c r="AF76" s="36">
        <f>(财务基础数据!AK34-财务基础数据!AK35)*目录!$D$6</f>
        <v>0</v>
      </c>
      <c r="AG76" s="36">
        <f>(财务基础数据!AL34-财务基础数据!AL35)*目录!$D$6</f>
        <v>0</v>
      </c>
      <c r="AH76" s="36">
        <f>(财务基础数据!AM34-财务基础数据!AM35)*目录!$D$6</f>
        <v>0</v>
      </c>
      <c r="AI76" s="36">
        <f>(财务基础数据!AN34-财务基础数据!AN35)*目录!$D$6</f>
        <v>0</v>
      </c>
      <c r="AJ76" s="36">
        <f>(财务基础数据!AO34-财务基础数据!AO35)*目录!$D$6</f>
        <v>0</v>
      </c>
      <c r="AK76" s="36">
        <f>(财务基础数据!AP34-财务基础数据!AP35)*目录!$D$6</f>
        <v>0</v>
      </c>
      <c r="AL76" s="36" t="str">
        <f>IF(ISERROR(销售预测!V42),"—",销售预测!V42)</f>
        <v>—</v>
      </c>
      <c r="AM76" s="36" t="str">
        <f>IF(ISERROR(销售预测!W42),"—",销售预测!W42)</f>
        <v>—</v>
      </c>
      <c r="AN76" s="36" t="str">
        <f>IF(ISERROR(销售预测!X42),"—",销售预测!X42)</f>
        <v>—</v>
      </c>
      <c r="AO76" s="36">
        <f>IF(ISERROR(销售预测!Y42),"—",销售预测!Y42)</f>
        <v>0</v>
      </c>
      <c r="AP76" s="36">
        <f>IF(ISERROR(销售预测!Z42),"—",销售预测!Z42)</f>
        <v>0</v>
      </c>
      <c r="AQ76" s="36">
        <f>IF(ISERROR(销售预测!AA42),"—",销售预测!AA42)</f>
        <v>0</v>
      </c>
      <c r="AR76" s="36">
        <f>IF(ISERROR(销售预测!AB42),"—",销售预测!AB42)</f>
        <v>0</v>
      </c>
      <c r="AS76" s="36">
        <f>IF(ISERROR(销售预测!AC42),"—",销售预测!AC42)</f>
        <v>0</v>
      </c>
      <c r="AT76" s="36">
        <f>IF(ISERROR(销售预测!AD42),"—",销售预测!AD42)</f>
        <v>0</v>
      </c>
      <c r="AU76" s="36">
        <f>IF(ISERROR(销售预测!AE42),"—",销售预测!AE42)</f>
        <v>0</v>
      </c>
    </row>
    <row r="77" spans="1:47" s="68" customFormat="1" ht="14.15">
      <c r="A77" s="2"/>
      <c r="B77" s="82"/>
      <c r="C77" s="269" t="s">
        <v>791</v>
      </c>
      <c r="D77" s="288"/>
      <c r="E77" s="85" t="str">
        <f t="shared" ref="E77:AF77" si="64">IF(ISERROR(E76/E74),"—",E76/E74)</f>
        <v>—</v>
      </c>
      <c r="F77" s="85" t="str">
        <f t="shared" si="64"/>
        <v>—</v>
      </c>
      <c r="G77" s="85" t="str">
        <f t="shared" si="64"/>
        <v>—</v>
      </c>
      <c r="H77" s="85" t="str">
        <f t="shared" si="64"/>
        <v>—</v>
      </c>
      <c r="I77" s="85" t="str">
        <f t="shared" si="64"/>
        <v>—</v>
      </c>
      <c r="J77" s="85" t="str">
        <f t="shared" si="64"/>
        <v>—</v>
      </c>
      <c r="K77" s="85" t="str">
        <f t="shared" si="64"/>
        <v>—</v>
      </c>
      <c r="L77" s="85" t="str">
        <f t="shared" si="64"/>
        <v>—</v>
      </c>
      <c r="M77" s="85" t="str">
        <f t="shared" si="64"/>
        <v>—</v>
      </c>
      <c r="N77" s="85" t="str">
        <f t="shared" si="64"/>
        <v>—</v>
      </c>
      <c r="O77" s="85" t="str">
        <f t="shared" si="64"/>
        <v>—</v>
      </c>
      <c r="P77" s="85" t="str">
        <f t="shared" si="64"/>
        <v>—</v>
      </c>
      <c r="Q77" s="85" t="str">
        <f t="shared" si="64"/>
        <v>—</v>
      </c>
      <c r="R77" s="85" t="str">
        <f t="shared" si="64"/>
        <v>—</v>
      </c>
      <c r="S77" s="85" t="str">
        <f t="shared" si="64"/>
        <v>—</v>
      </c>
      <c r="T77" s="85" t="str">
        <f t="shared" si="64"/>
        <v>—</v>
      </c>
      <c r="U77" s="85" t="str">
        <f t="shared" si="64"/>
        <v>—</v>
      </c>
      <c r="V77" s="85">
        <f t="shared" si="64"/>
        <v>0.25678817408657811</v>
      </c>
      <c r="W77" s="85">
        <f t="shared" si="64"/>
        <v>0.24825245736877743</v>
      </c>
      <c r="X77" s="85">
        <f t="shared" si="64"/>
        <v>0.24373596432770075</v>
      </c>
      <c r="Y77" s="85" t="str">
        <f t="shared" si="64"/>
        <v>—</v>
      </c>
      <c r="Z77" s="85" t="str">
        <f t="shared" si="64"/>
        <v>—</v>
      </c>
      <c r="AA77" s="85" t="str">
        <f t="shared" si="64"/>
        <v>—</v>
      </c>
      <c r="AB77" s="85" t="str">
        <f t="shared" si="64"/>
        <v>—</v>
      </c>
      <c r="AC77" s="85" t="str">
        <f t="shared" si="64"/>
        <v>—</v>
      </c>
      <c r="AD77" s="85" t="str">
        <f t="shared" si="64"/>
        <v>—</v>
      </c>
      <c r="AE77" s="85" t="str">
        <f t="shared" si="64"/>
        <v>—</v>
      </c>
      <c r="AF77" s="85" t="str">
        <f t="shared" si="64"/>
        <v>—</v>
      </c>
      <c r="AG77" s="85" t="str">
        <f t="shared" ref="AG77:AO77" si="65">IF(ISERROR(AG76/AG74),"—",AG76/AG74)</f>
        <v>—</v>
      </c>
      <c r="AH77" s="85" t="str">
        <f t="shared" si="65"/>
        <v>—</v>
      </c>
      <c r="AI77" s="85" t="str">
        <f t="shared" si="65"/>
        <v>—</v>
      </c>
      <c r="AJ77" s="85" t="str">
        <f t="shared" si="65"/>
        <v>—</v>
      </c>
      <c r="AK77" s="85" t="str">
        <f t="shared" si="65"/>
        <v>—</v>
      </c>
      <c r="AL77" s="85" t="str">
        <f t="shared" si="65"/>
        <v>—</v>
      </c>
      <c r="AM77" s="85" t="str">
        <f t="shared" si="65"/>
        <v>—</v>
      </c>
      <c r="AN77" s="85" t="str">
        <f t="shared" si="65"/>
        <v>—</v>
      </c>
      <c r="AO77" s="85" t="str">
        <f t="shared" si="65"/>
        <v>—</v>
      </c>
      <c r="AP77" s="85" t="str">
        <f t="shared" ref="AP77:AU77" si="66">IF(ISERROR(AP76/AP74),"—",AP76/AP74)</f>
        <v>—</v>
      </c>
      <c r="AQ77" s="85" t="str">
        <f t="shared" si="66"/>
        <v>—</v>
      </c>
      <c r="AR77" s="85" t="str">
        <f t="shared" si="66"/>
        <v>—</v>
      </c>
      <c r="AS77" s="85" t="str">
        <f t="shared" si="66"/>
        <v>—</v>
      </c>
      <c r="AT77" s="85" t="str">
        <f t="shared" si="66"/>
        <v>—</v>
      </c>
      <c r="AU77" s="85" t="str">
        <f t="shared" si="66"/>
        <v>—</v>
      </c>
    </row>
    <row r="78" spans="1:47" ht="14.15">
      <c r="A78" s="68"/>
      <c r="B78" s="559" t="s">
        <v>1034</v>
      </c>
      <c r="C78" s="70"/>
      <c r="D78" s="113"/>
      <c r="E78" s="36">
        <f t="shared" ref="E78:AK78" si="67">E74-E76</f>
        <v>0</v>
      </c>
      <c r="F78" s="36">
        <f t="shared" si="67"/>
        <v>0</v>
      </c>
      <c r="G78" s="36">
        <f t="shared" si="67"/>
        <v>0</v>
      </c>
      <c r="H78" s="36">
        <f t="shared" si="67"/>
        <v>0</v>
      </c>
      <c r="I78" s="36">
        <f t="shared" si="67"/>
        <v>0</v>
      </c>
      <c r="J78" s="36">
        <f t="shared" si="67"/>
        <v>0</v>
      </c>
      <c r="K78" s="36">
        <f t="shared" si="67"/>
        <v>0</v>
      </c>
      <c r="L78" s="36">
        <f t="shared" si="67"/>
        <v>0</v>
      </c>
      <c r="M78" s="36">
        <f t="shared" si="67"/>
        <v>0</v>
      </c>
      <c r="N78" s="36">
        <f t="shared" si="67"/>
        <v>0</v>
      </c>
      <c r="O78" s="36">
        <f t="shared" si="67"/>
        <v>0</v>
      </c>
      <c r="P78" s="36">
        <f t="shared" si="67"/>
        <v>0</v>
      </c>
      <c r="Q78" s="36">
        <f t="shared" si="67"/>
        <v>0</v>
      </c>
      <c r="R78" s="36">
        <f t="shared" si="67"/>
        <v>0</v>
      </c>
      <c r="S78" s="36">
        <f t="shared" si="67"/>
        <v>0</v>
      </c>
      <c r="T78" s="36">
        <f t="shared" si="67"/>
        <v>0</v>
      </c>
      <c r="U78" s="36">
        <f t="shared" si="67"/>
        <v>0</v>
      </c>
      <c r="V78" s="36">
        <f t="shared" si="67"/>
        <v>1111.21453277</v>
      </c>
      <c r="W78" s="36">
        <f t="shared" si="67"/>
        <v>2035.7509911900001</v>
      </c>
      <c r="X78" s="36">
        <f t="shared" si="67"/>
        <v>2817.96032732</v>
      </c>
      <c r="Y78" s="36">
        <f t="shared" si="67"/>
        <v>0</v>
      </c>
      <c r="Z78" s="36">
        <f t="shared" si="67"/>
        <v>0</v>
      </c>
      <c r="AA78" s="36">
        <f t="shared" si="67"/>
        <v>0</v>
      </c>
      <c r="AB78" s="36">
        <f t="shared" si="67"/>
        <v>0</v>
      </c>
      <c r="AC78" s="36">
        <f t="shared" si="67"/>
        <v>0</v>
      </c>
      <c r="AD78" s="36">
        <f t="shared" si="67"/>
        <v>0</v>
      </c>
      <c r="AE78" s="36">
        <f t="shared" si="67"/>
        <v>0</v>
      </c>
      <c r="AF78" s="36">
        <f t="shared" si="67"/>
        <v>0</v>
      </c>
      <c r="AG78" s="36">
        <f t="shared" si="67"/>
        <v>0</v>
      </c>
      <c r="AH78" s="36">
        <f t="shared" si="67"/>
        <v>0</v>
      </c>
      <c r="AI78" s="36">
        <f t="shared" si="67"/>
        <v>0</v>
      </c>
      <c r="AJ78" s="36">
        <f t="shared" si="67"/>
        <v>0</v>
      </c>
      <c r="AK78" s="36">
        <f t="shared" si="67"/>
        <v>0</v>
      </c>
      <c r="AL78" s="36" t="str">
        <f t="shared" ref="AL78:AU78" si="68">IF(ISERROR(AL74-AL76),"—",AL74-AL76)</f>
        <v>—</v>
      </c>
      <c r="AM78" s="36" t="str">
        <f t="shared" si="68"/>
        <v>—</v>
      </c>
      <c r="AN78" s="36" t="str">
        <f t="shared" si="68"/>
        <v>—</v>
      </c>
      <c r="AO78" s="36">
        <f t="shared" si="68"/>
        <v>0</v>
      </c>
      <c r="AP78" s="36">
        <f t="shared" si="68"/>
        <v>0</v>
      </c>
      <c r="AQ78" s="36">
        <f t="shared" si="68"/>
        <v>0</v>
      </c>
      <c r="AR78" s="36">
        <f t="shared" si="68"/>
        <v>0</v>
      </c>
      <c r="AS78" s="36">
        <f t="shared" si="68"/>
        <v>0</v>
      </c>
      <c r="AT78" s="36">
        <f t="shared" si="68"/>
        <v>0</v>
      </c>
      <c r="AU78" s="36">
        <f t="shared" si="68"/>
        <v>0</v>
      </c>
    </row>
    <row r="79" spans="1:47" ht="14.15">
      <c r="B79" s="82"/>
      <c r="C79" s="81" t="s">
        <v>786</v>
      </c>
      <c r="D79" s="288"/>
      <c r="E79" s="71" t="str">
        <f>IF(ISERROR(E78/E6),"—",E78/E6)</f>
        <v>—</v>
      </c>
      <c r="F79" s="71" t="str">
        <f>IF(ISERROR(F78/F6),"—",F78/F6)</f>
        <v>—</v>
      </c>
      <c r="G79" s="71" t="str">
        <f>IF(ISERROR(G78/G6),"—",G78/G6)</f>
        <v>—</v>
      </c>
      <c r="H79" s="71" t="str">
        <f>IF(ISERROR(H78/H6),"—",H78/H6)</f>
        <v>—</v>
      </c>
      <c r="I79" s="71" t="str">
        <f>IF(ISERROR(I78/I6),"—",I78/I6)</f>
        <v>—</v>
      </c>
      <c r="J79" s="71"/>
      <c r="K79" s="71" t="str">
        <f>IF(ISERROR(K78/K6),"—",K78/K6)</f>
        <v>—</v>
      </c>
      <c r="L79" s="71"/>
      <c r="M79" s="71" t="str">
        <f>IF(ISERROR(M78/M6),"—",M78/M6)</f>
        <v>—</v>
      </c>
      <c r="N79" s="71"/>
      <c r="O79" s="71" t="str">
        <f t="shared" ref="O79:AK79" si="69">IF(ISERROR(O78/O6),"—",O78/O6)</f>
        <v>—</v>
      </c>
      <c r="P79" s="71" t="str">
        <f t="shared" si="69"/>
        <v>—</v>
      </c>
      <c r="Q79" s="71" t="str">
        <f t="shared" si="69"/>
        <v>—</v>
      </c>
      <c r="R79" s="71" t="str">
        <f t="shared" si="69"/>
        <v>—</v>
      </c>
      <c r="S79" s="71" t="str">
        <f t="shared" si="69"/>
        <v>—</v>
      </c>
      <c r="T79" s="71" t="str">
        <f t="shared" si="69"/>
        <v>—</v>
      </c>
      <c r="U79" s="71" t="str">
        <f t="shared" si="69"/>
        <v>—</v>
      </c>
      <c r="V79" s="71">
        <f t="shared" si="69"/>
        <v>0.32974060673675715</v>
      </c>
      <c r="W79" s="71">
        <f t="shared" si="69"/>
        <v>0.31707869765831981</v>
      </c>
      <c r="X79" s="71">
        <f t="shared" si="69"/>
        <v>0.30422023468980491</v>
      </c>
      <c r="Y79" s="71" t="str">
        <f t="shared" si="69"/>
        <v>—</v>
      </c>
      <c r="Z79" s="71" t="str">
        <f t="shared" si="69"/>
        <v>—</v>
      </c>
      <c r="AA79" s="71" t="str">
        <f t="shared" si="69"/>
        <v>—</v>
      </c>
      <c r="AB79" s="71" t="str">
        <f t="shared" si="69"/>
        <v>—</v>
      </c>
      <c r="AC79" s="71" t="str">
        <f t="shared" si="69"/>
        <v>—</v>
      </c>
      <c r="AD79" s="71" t="str">
        <f t="shared" si="69"/>
        <v>—</v>
      </c>
      <c r="AE79" s="71" t="str">
        <f t="shared" si="69"/>
        <v>—</v>
      </c>
      <c r="AF79" s="71" t="str">
        <f t="shared" si="69"/>
        <v>—</v>
      </c>
      <c r="AG79" s="71" t="str">
        <f t="shared" si="69"/>
        <v>—</v>
      </c>
      <c r="AH79" s="71" t="str">
        <f t="shared" si="69"/>
        <v>—</v>
      </c>
      <c r="AI79" s="71" t="str">
        <f t="shared" si="69"/>
        <v>—</v>
      </c>
      <c r="AJ79" s="71" t="str">
        <f t="shared" si="69"/>
        <v>—</v>
      </c>
      <c r="AK79" s="71" t="str">
        <f t="shared" si="69"/>
        <v>—</v>
      </c>
      <c r="AL79" s="71" t="str">
        <f>AG79</f>
        <v>—</v>
      </c>
      <c r="AM79" s="71" t="str">
        <f>AL79</f>
        <v>—</v>
      </c>
      <c r="AN79" s="71" t="str">
        <f>AM79</f>
        <v>—</v>
      </c>
      <c r="AO79" s="71" t="str">
        <f t="shared" ref="AO79:AU79" si="70">IF(ISERROR(AO78/AO6),"—",AO78/AO6)</f>
        <v>—</v>
      </c>
      <c r="AP79" s="71" t="str">
        <f t="shared" si="70"/>
        <v>—</v>
      </c>
      <c r="AQ79" s="71" t="str">
        <f t="shared" si="70"/>
        <v>—</v>
      </c>
      <c r="AR79" s="71" t="str">
        <f t="shared" si="70"/>
        <v>—</v>
      </c>
      <c r="AS79" s="71" t="str">
        <f t="shared" si="70"/>
        <v>—</v>
      </c>
      <c r="AT79" s="71" t="str">
        <f t="shared" si="70"/>
        <v>—</v>
      </c>
      <c r="AU79" s="71" t="str">
        <f t="shared" si="70"/>
        <v>—</v>
      </c>
    </row>
    <row r="80" spans="1:47" s="435" customFormat="1" ht="14.15">
      <c r="A80" s="420"/>
      <c r="B80" s="424"/>
      <c r="C80" s="426" t="s">
        <v>781</v>
      </c>
      <c r="D80" s="425"/>
      <c r="E80" s="422"/>
      <c r="F80" s="422"/>
      <c r="G80" s="422"/>
      <c r="H80" s="422"/>
      <c r="I80" s="422" t="str">
        <f t="shared" ref="I80:AK80" si="71">IF(ISERROR((I78-E78)/ABS(E78)),"—",(I78-E78)/ABS(E78))</f>
        <v>—</v>
      </c>
      <c r="J80" s="422" t="str">
        <f t="shared" si="71"/>
        <v>—</v>
      </c>
      <c r="K80" s="422" t="str">
        <f t="shared" si="71"/>
        <v>—</v>
      </c>
      <c r="L80" s="422" t="str">
        <f t="shared" si="71"/>
        <v>—</v>
      </c>
      <c r="M80" s="422" t="str">
        <f t="shared" si="71"/>
        <v>—</v>
      </c>
      <c r="N80" s="422" t="str">
        <f t="shared" si="71"/>
        <v>—</v>
      </c>
      <c r="O80" s="422" t="str">
        <f t="shared" si="71"/>
        <v>—</v>
      </c>
      <c r="P80" s="422" t="str">
        <f t="shared" si="71"/>
        <v>—</v>
      </c>
      <c r="Q80" s="422" t="str">
        <f t="shared" si="71"/>
        <v>—</v>
      </c>
      <c r="R80" s="422" t="str">
        <f t="shared" si="71"/>
        <v>—</v>
      </c>
      <c r="S80" s="422" t="str">
        <f t="shared" si="71"/>
        <v>—</v>
      </c>
      <c r="T80" s="422" t="str">
        <f t="shared" si="71"/>
        <v>—</v>
      </c>
      <c r="U80" s="422" t="str">
        <f t="shared" si="71"/>
        <v>—</v>
      </c>
      <c r="V80" s="422" t="str">
        <f t="shared" si="71"/>
        <v>—</v>
      </c>
      <c r="W80" s="422" t="str">
        <f t="shared" si="71"/>
        <v>—</v>
      </c>
      <c r="X80" s="422" t="str">
        <f t="shared" si="71"/>
        <v>—</v>
      </c>
      <c r="Y80" s="422" t="str">
        <f t="shared" si="71"/>
        <v>—</v>
      </c>
      <c r="Z80" s="422">
        <f t="shared" si="71"/>
        <v>-1</v>
      </c>
      <c r="AA80" s="422">
        <f t="shared" si="71"/>
        <v>-1</v>
      </c>
      <c r="AB80" s="422">
        <f t="shared" si="71"/>
        <v>-1</v>
      </c>
      <c r="AC80" s="422" t="str">
        <f t="shared" si="71"/>
        <v>—</v>
      </c>
      <c r="AD80" s="422" t="str">
        <f t="shared" si="71"/>
        <v>—</v>
      </c>
      <c r="AE80" s="422" t="str">
        <f t="shared" si="71"/>
        <v>—</v>
      </c>
      <c r="AF80" s="422" t="str">
        <f t="shared" si="71"/>
        <v>—</v>
      </c>
      <c r="AG80" s="422" t="str">
        <f t="shared" si="71"/>
        <v>—</v>
      </c>
      <c r="AH80" s="422" t="str">
        <f t="shared" si="71"/>
        <v>—</v>
      </c>
      <c r="AI80" s="422" t="str">
        <f t="shared" si="71"/>
        <v>—</v>
      </c>
      <c r="AJ80" s="422" t="str">
        <f t="shared" si="71"/>
        <v>—</v>
      </c>
      <c r="AK80" s="422" t="str">
        <f t="shared" si="71"/>
        <v>—</v>
      </c>
      <c r="AL80" s="422" t="str">
        <f>IF(ISERROR((AL78-AG78)/ABS(AG78)),"—",(AL78-AG78)/ABS(AG78))</f>
        <v>—</v>
      </c>
      <c r="AM80" s="422" t="str">
        <f>IF(ISERROR((AM78-AL78)/ABS(AL78)),"—",(AM78-AL78)/ABS(AL78))</f>
        <v>—</v>
      </c>
      <c r="AN80" s="422" t="str">
        <f t="shared" ref="AN80:AU80" si="72">IF(ISERROR(AN78/AM78-1),"—",AN78/AM78-1)</f>
        <v>—</v>
      </c>
      <c r="AO80" s="422" t="str">
        <f t="shared" si="72"/>
        <v>—</v>
      </c>
      <c r="AP80" s="422" t="str">
        <f t="shared" si="72"/>
        <v>—</v>
      </c>
      <c r="AQ80" s="422" t="str">
        <f t="shared" si="72"/>
        <v>—</v>
      </c>
      <c r="AR80" s="422" t="str">
        <f t="shared" si="72"/>
        <v>—</v>
      </c>
      <c r="AS80" s="422" t="str">
        <f t="shared" si="72"/>
        <v>—</v>
      </c>
      <c r="AT80" s="422" t="str">
        <f t="shared" si="72"/>
        <v>—</v>
      </c>
      <c r="AU80" s="422" t="str">
        <f t="shared" si="72"/>
        <v>—</v>
      </c>
    </row>
    <row r="81" spans="1:47" s="48" customFormat="1" ht="14.15">
      <c r="A81" s="2"/>
      <c r="B81" s="42" t="s">
        <v>795</v>
      </c>
      <c r="C81" s="82"/>
      <c r="D81" s="288"/>
      <c r="E81" s="36">
        <f>(财务基础数据!J36)*目录!$D$6</f>
        <v>0</v>
      </c>
      <c r="F81" s="36">
        <f>(财务基础数据!K36)*目录!$D$6</f>
        <v>0</v>
      </c>
      <c r="G81" s="36">
        <f>(财务基础数据!L36)*目录!$D$6</f>
        <v>0</v>
      </c>
      <c r="H81" s="36">
        <f>(财务基础数据!M36)*目录!$D$6</f>
        <v>0</v>
      </c>
      <c r="I81" s="36">
        <f>(财务基础数据!N36)*目录!$D$6</f>
        <v>0</v>
      </c>
      <c r="J81" s="36">
        <f>(财务基础数据!O36)*目录!$D$6</f>
        <v>0</v>
      </c>
      <c r="K81" s="36">
        <f>(财务基础数据!P36)*目录!$D$6</f>
        <v>0</v>
      </c>
      <c r="L81" s="36">
        <f>(财务基础数据!Q36)*目录!$D$6</f>
        <v>0</v>
      </c>
      <c r="M81" s="36">
        <f>(财务基础数据!R36)*目录!$D$6</f>
        <v>0</v>
      </c>
      <c r="N81" s="36">
        <f>(财务基础数据!S36)*目录!$D$6</f>
        <v>0</v>
      </c>
      <c r="O81" s="36">
        <f>(财务基础数据!T36)*目录!$D$6</f>
        <v>0</v>
      </c>
      <c r="P81" s="36">
        <f>(财务基础数据!U36)*目录!$D$6</f>
        <v>0</v>
      </c>
      <c r="Q81" s="36">
        <f>(财务基础数据!V36)*目录!$D$6</f>
        <v>0</v>
      </c>
      <c r="R81" s="36">
        <f>(财务基础数据!W36)*目录!$D$6</f>
        <v>0</v>
      </c>
      <c r="S81" s="36">
        <f>(财务基础数据!X36)*目录!$D$6</f>
        <v>0</v>
      </c>
      <c r="T81" s="36">
        <f>(财务基础数据!Y36)*目录!$D$6</f>
        <v>0</v>
      </c>
      <c r="U81" s="36">
        <f>(财务基础数据!Z36)*目录!$D$6</f>
        <v>0</v>
      </c>
      <c r="V81" s="36">
        <f>(财务基础数据!AA36)*目录!$D$6</f>
        <v>52.655597049999997</v>
      </c>
      <c r="W81" s="36">
        <f>(财务基础数据!AB36)*目录!$D$6</f>
        <v>68.775369429999998</v>
      </c>
      <c r="X81" s="36">
        <f>(财务基础数据!AC36)*目录!$D$6</f>
        <v>66.924970680000001</v>
      </c>
      <c r="Y81" s="36">
        <f>(财务基础数据!AD36)*目录!$D$6</f>
        <v>0</v>
      </c>
      <c r="Z81" s="36">
        <f>(财务基础数据!AE36)*目录!$D$6</f>
        <v>0</v>
      </c>
      <c r="AA81" s="36">
        <f>(财务基础数据!AF36)*目录!$D$6</f>
        <v>0</v>
      </c>
      <c r="AB81" s="36">
        <f>(财务基础数据!AG36)*目录!$D$6</f>
        <v>0</v>
      </c>
      <c r="AC81" s="36">
        <f>(财务基础数据!AH36)*目录!$D$6</f>
        <v>0</v>
      </c>
      <c r="AD81" s="36">
        <f>(财务基础数据!AI36)*目录!$D$6</f>
        <v>0</v>
      </c>
      <c r="AE81" s="36">
        <f>(财务基础数据!AJ36)*目录!$D$6</f>
        <v>0</v>
      </c>
      <c r="AF81" s="36">
        <f>(财务基础数据!AK36)*目录!$D$6</f>
        <v>0</v>
      </c>
      <c r="AG81" s="36">
        <f>(财务基础数据!AL36)*目录!$D$6</f>
        <v>0</v>
      </c>
      <c r="AH81" s="36">
        <f>(财务基础数据!AM36)*目录!$D$6</f>
        <v>0</v>
      </c>
      <c r="AI81" s="36">
        <f>(财务基础数据!AN36)*目录!$D$6</f>
        <v>0</v>
      </c>
      <c r="AJ81" s="36">
        <f>(财务基础数据!AO36)*目录!$D$6</f>
        <v>0</v>
      </c>
      <c r="AK81" s="36">
        <f>(财务基础数据!AP36)*目录!$D$6</f>
        <v>0</v>
      </c>
      <c r="AL81" s="463" t="str">
        <f>IF(ISERROR(销售预测!V45),"—",销售预测!V45)</f>
        <v>—</v>
      </c>
      <c r="AM81" s="36" t="str">
        <f>IF(ISERROR(销售预测!W45),"—",销售预测!W45)</f>
        <v>—</v>
      </c>
      <c r="AN81" s="36" t="str">
        <f>IF(ISERROR(销售预测!X45),"—",销售预测!X45)</f>
        <v>—</v>
      </c>
      <c r="AO81" s="36">
        <f>IF(ISERROR(销售预测!Y45),"—",销售预测!Y45)</f>
        <v>0</v>
      </c>
      <c r="AP81" s="36">
        <f>IF(ISERROR(销售预测!Z45),"—",销售预测!Z45)</f>
        <v>0</v>
      </c>
      <c r="AQ81" s="36">
        <f>IF(ISERROR(销售预测!AA45),"—",销售预测!AA45)</f>
        <v>0</v>
      </c>
      <c r="AR81" s="36">
        <f>IF(ISERROR(销售预测!AB45),"—",销售预测!AB45)</f>
        <v>0</v>
      </c>
      <c r="AS81" s="36">
        <f>IF(ISERROR(销售预测!AC45),"—",销售预测!AC45)</f>
        <v>0</v>
      </c>
      <c r="AT81" s="36">
        <f>IF(ISERROR(销售预测!AD45),"—",销售预测!AD45)</f>
        <v>0</v>
      </c>
      <c r="AU81" s="36">
        <f>IF(ISERROR(销售预测!AE45),"—",销售预测!AE45)</f>
        <v>0</v>
      </c>
    </row>
    <row r="82" spans="1:47" s="68" customFormat="1" ht="14.15">
      <c r="B82" s="51"/>
      <c r="C82" s="69" t="s">
        <v>796</v>
      </c>
      <c r="D82" s="112"/>
      <c r="E82" s="85" t="str">
        <f t="shared" ref="E82:AJ82" si="73">IF(ISERROR(E81/E78),"—",E81/E78)</f>
        <v>—</v>
      </c>
      <c r="F82" s="85" t="str">
        <f t="shared" si="73"/>
        <v>—</v>
      </c>
      <c r="G82" s="85" t="str">
        <f t="shared" si="73"/>
        <v>—</v>
      </c>
      <c r="H82" s="85" t="str">
        <f t="shared" si="73"/>
        <v>—</v>
      </c>
      <c r="I82" s="85" t="str">
        <f t="shared" si="73"/>
        <v>—</v>
      </c>
      <c r="J82" s="85" t="str">
        <f t="shared" si="73"/>
        <v>—</v>
      </c>
      <c r="K82" s="85" t="str">
        <f t="shared" si="73"/>
        <v>—</v>
      </c>
      <c r="L82" s="85" t="str">
        <f t="shared" si="73"/>
        <v>—</v>
      </c>
      <c r="M82" s="85" t="str">
        <f t="shared" si="73"/>
        <v>—</v>
      </c>
      <c r="N82" s="85" t="str">
        <f t="shared" si="73"/>
        <v>—</v>
      </c>
      <c r="O82" s="85" t="str">
        <f t="shared" si="73"/>
        <v>—</v>
      </c>
      <c r="P82" s="85" t="str">
        <f t="shared" si="73"/>
        <v>—</v>
      </c>
      <c r="Q82" s="85" t="str">
        <f t="shared" si="73"/>
        <v>—</v>
      </c>
      <c r="R82" s="85" t="str">
        <f t="shared" si="73"/>
        <v>—</v>
      </c>
      <c r="S82" s="85" t="str">
        <f t="shared" si="73"/>
        <v>—</v>
      </c>
      <c r="T82" s="85" t="str">
        <f t="shared" si="73"/>
        <v>—</v>
      </c>
      <c r="U82" s="85" t="str">
        <f t="shared" si="73"/>
        <v>—</v>
      </c>
      <c r="V82" s="85">
        <f t="shared" si="73"/>
        <v>4.738562671488989E-2</v>
      </c>
      <c r="W82" s="85">
        <f t="shared" si="73"/>
        <v>3.3783782853421228E-2</v>
      </c>
      <c r="X82" s="85">
        <f t="shared" si="73"/>
        <v>2.3749436793401732E-2</v>
      </c>
      <c r="Y82" s="85" t="str">
        <f t="shared" si="73"/>
        <v>—</v>
      </c>
      <c r="Z82" s="85" t="str">
        <f t="shared" si="73"/>
        <v>—</v>
      </c>
      <c r="AA82" s="85" t="str">
        <f t="shared" si="73"/>
        <v>—</v>
      </c>
      <c r="AB82" s="85" t="str">
        <f t="shared" si="73"/>
        <v>—</v>
      </c>
      <c r="AC82" s="85" t="str">
        <f t="shared" si="73"/>
        <v>—</v>
      </c>
      <c r="AD82" s="85" t="str">
        <f t="shared" si="73"/>
        <v>—</v>
      </c>
      <c r="AE82" s="85" t="str">
        <f t="shared" si="73"/>
        <v>—</v>
      </c>
      <c r="AF82" s="85" t="str">
        <f t="shared" si="73"/>
        <v>—</v>
      </c>
      <c r="AG82" s="85" t="str">
        <f t="shared" si="73"/>
        <v>—</v>
      </c>
      <c r="AH82" s="85" t="str">
        <f t="shared" si="73"/>
        <v>—</v>
      </c>
      <c r="AI82" s="85" t="str">
        <f t="shared" si="73"/>
        <v>—</v>
      </c>
      <c r="AJ82" s="85" t="str">
        <f t="shared" si="73"/>
        <v>—</v>
      </c>
      <c r="AK82" s="85" t="str">
        <f t="shared" ref="AK82:AR82" si="74">IF(ISERROR(AK81/AK78),"—",AK81/AK78)</f>
        <v>—</v>
      </c>
      <c r="AL82" s="85" t="str">
        <f t="shared" si="74"/>
        <v>—</v>
      </c>
      <c r="AM82" s="85" t="str">
        <f t="shared" si="74"/>
        <v>—</v>
      </c>
      <c r="AN82" s="85" t="str">
        <f t="shared" si="74"/>
        <v>—</v>
      </c>
      <c r="AO82" s="85" t="str">
        <f t="shared" si="74"/>
        <v>—</v>
      </c>
      <c r="AP82" s="85" t="str">
        <f t="shared" si="74"/>
        <v>—</v>
      </c>
      <c r="AQ82" s="85" t="str">
        <f t="shared" si="74"/>
        <v>—</v>
      </c>
      <c r="AR82" s="85" t="str">
        <f t="shared" si="74"/>
        <v>—</v>
      </c>
      <c r="AS82" s="85" t="str">
        <f>IF(ISERROR(AS81/AS78),"—",AS81/AS78)</f>
        <v>—</v>
      </c>
      <c r="AT82" s="85" t="str">
        <f>IF(ISERROR(AT81/AT78),"—",AT81/AT78)</f>
        <v>—</v>
      </c>
      <c r="AU82" s="85" t="str">
        <f>IF(ISERROR(AU81/AU78),"—",AU81/AU78)</f>
        <v>—</v>
      </c>
    </row>
    <row r="83" spans="1:47" s="68" customFormat="1" ht="14.15" thickBot="1">
      <c r="B83" s="566"/>
      <c r="C83" s="567"/>
      <c r="D83" s="568"/>
      <c r="E83" s="569"/>
      <c r="F83" s="569"/>
      <c r="G83" s="569"/>
      <c r="H83" s="569"/>
      <c r="I83" s="569"/>
      <c r="J83" s="569"/>
      <c r="K83" s="569"/>
      <c r="L83" s="569"/>
      <c r="M83" s="569"/>
      <c r="N83" s="569"/>
      <c r="O83" s="569"/>
      <c r="P83" s="569"/>
      <c r="Q83" s="569"/>
      <c r="R83" s="569"/>
      <c r="S83" s="569"/>
      <c r="T83" s="569"/>
      <c r="U83" s="569"/>
      <c r="V83" s="569"/>
      <c r="W83" s="569"/>
      <c r="X83" s="569"/>
      <c r="Y83" s="569"/>
      <c r="Z83" s="569"/>
      <c r="AA83" s="569"/>
      <c r="AB83" s="569"/>
      <c r="AC83" s="569"/>
      <c r="AD83" s="569"/>
      <c r="AE83" s="569"/>
      <c r="AF83" s="569"/>
      <c r="AG83" s="569"/>
      <c r="AH83" s="569"/>
      <c r="AI83" s="569"/>
      <c r="AJ83" s="569"/>
      <c r="AK83" s="569"/>
      <c r="AL83" s="570"/>
      <c r="AM83" s="570"/>
      <c r="AN83" s="570"/>
      <c r="AO83" s="570"/>
      <c r="AP83" s="570"/>
      <c r="AQ83" s="570"/>
      <c r="AR83" s="570"/>
      <c r="AS83" s="570"/>
      <c r="AT83" s="570"/>
      <c r="AU83" s="570"/>
    </row>
    <row r="84" spans="1:47" s="88" customFormat="1" ht="14.15">
      <c r="A84" s="2"/>
      <c r="B84" s="276" t="s">
        <v>797</v>
      </c>
      <c r="C84" s="54"/>
      <c r="D84" s="124"/>
      <c r="E84" s="90">
        <f>IF(ISERROR(E78-E81),"—",E78-E81)</f>
        <v>0</v>
      </c>
      <c r="F84" s="90">
        <f t="shared" ref="F84:AK84" si="75">IF(ISERROR(F78-F81),"—",F78-F81)</f>
        <v>0</v>
      </c>
      <c r="G84" s="90">
        <f t="shared" si="75"/>
        <v>0</v>
      </c>
      <c r="H84" s="90">
        <f t="shared" si="75"/>
        <v>0</v>
      </c>
      <c r="I84" s="90">
        <f t="shared" si="75"/>
        <v>0</v>
      </c>
      <c r="J84" s="90">
        <f t="shared" si="75"/>
        <v>0</v>
      </c>
      <c r="K84" s="90">
        <f t="shared" si="75"/>
        <v>0</v>
      </c>
      <c r="L84" s="90">
        <f t="shared" si="75"/>
        <v>0</v>
      </c>
      <c r="M84" s="90">
        <f t="shared" si="75"/>
        <v>0</v>
      </c>
      <c r="N84" s="90">
        <f t="shared" si="75"/>
        <v>0</v>
      </c>
      <c r="O84" s="90">
        <f t="shared" si="75"/>
        <v>0</v>
      </c>
      <c r="P84" s="90">
        <f t="shared" si="75"/>
        <v>0</v>
      </c>
      <c r="Q84" s="90">
        <f t="shared" si="75"/>
        <v>0</v>
      </c>
      <c r="R84" s="90">
        <f t="shared" si="75"/>
        <v>0</v>
      </c>
      <c r="S84" s="90">
        <f t="shared" si="75"/>
        <v>0</v>
      </c>
      <c r="T84" s="90">
        <f t="shared" si="75"/>
        <v>0</v>
      </c>
      <c r="U84" s="90">
        <f t="shared" si="75"/>
        <v>0</v>
      </c>
      <c r="V84" s="90">
        <f t="shared" si="75"/>
        <v>1058.5589357199999</v>
      </c>
      <c r="W84" s="90">
        <f t="shared" si="75"/>
        <v>1966.9756217600002</v>
      </c>
      <c r="X84" s="90">
        <f t="shared" si="75"/>
        <v>2751.0353566399999</v>
      </c>
      <c r="Y84" s="90">
        <f t="shared" si="75"/>
        <v>0</v>
      </c>
      <c r="Z84" s="90">
        <f t="shared" si="75"/>
        <v>0</v>
      </c>
      <c r="AA84" s="90">
        <f t="shared" si="75"/>
        <v>0</v>
      </c>
      <c r="AB84" s="90">
        <f t="shared" si="75"/>
        <v>0</v>
      </c>
      <c r="AC84" s="90">
        <f t="shared" si="75"/>
        <v>0</v>
      </c>
      <c r="AD84" s="90">
        <f t="shared" si="75"/>
        <v>0</v>
      </c>
      <c r="AE84" s="90">
        <f t="shared" si="75"/>
        <v>0</v>
      </c>
      <c r="AF84" s="90">
        <f t="shared" si="75"/>
        <v>0</v>
      </c>
      <c r="AG84" s="90">
        <f t="shared" si="75"/>
        <v>0</v>
      </c>
      <c r="AH84" s="90">
        <f t="shared" si="75"/>
        <v>0</v>
      </c>
      <c r="AI84" s="90">
        <f t="shared" si="75"/>
        <v>0</v>
      </c>
      <c r="AJ84" s="90">
        <f t="shared" si="75"/>
        <v>0</v>
      </c>
      <c r="AK84" s="90">
        <f t="shared" si="75"/>
        <v>0</v>
      </c>
      <c r="AL84" s="682">
        <f>AG84</f>
        <v>0</v>
      </c>
      <c r="AM84" s="402">
        <f>AL84</f>
        <v>0</v>
      </c>
      <c r="AN84" s="402">
        <f>AM84</f>
        <v>0</v>
      </c>
      <c r="AO84" s="402">
        <f t="shared" ref="AO84:AU84" si="76">IF(ISERROR(AO78-AO81),"0",AO78-AO81)</f>
        <v>0</v>
      </c>
      <c r="AP84" s="402">
        <f t="shared" si="76"/>
        <v>0</v>
      </c>
      <c r="AQ84" s="402">
        <f t="shared" si="76"/>
        <v>0</v>
      </c>
      <c r="AR84" s="402">
        <f t="shared" si="76"/>
        <v>0</v>
      </c>
      <c r="AS84" s="402">
        <f t="shared" si="76"/>
        <v>0</v>
      </c>
      <c r="AT84" s="402">
        <f t="shared" si="76"/>
        <v>0</v>
      </c>
      <c r="AU84" s="402">
        <f t="shared" si="76"/>
        <v>0</v>
      </c>
    </row>
    <row r="85" spans="1:47" s="88" customFormat="1" ht="12" customHeight="1">
      <c r="A85" s="6"/>
      <c r="B85" s="92"/>
      <c r="C85" s="73" t="s">
        <v>786</v>
      </c>
      <c r="D85" s="289"/>
      <c r="E85" s="71" t="str">
        <f t="shared" ref="E85:AJ85" si="77">IF(ISERROR(E84/E6),"—",E84/E6)</f>
        <v>—</v>
      </c>
      <c r="F85" s="71" t="str">
        <f t="shared" si="77"/>
        <v>—</v>
      </c>
      <c r="G85" s="71" t="str">
        <f t="shared" si="77"/>
        <v>—</v>
      </c>
      <c r="H85" s="71" t="str">
        <f t="shared" si="77"/>
        <v>—</v>
      </c>
      <c r="I85" s="71" t="str">
        <f t="shared" si="77"/>
        <v>—</v>
      </c>
      <c r="J85" s="71" t="str">
        <f t="shared" si="77"/>
        <v>—</v>
      </c>
      <c r="K85" s="71" t="str">
        <f t="shared" si="77"/>
        <v>—</v>
      </c>
      <c r="L85" s="71" t="str">
        <f t="shared" si="77"/>
        <v>—</v>
      </c>
      <c r="M85" s="71" t="str">
        <f t="shared" si="77"/>
        <v>—</v>
      </c>
      <c r="N85" s="71" t="str">
        <f t="shared" si="77"/>
        <v>—</v>
      </c>
      <c r="O85" s="71" t="str">
        <f t="shared" si="77"/>
        <v>—</v>
      </c>
      <c r="P85" s="71" t="str">
        <f t="shared" si="77"/>
        <v>—</v>
      </c>
      <c r="Q85" s="71" t="str">
        <f t="shared" si="77"/>
        <v>—</v>
      </c>
      <c r="R85" s="71" t="str">
        <f t="shared" si="77"/>
        <v>—</v>
      </c>
      <c r="S85" s="71" t="str">
        <f t="shared" si="77"/>
        <v>—</v>
      </c>
      <c r="T85" s="71" t="str">
        <f t="shared" si="77"/>
        <v>—</v>
      </c>
      <c r="U85" s="71" t="str">
        <f t="shared" si="77"/>
        <v>—</v>
      </c>
      <c r="V85" s="71">
        <f t="shared" si="77"/>
        <v>0.31411564143318782</v>
      </c>
      <c r="W85" s="71">
        <f t="shared" si="77"/>
        <v>0.30636657978918558</v>
      </c>
      <c r="X85" s="71">
        <f t="shared" si="77"/>
        <v>0.29699517545476556</v>
      </c>
      <c r="Y85" s="71" t="str">
        <f t="shared" si="77"/>
        <v>—</v>
      </c>
      <c r="Z85" s="71" t="str">
        <f t="shared" si="77"/>
        <v>—</v>
      </c>
      <c r="AA85" s="71" t="str">
        <f t="shared" si="77"/>
        <v>—</v>
      </c>
      <c r="AB85" s="71" t="str">
        <f t="shared" si="77"/>
        <v>—</v>
      </c>
      <c r="AC85" s="71" t="str">
        <f t="shared" si="77"/>
        <v>—</v>
      </c>
      <c r="AD85" s="71" t="str">
        <f t="shared" si="77"/>
        <v>—</v>
      </c>
      <c r="AE85" s="71" t="str">
        <f t="shared" si="77"/>
        <v>—</v>
      </c>
      <c r="AF85" s="71" t="str">
        <f t="shared" si="77"/>
        <v>—</v>
      </c>
      <c r="AG85" s="71" t="str">
        <f t="shared" si="77"/>
        <v>—</v>
      </c>
      <c r="AH85" s="71" t="str">
        <f t="shared" si="77"/>
        <v>—</v>
      </c>
      <c r="AI85" s="71" t="str">
        <f t="shared" si="77"/>
        <v>—</v>
      </c>
      <c r="AJ85" s="71" t="str">
        <f t="shared" si="77"/>
        <v>—</v>
      </c>
      <c r="AK85" s="71" t="str">
        <f t="shared" ref="AK85:AR85" si="78">IF(ISERROR(AK84/AK6),"—",AK84/AK6)</f>
        <v>—</v>
      </c>
      <c r="AL85" s="71" t="str">
        <f>AG85</f>
        <v>—</v>
      </c>
      <c r="AM85" s="71" t="str">
        <f>AL85</f>
        <v>—</v>
      </c>
      <c r="AN85" s="71" t="str">
        <f>AM85</f>
        <v>—</v>
      </c>
      <c r="AO85" s="71" t="str">
        <f t="shared" si="78"/>
        <v>—</v>
      </c>
      <c r="AP85" s="71" t="str">
        <f t="shared" si="78"/>
        <v>—</v>
      </c>
      <c r="AQ85" s="71" t="str">
        <f t="shared" si="78"/>
        <v>—</v>
      </c>
      <c r="AR85" s="71" t="str">
        <f t="shared" si="78"/>
        <v>—</v>
      </c>
      <c r="AS85" s="71" t="str">
        <f>IF(ISERROR(AS84/AS6),"—",AS84/AS6)</f>
        <v>—</v>
      </c>
      <c r="AT85" s="71" t="str">
        <f>IF(ISERROR(AT84/AT6),"—",AT84/AT6)</f>
        <v>—</v>
      </c>
      <c r="AU85" s="71" t="str">
        <f>IF(ISERROR(AU84/AU6),"—",AU84/AU6)</f>
        <v>—</v>
      </c>
    </row>
    <row r="86" spans="1:47" s="435" customFormat="1" ht="14.6" thickBot="1">
      <c r="A86" s="420"/>
      <c r="B86" s="436"/>
      <c r="C86" s="437" t="s">
        <v>781</v>
      </c>
      <c r="D86" s="438"/>
      <c r="E86" s="439"/>
      <c r="F86" s="439"/>
      <c r="G86" s="439"/>
      <c r="H86" s="439"/>
      <c r="I86" s="439" t="str">
        <f t="shared" ref="I86:AK86" si="79">IF(ISERROR((I84-E84)/ABS(E84)),"—",(I84-E84)/ABS(E84))</f>
        <v>—</v>
      </c>
      <c r="J86" s="439" t="str">
        <f t="shared" si="79"/>
        <v>—</v>
      </c>
      <c r="K86" s="439" t="str">
        <f t="shared" si="79"/>
        <v>—</v>
      </c>
      <c r="L86" s="439" t="str">
        <f t="shared" si="79"/>
        <v>—</v>
      </c>
      <c r="M86" s="439" t="str">
        <f t="shared" si="79"/>
        <v>—</v>
      </c>
      <c r="N86" s="439" t="str">
        <f t="shared" si="79"/>
        <v>—</v>
      </c>
      <c r="O86" s="439" t="str">
        <f t="shared" si="79"/>
        <v>—</v>
      </c>
      <c r="P86" s="439" t="str">
        <f t="shared" si="79"/>
        <v>—</v>
      </c>
      <c r="Q86" s="439" t="str">
        <f t="shared" si="79"/>
        <v>—</v>
      </c>
      <c r="R86" s="439" t="str">
        <f t="shared" si="79"/>
        <v>—</v>
      </c>
      <c r="S86" s="439" t="str">
        <f t="shared" si="79"/>
        <v>—</v>
      </c>
      <c r="T86" s="439" t="str">
        <f t="shared" si="79"/>
        <v>—</v>
      </c>
      <c r="U86" s="439" t="str">
        <f t="shared" si="79"/>
        <v>—</v>
      </c>
      <c r="V86" s="439" t="str">
        <f t="shared" si="79"/>
        <v>—</v>
      </c>
      <c r="W86" s="439" t="str">
        <f t="shared" si="79"/>
        <v>—</v>
      </c>
      <c r="X86" s="439" t="str">
        <f t="shared" si="79"/>
        <v>—</v>
      </c>
      <c r="Y86" s="439" t="str">
        <f t="shared" si="79"/>
        <v>—</v>
      </c>
      <c r="Z86" s="439">
        <f t="shared" si="79"/>
        <v>-1</v>
      </c>
      <c r="AA86" s="439">
        <f t="shared" si="79"/>
        <v>-1</v>
      </c>
      <c r="AB86" s="439">
        <f t="shared" si="79"/>
        <v>-1</v>
      </c>
      <c r="AC86" s="439" t="str">
        <f t="shared" si="79"/>
        <v>—</v>
      </c>
      <c r="AD86" s="439" t="str">
        <f t="shared" si="79"/>
        <v>—</v>
      </c>
      <c r="AE86" s="439" t="str">
        <f t="shared" si="79"/>
        <v>—</v>
      </c>
      <c r="AF86" s="439" t="str">
        <f t="shared" si="79"/>
        <v>—</v>
      </c>
      <c r="AG86" s="439" t="str">
        <f t="shared" si="79"/>
        <v>—</v>
      </c>
      <c r="AH86" s="439" t="str">
        <f t="shared" si="79"/>
        <v>—</v>
      </c>
      <c r="AI86" s="439" t="str">
        <f t="shared" si="79"/>
        <v>—</v>
      </c>
      <c r="AJ86" s="439" t="str">
        <f t="shared" si="79"/>
        <v>—</v>
      </c>
      <c r="AK86" s="439" t="str">
        <f t="shared" si="79"/>
        <v>—</v>
      </c>
      <c r="AL86" s="523" t="str">
        <f>IF(ISERROR((AL84-AG84)/ABS(AG84)),"—",(AL84-AG84)/ABS(AG84))</f>
        <v>—</v>
      </c>
      <c r="AM86" s="523" t="str">
        <f>IF(ISERROR((AM84-AL84)/ABS(AL84)),"—",(AM84-AL84)/ABS(AL84))</f>
        <v>—</v>
      </c>
      <c r="AN86" s="439" t="str">
        <f t="shared" ref="AN86:AU86" si="80">IF(ISERROR(AN84/AM84-1),"—",AN84/AM84-1)</f>
        <v>—</v>
      </c>
      <c r="AO86" s="439" t="str">
        <f t="shared" si="80"/>
        <v>—</v>
      </c>
      <c r="AP86" s="439" t="str">
        <f t="shared" si="80"/>
        <v>—</v>
      </c>
      <c r="AQ86" s="439" t="str">
        <f t="shared" si="80"/>
        <v>—</v>
      </c>
      <c r="AR86" s="439" t="str">
        <f t="shared" si="80"/>
        <v>—</v>
      </c>
      <c r="AS86" s="439" t="str">
        <f t="shared" si="80"/>
        <v>—</v>
      </c>
      <c r="AT86" s="439" t="str">
        <f t="shared" si="80"/>
        <v>—</v>
      </c>
      <c r="AU86" s="439" t="str">
        <f t="shared" si="80"/>
        <v>—</v>
      </c>
    </row>
    <row r="87" spans="1:47" ht="13.75" thickTop="1">
      <c r="E87" s="107"/>
      <c r="F87" s="107"/>
      <c r="G87" s="107"/>
      <c r="H87" s="107"/>
      <c r="I87" s="107"/>
      <c r="J87" s="107"/>
      <c r="K87" s="107"/>
      <c r="L87" s="107"/>
      <c r="M87" s="107"/>
      <c r="N87" s="107"/>
      <c r="O87" s="107"/>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19"/>
      <c r="AM87" s="119"/>
      <c r="AN87" s="119"/>
      <c r="AO87" s="119"/>
      <c r="AP87" s="119"/>
      <c r="AQ87" s="119"/>
      <c r="AR87" s="119"/>
      <c r="AS87" s="119"/>
      <c r="AT87" s="119"/>
      <c r="AU87" s="119"/>
    </row>
    <row r="88" spans="1:47">
      <c r="E88" s="107"/>
      <c r="F88" s="107"/>
      <c r="G88" s="107"/>
      <c r="H88" s="107"/>
      <c r="I88" s="107"/>
      <c r="J88" s="107"/>
      <c r="K88" s="107"/>
      <c r="L88" s="107"/>
      <c r="M88" s="107"/>
      <c r="N88" s="107"/>
      <c r="O88" s="107"/>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797">
        <f>AG88</f>
        <v>0</v>
      </c>
      <c r="AM88" s="797">
        <f>AL88</f>
        <v>0</v>
      </c>
      <c r="AN88" s="797">
        <f>AM88</f>
        <v>0</v>
      </c>
      <c r="AO88" s="119"/>
      <c r="AP88" s="119"/>
      <c r="AQ88" s="119"/>
      <c r="AR88" s="119"/>
      <c r="AS88" s="119"/>
      <c r="AT88" s="119"/>
      <c r="AU88" s="119"/>
    </row>
    <row r="89" spans="1:47" s="68" customFormat="1" ht="14.15">
      <c r="A89" s="2"/>
      <c r="B89" s="54" t="s">
        <v>798</v>
      </c>
      <c r="C89" s="93"/>
      <c r="D89" s="290"/>
      <c r="E89" s="80">
        <f>IF(ISERROR(E38-E29+E44-E76-E81),"—",E38-E29+E44-E76-E81)</f>
        <v>0</v>
      </c>
      <c r="F89" s="80">
        <f t="shared" ref="F89:N89" si="81">IF(ISERROR(F38-F29+F44-F76-F81),"—",F38-F29+F44-F76-F81)</f>
        <v>0</v>
      </c>
      <c r="G89" s="80">
        <f t="shared" si="81"/>
        <v>0</v>
      </c>
      <c r="H89" s="80">
        <f t="shared" si="81"/>
        <v>0</v>
      </c>
      <c r="I89" s="80">
        <f t="shared" si="81"/>
        <v>0</v>
      </c>
      <c r="J89" s="80">
        <f t="shared" si="81"/>
        <v>0</v>
      </c>
      <c r="K89" s="80">
        <f t="shared" si="81"/>
        <v>0</v>
      </c>
      <c r="L89" s="80">
        <f t="shared" si="81"/>
        <v>0</v>
      </c>
      <c r="M89" s="80">
        <f t="shared" si="81"/>
        <v>0</v>
      </c>
      <c r="N89" s="80">
        <f t="shared" si="81"/>
        <v>0</v>
      </c>
      <c r="O89" s="80">
        <f>IF(ISERROR(O38-O29+O44-O76-O81),"—",O38-O29+O44-O76-O81)</f>
        <v>0</v>
      </c>
      <c r="P89" s="80">
        <f t="shared" ref="P89:AK89" si="82">IF(ISERROR(P16+P26-P20-P22-P24-P29+P44-P76-P81),"—",P16+P26-P20-P22-P24-P29+P44-P76-P81)</f>
        <v>0</v>
      </c>
      <c r="Q89" s="80">
        <f t="shared" si="82"/>
        <v>0</v>
      </c>
      <c r="R89" s="80">
        <f t="shared" si="82"/>
        <v>0</v>
      </c>
      <c r="S89" s="80">
        <f t="shared" si="82"/>
        <v>0</v>
      </c>
      <c r="T89" s="80">
        <f t="shared" si="82"/>
        <v>0</v>
      </c>
      <c r="U89" s="80">
        <f t="shared" si="82"/>
        <v>0</v>
      </c>
      <c r="V89" s="80">
        <f t="shared" si="82"/>
        <v>1077.88826911</v>
      </c>
      <c r="W89" s="80">
        <f t="shared" si="82"/>
        <v>1989.7775880700005</v>
      </c>
      <c r="X89" s="80">
        <f t="shared" si="82"/>
        <v>2809.8839280500001</v>
      </c>
      <c r="Y89" s="80">
        <f t="shared" si="82"/>
        <v>0</v>
      </c>
      <c r="Z89" s="80">
        <f t="shared" si="82"/>
        <v>0</v>
      </c>
      <c r="AA89" s="80">
        <f t="shared" si="82"/>
        <v>0</v>
      </c>
      <c r="AB89" s="80">
        <f t="shared" si="82"/>
        <v>0</v>
      </c>
      <c r="AC89" s="80">
        <f t="shared" si="82"/>
        <v>0</v>
      </c>
      <c r="AD89" s="80">
        <f t="shared" si="82"/>
        <v>0</v>
      </c>
      <c r="AE89" s="80">
        <f t="shared" si="82"/>
        <v>0</v>
      </c>
      <c r="AF89" s="80">
        <f t="shared" si="82"/>
        <v>0</v>
      </c>
      <c r="AG89" s="80">
        <f t="shared" si="82"/>
        <v>0</v>
      </c>
      <c r="AH89" s="80">
        <f t="shared" si="82"/>
        <v>0</v>
      </c>
      <c r="AI89" s="80">
        <f t="shared" si="82"/>
        <v>0</v>
      </c>
      <c r="AJ89" s="80">
        <f t="shared" si="82"/>
        <v>0</v>
      </c>
      <c r="AK89" s="80">
        <f t="shared" si="82"/>
        <v>0</v>
      </c>
      <c r="AL89" s="80" t="str">
        <f>IF(ISERROR(AL38-AL29+AL44-AL76-AL81),"—",AL38-AL29+AL44-AL76-AL81)</f>
        <v>—</v>
      </c>
      <c r="AM89" s="80" t="str">
        <f>IF(ISERROR(AM38-AM29+AM44-AM76-AM81),"—",AM38-AM29+AM44-AM76-AM81)</f>
        <v>—</v>
      </c>
      <c r="AN89" s="80" t="str">
        <f>IF(ISERROR(AN38-AN29+AN44-AN76-AN81),"—",AN38-AN29+AN44-AN76-AN81)</f>
        <v>—</v>
      </c>
      <c r="AO89" s="80">
        <f t="shared" ref="AO89:AU89" si="83">IF(ISERROR(AO38-AO29+AO44-AO76-AO81+AO78),"—",AO38-AO29+AO44-AO76-AO81)</f>
        <v>0</v>
      </c>
      <c r="AP89" s="80">
        <f t="shared" si="83"/>
        <v>0</v>
      </c>
      <c r="AQ89" s="80">
        <f t="shared" si="83"/>
        <v>0</v>
      </c>
      <c r="AR89" s="80">
        <f t="shared" si="83"/>
        <v>0</v>
      </c>
      <c r="AS89" s="80">
        <f t="shared" si="83"/>
        <v>0</v>
      </c>
      <c r="AT89" s="80">
        <f t="shared" si="83"/>
        <v>0</v>
      </c>
      <c r="AU89" s="80">
        <f t="shared" si="83"/>
        <v>0</v>
      </c>
    </row>
    <row r="90" spans="1:47" s="625" customFormat="1" ht="14.15">
      <c r="A90" s="604"/>
      <c r="B90" s="593"/>
      <c r="C90" s="600"/>
      <c r="D90" s="622"/>
      <c r="E90" s="602"/>
      <c r="F90" s="602"/>
      <c r="G90" s="602"/>
      <c r="H90" s="602"/>
      <c r="I90" s="602"/>
      <c r="J90" s="602"/>
      <c r="K90" s="602"/>
      <c r="L90" s="602"/>
      <c r="M90" s="602"/>
      <c r="N90" s="602"/>
      <c r="O90" s="602"/>
      <c r="P90" s="602"/>
      <c r="Q90" s="602"/>
      <c r="R90" s="602"/>
      <c r="S90" s="602"/>
      <c r="T90" s="602"/>
      <c r="U90" s="602"/>
      <c r="V90" s="602"/>
      <c r="W90" s="602"/>
      <c r="X90" s="602"/>
      <c r="Y90" s="602"/>
      <c r="Z90" s="602"/>
      <c r="AA90" s="602"/>
      <c r="AB90" s="602"/>
      <c r="AC90" s="602"/>
      <c r="AD90" s="602"/>
      <c r="AE90" s="602"/>
      <c r="AF90" s="602"/>
      <c r="AG90" s="602"/>
      <c r="AH90" s="602"/>
      <c r="AI90" s="602"/>
      <c r="AJ90" s="602"/>
      <c r="AK90" s="602"/>
      <c r="AL90" s="624"/>
      <c r="AM90" s="623"/>
      <c r="AN90" s="623"/>
      <c r="AO90" s="623"/>
      <c r="AP90" s="623"/>
      <c r="AQ90" s="623"/>
      <c r="AR90" s="623"/>
      <c r="AS90" s="623"/>
      <c r="AT90" s="623"/>
      <c r="AU90" s="623"/>
    </row>
    <row r="91" spans="1:47" s="88" customFormat="1" ht="13.75">
      <c r="A91" s="2"/>
      <c r="B91" s="1"/>
      <c r="C91" s="1"/>
      <c r="D91" s="107"/>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86"/>
      <c r="AI91" s="86"/>
      <c r="AJ91" s="86"/>
      <c r="AK91" s="86"/>
      <c r="AL91" s="91"/>
      <c r="AM91" s="91"/>
      <c r="AN91" s="91"/>
      <c r="AO91" s="91"/>
      <c r="AP91" s="91"/>
      <c r="AQ91" s="91"/>
      <c r="AR91" s="91"/>
      <c r="AS91" s="91"/>
      <c r="AT91" s="91"/>
      <c r="AU91" s="91"/>
    </row>
    <row r="92" spans="1:47" s="88" customFormat="1" ht="14.15">
      <c r="A92" s="6"/>
      <c r="B92" s="195" t="s">
        <v>799</v>
      </c>
      <c r="C92" s="92"/>
      <c r="D92" s="219"/>
      <c r="E92" s="218">
        <f>财务基础数据!J202*目录!$D$6</f>
        <v>0</v>
      </c>
      <c r="F92" s="218">
        <f>财务基础数据!K202*目录!$D$6</f>
        <v>0</v>
      </c>
      <c r="G92" s="218">
        <f>财务基础数据!L202*目录!$D$6</f>
        <v>0</v>
      </c>
      <c r="H92" s="218">
        <f>财务基础数据!M202*目录!$D$6</f>
        <v>0</v>
      </c>
      <c r="I92" s="218">
        <f>财务基础数据!N202*目录!$D$6</f>
        <v>0</v>
      </c>
      <c r="J92" s="218">
        <f>财务基础数据!O202*目录!$D$6</f>
        <v>0</v>
      </c>
      <c r="K92" s="218">
        <f>财务基础数据!P202*目录!$D$6</f>
        <v>0</v>
      </c>
      <c r="L92" s="218">
        <f>财务基础数据!Q202*目录!$D$6</f>
        <v>0</v>
      </c>
      <c r="M92" s="218">
        <f>财务基础数据!R202*目录!$D$6</f>
        <v>0</v>
      </c>
      <c r="N92" s="218">
        <f>财务基础数据!S202*目录!$D$6</f>
        <v>0</v>
      </c>
      <c r="O92" s="218">
        <f>财务基础数据!T202*目录!$D$6</f>
        <v>0</v>
      </c>
      <c r="P92" s="218">
        <f>财务基础数据!U202*目录!$D$6</f>
        <v>0</v>
      </c>
      <c r="Q92" s="218">
        <f>财务基础数据!V202*目录!$D$6</f>
        <v>0</v>
      </c>
      <c r="R92" s="218">
        <f>财务基础数据!W202*目录!$D$6</f>
        <v>0</v>
      </c>
      <c r="S92" s="218">
        <f>财务基础数据!X202*目录!$D$6</f>
        <v>0</v>
      </c>
      <c r="T92" s="218">
        <f>财务基础数据!Y202*目录!$D$6</f>
        <v>0</v>
      </c>
      <c r="U92" s="218">
        <f>财务基础数据!Z202*目录!$D$6</f>
        <v>0</v>
      </c>
      <c r="V92" s="36">
        <f>财务基础数据!AA202*目录!$D$6</f>
        <v>0</v>
      </c>
      <c r="W92" s="36">
        <f>财务基础数据!AB202*目录!$D$6</f>
        <v>0</v>
      </c>
      <c r="X92" s="36">
        <f>财务基础数据!AC202*目录!$D$6</f>
        <v>0</v>
      </c>
      <c r="Y92" s="36">
        <f>财务基础数据!AD202*目录!$D$6</f>
        <v>0</v>
      </c>
      <c r="Z92" s="36">
        <f>财务基础数据!AE202*目录!$D$6</f>
        <v>0</v>
      </c>
      <c r="AA92" s="36">
        <f>财务基础数据!AF202*目录!$D$6</f>
        <v>0</v>
      </c>
      <c r="AB92" s="36">
        <f>财务基础数据!AG202*目录!$D$6</f>
        <v>0</v>
      </c>
      <c r="AC92" s="36">
        <f>财务基础数据!AH202*目录!$D$6</f>
        <v>0</v>
      </c>
      <c r="AD92" s="36">
        <f>财务基础数据!AI202*目录!$D$6</f>
        <v>0</v>
      </c>
      <c r="AE92" s="36">
        <f>财务基础数据!AJ202*目录!$D$6</f>
        <v>0</v>
      </c>
      <c r="AF92" s="36">
        <f>财务基础数据!AK202*目录!$D$6</f>
        <v>0</v>
      </c>
      <c r="AG92" s="36">
        <f>财务基础数据!AL202*目录!$D$6</f>
        <v>0</v>
      </c>
      <c r="AH92" s="36">
        <f>财务基础数据!AM202*目录!$D$6</f>
        <v>0</v>
      </c>
      <c r="AI92" s="36">
        <f>财务基础数据!AN202*目录!$D$6</f>
        <v>0</v>
      </c>
      <c r="AJ92" s="36">
        <f>财务基础数据!AO202*目录!$D$6</f>
        <v>0</v>
      </c>
      <c r="AK92" s="36">
        <f>财务基础数据!AP202*目录!$D$6</f>
        <v>0</v>
      </c>
      <c r="AL92" s="36">
        <f>IF(ISERROR(资产负债表!AL78),"—",资产负债表!AL78)</f>
        <v>0</v>
      </c>
      <c r="AM92" s="36">
        <f>IF(ISERROR(资产负债表!AM78),"—",资产负债表!AM78)</f>
        <v>0</v>
      </c>
      <c r="AN92" s="36">
        <f>IF(ISERROR(资产负债表!AN78),"—",资产负债表!AN78)</f>
        <v>0</v>
      </c>
      <c r="AO92" s="36">
        <f>IF(ISERROR(资产负债表!AO78),"—",资产负债表!AO78)</f>
        <v>0</v>
      </c>
      <c r="AP92" s="36">
        <f>IF(ISERROR(资产负债表!AP78),"—",资产负债表!AP78)</f>
        <v>0</v>
      </c>
      <c r="AQ92" s="36">
        <f>IF(ISERROR(资产负债表!AQ78),"—",资产负债表!AQ78)</f>
        <v>0</v>
      </c>
      <c r="AR92" s="36">
        <f>IF(ISERROR(资产负债表!AR78),"—",资产负债表!AR78)</f>
        <v>0</v>
      </c>
      <c r="AS92" s="36">
        <f>IF(ISERROR(资产负债表!AS78),"—",资产负债表!AS78)</f>
        <v>0</v>
      </c>
      <c r="AT92" s="36">
        <f>IF(ISERROR(资产负债表!AT78),"—",资产负债表!AT78)</f>
        <v>0</v>
      </c>
      <c r="AU92" s="36">
        <f>IF(ISERROR(资产负债表!AU78),"—",资产负债表!AU78)</f>
        <v>0</v>
      </c>
    </row>
    <row r="93" spans="1:47" s="88" customFormat="1" ht="14.15">
      <c r="A93" s="6"/>
      <c r="B93" s="195" t="s">
        <v>800</v>
      </c>
      <c r="C93" s="92"/>
      <c r="D93" s="219"/>
      <c r="E93" s="218"/>
      <c r="F93" s="218"/>
      <c r="G93" s="218"/>
      <c r="H93" s="218"/>
      <c r="I93" s="218"/>
      <c r="J93" s="218"/>
      <c r="K93" s="218"/>
      <c r="L93" s="218"/>
      <c r="M93" s="218"/>
      <c r="N93" s="220"/>
      <c r="O93" s="218"/>
      <c r="P93" s="218"/>
      <c r="Q93" s="218"/>
      <c r="R93" s="218"/>
      <c r="S93" s="218"/>
      <c r="T93" s="218"/>
      <c r="U93" s="218"/>
      <c r="V93" s="218"/>
      <c r="W93" s="218"/>
      <c r="X93" s="218"/>
      <c r="Y93" s="218"/>
      <c r="Z93" s="218"/>
      <c r="AA93" s="218"/>
      <c r="AB93" s="218"/>
      <c r="AC93" s="218"/>
      <c r="AD93" s="218"/>
      <c r="AE93" s="218"/>
      <c r="AF93" s="218"/>
      <c r="AG93" s="218"/>
      <c r="AH93" s="218"/>
      <c r="AI93" s="218"/>
      <c r="AJ93" s="218"/>
      <c r="AK93" s="218"/>
      <c r="AL93" s="36">
        <f>AL92</f>
        <v>0</v>
      </c>
      <c r="AM93" s="36">
        <f t="shared" ref="AM93:AU93" si="84">AM92</f>
        <v>0</v>
      </c>
      <c r="AN93" s="36">
        <f t="shared" si="84"/>
        <v>0</v>
      </c>
      <c r="AO93" s="36">
        <f t="shared" si="84"/>
        <v>0</v>
      </c>
      <c r="AP93" s="36">
        <f t="shared" si="84"/>
        <v>0</v>
      </c>
      <c r="AQ93" s="36">
        <f t="shared" si="84"/>
        <v>0</v>
      </c>
      <c r="AR93" s="36">
        <f t="shared" si="84"/>
        <v>0</v>
      </c>
      <c r="AS93" s="36">
        <f t="shared" si="84"/>
        <v>0</v>
      </c>
      <c r="AT93" s="36">
        <f t="shared" si="84"/>
        <v>0</v>
      </c>
      <c r="AU93" s="36">
        <f t="shared" si="84"/>
        <v>0</v>
      </c>
    </row>
    <row r="94" spans="1:47" s="88" customFormat="1" ht="14.15">
      <c r="A94" s="6"/>
      <c r="B94" s="94"/>
      <c r="C94" s="92"/>
      <c r="D94" s="219"/>
      <c r="E94" s="220"/>
      <c r="F94" s="220"/>
      <c r="G94" s="220"/>
      <c r="H94" s="220"/>
      <c r="I94" s="220"/>
      <c r="J94" s="220"/>
      <c r="K94" s="220"/>
      <c r="L94" s="220"/>
      <c r="M94" s="220"/>
      <c r="N94" s="220"/>
      <c r="O94" s="220"/>
      <c r="P94" s="220"/>
      <c r="Q94" s="220"/>
      <c r="R94" s="220"/>
      <c r="S94" s="220"/>
      <c r="T94" s="220"/>
      <c r="U94" s="220"/>
      <c r="V94" s="220"/>
      <c r="W94" s="220"/>
      <c r="X94" s="220"/>
      <c r="Y94" s="220"/>
      <c r="Z94" s="220"/>
      <c r="AA94" s="220"/>
      <c r="AB94" s="220"/>
      <c r="AC94" s="220"/>
      <c r="AD94" s="220"/>
      <c r="AE94" s="220"/>
      <c r="AF94" s="220"/>
      <c r="AG94" s="220"/>
      <c r="AH94" s="220"/>
      <c r="AI94" s="220"/>
      <c r="AJ94" s="220"/>
      <c r="AK94" s="220"/>
      <c r="AL94" s="222"/>
      <c r="AM94" s="222"/>
      <c r="AN94" s="222"/>
      <c r="AO94" s="222"/>
      <c r="AP94" s="222"/>
      <c r="AQ94" s="222"/>
      <c r="AR94" s="222"/>
      <c r="AS94" s="222"/>
      <c r="AT94" s="222"/>
      <c r="AU94" s="222"/>
    </row>
    <row r="95" spans="1:47" s="95" customFormat="1" ht="13.75">
      <c r="A95" s="2"/>
      <c r="B95" s="42" t="s">
        <v>801</v>
      </c>
      <c r="C95" s="1"/>
      <c r="D95" s="107"/>
      <c r="E95" s="221">
        <f>财务基础数据!J42</f>
        <v>0</v>
      </c>
      <c r="F95" s="221">
        <f>财务基础数据!K42</f>
        <v>0</v>
      </c>
      <c r="G95" s="221">
        <f>财务基础数据!L42</f>
        <v>0</v>
      </c>
      <c r="H95" s="221">
        <f>财务基础数据!M42</f>
        <v>0</v>
      </c>
      <c r="I95" s="221">
        <f>财务基础数据!N42</f>
        <v>0</v>
      </c>
      <c r="J95" s="221">
        <f>财务基础数据!O42</f>
        <v>0</v>
      </c>
      <c r="K95" s="221">
        <f>财务基础数据!P42</f>
        <v>0</v>
      </c>
      <c r="L95" s="221">
        <f>财务基础数据!Q42</f>
        <v>0</v>
      </c>
      <c r="M95" s="221">
        <f>财务基础数据!R42</f>
        <v>0</v>
      </c>
      <c r="N95" s="221">
        <f>财务基础数据!S42</f>
        <v>0</v>
      </c>
      <c r="O95" s="221">
        <f>财务基础数据!T42</f>
        <v>0</v>
      </c>
      <c r="P95" s="221">
        <f>财务基础数据!U42</f>
        <v>0</v>
      </c>
      <c r="Q95" s="221">
        <f>财务基础数据!V42</f>
        <v>0</v>
      </c>
      <c r="R95" s="221">
        <f>财务基础数据!W42</f>
        <v>0</v>
      </c>
      <c r="S95" s="221">
        <f>财务基础数据!X42</f>
        <v>0</v>
      </c>
      <c r="T95" s="221">
        <f>财务基础数据!Y42</f>
        <v>0</v>
      </c>
      <c r="U95" s="221">
        <f>财务基础数据!Z42</f>
        <v>0</v>
      </c>
      <c r="V95" s="221">
        <f>财务基础数据!AA42</f>
        <v>0.72299999999999998</v>
      </c>
      <c r="W95" s="221">
        <f>财务基础数据!AB42</f>
        <v>1.343</v>
      </c>
      <c r="X95" s="221">
        <f>财务基础数据!AC42</f>
        <v>1.8779999999999999</v>
      </c>
      <c r="Y95" s="221">
        <f>财务基础数据!AD42</f>
        <v>0</v>
      </c>
      <c r="Z95" s="221">
        <f>财务基础数据!AE42</f>
        <v>0</v>
      </c>
      <c r="AA95" s="221">
        <f>财务基础数据!AF42</f>
        <v>0</v>
      </c>
      <c r="AB95" s="221">
        <f>财务基础数据!AG42</f>
        <v>0</v>
      </c>
      <c r="AC95" s="221">
        <f>财务基础数据!AH42</f>
        <v>0</v>
      </c>
      <c r="AD95" s="221">
        <f>财务基础数据!AI42</f>
        <v>0</v>
      </c>
      <c r="AE95" s="221">
        <f>财务基础数据!AJ42</f>
        <v>0</v>
      </c>
      <c r="AF95" s="221">
        <f>财务基础数据!AK42</f>
        <v>0</v>
      </c>
      <c r="AG95" s="221">
        <f>财务基础数据!AL42</f>
        <v>0</v>
      </c>
      <c r="AH95" s="221">
        <f>财务基础数据!AM42</f>
        <v>0</v>
      </c>
      <c r="AI95" s="221" t="str">
        <f>IF(ISERROR(AI84/AI92),"0",AI84/AI92)</f>
        <v>0</v>
      </c>
      <c r="AJ95" s="221" t="str">
        <f>IF(ISERROR(AJ84/AJ92),"0",AJ84/AJ92)</f>
        <v>0</v>
      </c>
      <c r="AK95" s="221" t="str">
        <f>IF(ISERROR(AK84/AK92),"0",AK84/AK92)</f>
        <v>0</v>
      </c>
      <c r="AL95" s="221" t="str">
        <f t="shared" ref="AL95:AQ95" si="85">IF(ISERROR(AL84/AL92),"—",AL84/AL92)</f>
        <v>—</v>
      </c>
      <c r="AM95" s="221" t="str">
        <f t="shared" si="85"/>
        <v>—</v>
      </c>
      <c r="AN95" s="221" t="str">
        <f t="shared" si="85"/>
        <v>—</v>
      </c>
      <c r="AO95" s="221" t="str">
        <f t="shared" si="85"/>
        <v>—</v>
      </c>
      <c r="AP95" s="221" t="str">
        <f t="shared" si="85"/>
        <v>—</v>
      </c>
      <c r="AQ95" s="221" t="str">
        <f t="shared" si="85"/>
        <v>—</v>
      </c>
      <c r="AR95" s="221" t="str">
        <f>IF(ISERROR(AR84/AR92),"—",AR84/AR92)</f>
        <v>—</v>
      </c>
      <c r="AS95" s="221" t="str">
        <f>IF(ISERROR(AS84/AS92),"—",AS84/AS92)</f>
        <v>—</v>
      </c>
      <c r="AT95" s="221" t="str">
        <f>IF(ISERROR(AT84/AT92),"—",AT84/AT92)</f>
        <v>—</v>
      </c>
      <c r="AU95" s="221" t="str">
        <f>IF(ISERROR(AU84/AU92),"—",AU84/AU92)</f>
        <v>—</v>
      </c>
    </row>
    <row r="96" spans="1:47" ht="14.15">
      <c r="A96" s="6"/>
      <c r="B96" s="94"/>
      <c r="C96" s="69" t="s">
        <v>781</v>
      </c>
      <c r="D96" s="2"/>
      <c r="E96" s="71" t="str">
        <f>IF(ISERROR((E95-#REF!)/ABS(#REF!)),"—",(E95-#REF!)/ABS(#REF!))</f>
        <v>—</v>
      </c>
      <c r="F96" s="71" t="str">
        <f>IF(ISERROR((F95-#REF!)/ABS(#REF!)),"—",(F95-#REF!)/ABS(#REF!))</f>
        <v>—</v>
      </c>
      <c r="G96" s="71" t="str">
        <f>IF(ISERROR((G95-#REF!)/ABS(#REF!)),"—",(G95-#REF!)/ABS(#REF!))</f>
        <v>—</v>
      </c>
      <c r="H96" s="71" t="str">
        <f>IF(ISERROR((H95-#REF!)/ABS(#REF!)),"—",(H95-#REF!)/ABS(#REF!))</f>
        <v>—</v>
      </c>
      <c r="I96" s="71" t="str">
        <f t="shared" ref="I96:AK96" si="86">IF(ISERROR((I95-E95)/ABS(E95)),"—",(I95-E95)/ABS(E95))</f>
        <v>—</v>
      </c>
      <c r="J96" s="71" t="str">
        <f t="shared" si="86"/>
        <v>—</v>
      </c>
      <c r="K96" s="71" t="str">
        <f t="shared" si="86"/>
        <v>—</v>
      </c>
      <c r="L96" s="71" t="str">
        <f t="shared" si="86"/>
        <v>—</v>
      </c>
      <c r="M96" s="71" t="str">
        <f t="shared" si="86"/>
        <v>—</v>
      </c>
      <c r="N96" s="71" t="str">
        <f t="shared" si="86"/>
        <v>—</v>
      </c>
      <c r="O96" s="71" t="str">
        <f t="shared" si="86"/>
        <v>—</v>
      </c>
      <c r="P96" s="71" t="str">
        <f t="shared" si="86"/>
        <v>—</v>
      </c>
      <c r="Q96" s="71" t="str">
        <f t="shared" si="86"/>
        <v>—</v>
      </c>
      <c r="R96" s="71" t="str">
        <f t="shared" si="86"/>
        <v>—</v>
      </c>
      <c r="S96" s="71" t="str">
        <f t="shared" si="86"/>
        <v>—</v>
      </c>
      <c r="T96" s="71" t="str">
        <f t="shared" si="86"/>
        <v>—</v>
      </c>
      <c r="U96" s="71" t="str">
        <f t="shared" si="86"/>
        <v>—</v>
      </c>
      <c r="V96" s="71" t="str">
        <f t="shared" si="86"/>
        <v>—</v>
      </c>
      <c r="W96" s="71" t="str">
        <f t="shared" si="86"/>
        <v>—</v>
      </c>
      <c r="X96" s="71" t="str">
        <f t="shared" si="86"/>
        <v>—</v>
      </c>
      <c r="Y96" s="71" t="str">
        <f t="shared" si="86"/>
        <v>—</v>
      </c>
      <c r="Z96" s="71">
        <f t="shared" si="86"/>
        <v>-1</v>
      </c>
      <c r="AA96" s="71">
        <f t="shared" si="86"/>
        <v>-1</v>
      </c>
      <c r="AB96" s="71">
        <f t="shared" si="86"/>
        <v>-1</v>
      </c>
      <c r="AC96" s="71" t="str">
        <f t="shared" si="86"/>
        <v>—</v>
      </c>
      <c r="AD96" s="71" t="str">
        <f t="shared" si="86"/>
        <v>—</v>
      </c>
      <c r="AE96" s="71" t="str">
        <f t="shared" si="86"/>
        <v>—</v>
      </c>
      <c r="AF96" s="71" t="str">
        <f t="shared" si="86"/>
        <v>—</v>
      </c>
      <c r="AG96" s="71" t="str">
        <f t="shared" si="86"/>
        <v>—</v>
      </c>
      <c r="AH96" s="71" t="str">
        <f t="shared" si="86"/>
        <v>—</v>
      </c>
      <c r="AI96" s="71" t="str">
        <f t="shared" si="86"/>
        <v>—</v>
      </c>
      <c r="AJ96" s="71" t="str">
        <f t="shared" si="86"/>
        <v>—</v>
      </c>
      <c r="AK96" s="71" t="str">
        <f t="shared" si="86"/>
        <v>—</v>
      </c>
      <c r="AL96" s="71" t="str">
        <f>IF(ISERROR((AL95-AG95)/ABS(AG95)),"—",(AL95-AG95)/ABS(AG95))</f>
        <v>—</v>
      </c>
      <c r="AM96" s="71" t="str">
        <f t="shared" ref="AM96:AU96" si="87">IF(ISERROR((AM95-AL95)/ABS(AL95)),"—",(AM95-AL95)/ABS(AL95))</f>
        <v>—</v>
      </c>
      <c r="AN96" s="71" t="str">
        <f t="shared" si="87"/>
        <v>—</v>
      </c>
      <c r="AO96" s="71" t="str">
        <f t="shared" si="87"/>
        <v>—</v>
      </c>
      <c r="AP96" s="71" t="str">
        <f t="shared" si="87"/>
        <v>—</v>
      </c>
      <c r="AQ96" s="71" t="str">
        <f t="shared" si="87"/>
        <v>—</v>
      </c>
      <c r="AR96" s="71" t="str">
        <f t="shared" si="87"/>
        <v>—</v>
      </c>
      <c r="AS96" s="71" t="str">
        <f t="shared" si="87"/>
        <v>—</v>
      </c>
      <c r="AT96" s="71" t="str">
        <f t="shared" si="87"/>
        <v>—</v>
      </c>
      <c r="AU96" s="71" t="str">
        <f t="shared" si="87"/>
        <v>—</v>
      </c>
    </row>
    <row r="97" spans="1:47" s="95" customFormat="1" ht="13.75">
      <c r="A97" s="2"/>
      <c r="B97" s="42" t="s">
        <v>802</v>
      </c>
      <c r="C97" s="1"/>
      <c r="D97" s="107"/>
      <c r="E97" s="221">
        <f>财务基础数据!J43</f>
        <v>0</v>
      </c>
      <c r="F97" s="221">
        <f>财务基础数据!K43</f>
        <v>0</v>
      </c>
      <c r="G97" s="221">
        <f>财务基础数据!L43</f>
        <v>0</v>
      </c>
      <c r="H97" s="221">
        <f>财务基础数据!M43</f>
        <v>0</v>
      </c>
      <c r="I97" s="221">
        <f>财务基础数据!N43</f>
        <v>0</v>
      </c>
      <c r="J97" s="221">
        <f>财务基础数据!O43</f>
        <v>0</v>
      </c>
      <c r="K97" s="221">
        <f>财务基础数据!P43</f>
        <v>0</v>
      </c>
      <c r="L97" s="221">
        <f>财务基础数据!Q43</f>
        <v>0</v>
      </c>
      <c r="M97" s="221">
        <f>财务基础数据!R43</f>
        <v>0</v>
      </c>
      <c r="N97" s="221">
        <f>财务基础数据!S43</f>
        <v>0</v>
      </c>
      <c r="O97" s="221">
        <f>财务基础数据!T43</f>
        <v>0</v>
      </c>
      <c r="P97" s="221">
        <f>财务基础数据!U43</f>
        <v>0</v>
      </c>
      <c r="Q97" s="221">
        <f>财务基础数据!V43</f>
        <v>0</v>
      </c>
      <c r="R97" s="221">
        <f>财务基础数据!W43</f>
        <v>0</v>
      </c>
      <c r="S97" s="221">
        <f>财务基础数据!X43</f>
        <v>0</v>
      </c>
      <c r="T97" s="221">
        <f>财务基础数据!Y43</f>
        <v>0</v>
      </c>
      <c r="U97" s="221">
        <f>财务基础数据!Z43</f>
        <v>0</v>
      </c>
      <c r="V97" s="221">
        <f>财务基础数据!AA43</f>
        <v>0.72299999999999998</v>
      </c>
      <c r="W97" s="221">
        <f>财务基础数据!AB43</f>
        <v>1.343</v>
      </c>
      <c r="X97" s="221">
        <f>财务基础数据!AC43</f>
        <v>1.8779999999999999</v>
      </c>
      <c r="Y97" s="221">
        <f>财务基础数据!AD43</f>
        <v>0</v>
      </c>
      <c r="Z97" s="221">
        <f>财务基础数据!AE43</f>
        <v>0</v>
      </c>
      <c r="AA97" s="221">
        <f>财务基础数据!AF43</f>
        <v>0</v>
      </c>
      <c r="AB97" s="221">
        <f>财务基础数据!AG43</f>
        <v>0</v>
      </c>
      <c r="AC97" s="221">
        <f>财务基础数据!AH43</f>
        <v>0</v>
      </c>
      <c r="AD97" s="221">
        <f>财务基础数据!AI43</f>
        <v>0</v>
      </c>
      <c r="AE97" s="221">
        <f>财务基础数据!AJ43</f>
        <v>0</v>
      </c>
      <c r="AF97" s="221">
        <f>财务基础数据!AK43</f>
        <v>0</v>
      </c>
      <c r="AG97" s="221">
        <f>财务基础数据!AL43</f>
        <v>0</v>
      </c>
      <c r="AH97" s="221">
        <f>财务基础数据!AM43</f>
        <v>0</v>
      </c>
      <c r="AI97" s="221" t="str">
        <f>IF(ISERROR(AI84/AI93),"0",AI84/AI93)</f>
        <v>0</v>
      </c>
      <c r="AJ97" s="221" t="str">
        <f>IF(ISERROR(AJ84/AJ93),"0",AJ84/AJ93)</f>
        <v>0</v>
      </c>
      <c r="AK97" s="221" t="str">
        <f>IF(ISERROR(AK84/AK93),"0",AK84/AK93)</f>
        <v>0</v>
      </c>
      <c r="AL97" s="221" t="str">
        <f t="shared" ref="AL97:AU97" si="88">IF(ISERROR(AL84/AL93),"—",AL84/AL93)</f>
        <v>—</v>
      </c>
      <c r="AM97" s="221" t="str">
        <f t="shared" si="88"/>
        <v>—</v>
      </c>
      <c r="AN97" s="221" t="str">
        <f t="shared" si="88"/>
        <v>—</v>
      </c>
      <c r="AO97" s="221" t="str">
        <f t="shared" si="88"/>
        <v>—</v>
      </c>
      <c r="AP97" s="221" t="str">
        <f t="shared" si="88"/>
        <v>—</v>
      </c>
      <c r="AQ97" s="221" t="str">
        <f t="shared" si="88"/>
        <v>—</v>
      </c>
      <c r="AR97" s="221" t="str">
        <f t="shared" si="88"/>
        <v>—</v>
      </c>
      <c r="AS97" s="221" t="str">
        <f t="shared" si="88"/>
        <v>—</v>
      </c>
      <c r="AT97" s="221" t="str">
        <f t="shared" si="88"/>
        <v>—</v>
      </c>
      <c r="AU97" s="221" t="str">
        <f t="shared" si="88"/>
        <v>—</v>
      </c>
    </row>
    <row r="98" spans="1:47" ht="14.15">
      <c r="A98" s="6"/>
      <c r="B98" s="94"/>
      <c r="C98" s="69" t="s">
        <v>781</v>
      </c>
      <c r="D98" s="2"/>
      <c r="E98" s="71" t="str">
        <f>IF(ISERROR((E97-#REF!)/ABS(#REF!)),"—",(E97-#REF!)/ABS(#REF!))</f>
        <v>—</v>
      </c>
      <c r="F98" s="71" t="str">
        <f>IF(ISERROR((F97-#REF!)/ABS(#REF!)),"—",(F97-#REF!)/ABS(#REF!))</f>
        <v>—</v>
      </c>
      <c r="G98" s="71" t="str">
        <f>IF(ISERROR((G97-#REF!)/ABS(#REF!)),"—",(G97-#REF!)/ABS(#REF!))</f>
        <v>—</v>
      </c>
      <c r="H98" s="71" t="str">
        <f>IF(ISERROR((H97-#REF!)/ABS(#REF!)),"—",(H97-#REF!)/ABS(#REF!))</f>
        <v>—</v>
      </c>
      <c r="I98" s="71" t="str">
        <f t="shared" ref="I98:AK98" si="89">IF(ISERROR((I97-E97)/ABS(E97)),"—",(I97-E97)/ABS(E97))</f>
        <v>—</v>
      </c>
      <c r="J98" s="71" t="str">
        <f t="shared" si="89"/>
        <v>—</v>
      </c>
      <c r="K98" s="71" t="str">
        <f t="shared" si="89"/>
        <v>—</v>
      </c>
      <c r="L98" s="71" t="str">
        <f t="shared" si="89"/>
        <v>—</v>
      </c>
      <c r="M98" s="71" t="str">
        <f t="shared" si="89"/>
        <v>—</v>
      </c>
      <c r="N98" s="71" t="str">
        <f t="shared" si="89"/>
        <v>—</v>
      </c>
      <c r="O98" s="71" t="str">
        <f t="shared" si="89"/>
        <v>—</v>
      </c>
      <c r="P98" s="71" t="str">
        <f t="shared" si="89"/>
        <v>—</v>
      </c>
      <c r="Q98" s="71" t="str">
        <f t="shared" si="89"/>
        <v>—</v>
      </c>
      <c r="R98" s="71" t="str">
        <f t="shared" si="89"/>
        <v>—</v>
      </c>
      <c r="S98" s="71" t="str">
        <f t="shared" si="89"/>
        <v>—</v>
      </c>
      <c r="T98" s="71" t="str">
        <f t="shared" si="89"/>
        <v>—</v>
      </c>
      <c r="U98" s="71" t="str">
        <f t="shared" si="89"/>
        <v>—</v>
      </c>
      <c r="V98" s="71" t="str">
        <f t="shared" si="89"/>
        <v>—</v>
      </c>
      <c r="W98" s="71" t="str">
        <f t="shared" si="89"/>
        <v>—</v>
      </c>
      <c r="X98" s="71" t="str">
        <f t="shared" si="89"/>
        <v>—</v>
      </c>
      <c r="Y98" s="71" t="str">
        <f t="shared" si="89"/>
        <v>—</v>
      </c>
      <c r="Z98" s="71">
        <f t="shared" si="89"/>
        <v>-1</v>
      </c>
      <c r="AA98" s="71">
        <f t="shared" si="89"/>
        <v>-1</v>
      </c>
      <c r="AB98" s="71">
        <f t="shared" si="89"/>
        <v>-1</v>
      </c>
      <c r="AC98" s="71" t="str">
        <f t="shared" si="89"/>
        <v>—</v>
      </c>
      <c r="AD98" s="71" t="str">
        <f t="shared" si="89"/>
        <v>—</v>
      </c>
      <c r="AE98" s="71" t="str">
        <f t="shared" si="89"/>
        <v>—</v>
      </c>
      <c r="AF98" s="71" t="str">
        <f t="shared" si="89"/>
        <v>—</v>
      </c>
      <c r="AG98" s="71" t="str">
        <f t="shared" si="89"/>
        <v>—</v>
      </c>
      <c r="AH98" s="71" t="str">
        <f t="shared" si="89"/>
        <v>—</v>
      </c>
      <c r="AI98" s="71" t="str">
        <f t="shared" si="89"/>
        <v>—</v>
      </c>
      <c r="AJ98" s="71" t="str">
        <f t="shared" si="89"/>
        <v>—</v>
      </c>
      <c r="AK98" s="71" t="str">
        <f t="shared" si="89"/>
        <v>—</v>
      </c>
      <c r="AL98" s="71" t="str">
        <f>IF(ISERROR((AL97-AG97)/ABS(AG97)),"—",(AL97-AG97)/ABS(AG97))</f>
        <v>—</v>
      </c>
      <c r="AM98" s="71" t="str">
        <f t="shared" ref="AM98:AU98" si="90">IF(ISERROR((AM97-AL97)/ABS(AL97)),"—",(AM97-AL97)/ABS(AL97))</f>
        <v>—</v>
      </c>
      <c r="AN98" s="71" t="str">
        <f t="shared" si="90"/>
        <v>—</v>
      </c>
      <c r="AO98" s="71" t="str">
        <f t="shared" si="90"/>
        <v>—</v>
      </c>
      <c r="AP98" s="71" t="str">
        <f t="shared" si="90"/>
        <v>—</v>
      </c>
      <c r="AQ98" s="71" t="str">
        <f t="shared" si="90"/>
        <v>—</v>
      </c>
      <c r="AR98" s="71" t="str">
        <f t="shared" si="90"/>
        <v>—</v>
      </c>
      <c r="AS98" s="71" t="str">
        <f t="shared" si="90"/>
        <v>—</v>
      </c>
      <c r="AT98" s="71" t="str">
        <f t="shared" si="90"/>
        <v>—</v>
      </c>
      <c r="AU98" s="71" t="str">
        <f t="shared" si="90"/>
        <v>—</v>
      </c>
    </row>
    <row r="99" spans="1:47">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row>
    <row r="100" spans="1:47" ht="13.75">
      <c r="B100" s="42" t="s">
        <v>1010</v>
      </c>
      <c r="E100" s="377">
        <v>0</v>
      </c>
      <c r="F100" s="36"/>
      <c r="G100" s="36"/>
      <c r="H100" s="36"/>
      <c r="I100" s="377">
        <v>0</v>
      </c>
      <c r="J100" s="36"/>
      <c r="K100" s="36"/>
      <c r="L100" s="36"/>
      <c r="M100" s="377">
        <v>0</v>
      </c>
      <c r="N100" s="36"/>
      <c r="O100" s="36"/>
      <c r="P100" s="36"/>
      <c r="Q100" s="377">
        <v>0</v>
      </c>
      <c r="R100" s="36"/>
      <c r="S100" s="36"/>
      <c r="T100" s="36"/>
      <c r="U100" s="377">
        <v>0</v>
      </c>
      <c r="V100" s="36"/>
      <c r="W100" s="36"/>
      <c r="X100" s="36"/>
      <c r="Y100" s="377">
        <v>0</v>
      </c>
      <c r="Z100" s="36"/>
      <c r="AA100" s="36"/>
      <c r="AB100" s="36"/>
      <c r="AC100" s="377">
        <v>0</v>
      </c>
      <c r="AD100" s="36"/>
      <c r="AE100" s="36"/>
      <c r="AF100" s="36"/>
      <c r="AG100" s="377">
        <v>0</v>
      </c>
      <c r="AH100" s="36"/>
      <c r="AI100" s="36"/>
      <c r="AJ100" s="36"/>
      <c r="AK100" s="462"/>
      <c r="AL100" s="36" t="str">
        <f>IF(ISERROR(AL102/AL92),"0.00",AL102/AL92)</f>
        <v>0.00</v>
      </c>
      <c r="AM100" s="36" t="str">
        <f t="shared" ref="AM100:AU100" si="91">IF(ISERROR(AM102/AM92),"0",AM102/AM92)</f>
        <v>0</v>
      </c>
      <c r="AN100" s="36" t="str">
        <f t="shared" si="91"/>
        <v>0</v>
      </c>
      <c r="AO100" s="36" t="str">
        <f t="shared" si="91"/>
        <v>0</v>
      </c>
      <c r="AP100" s="36" t="str">
        <f t="shared" si="91"/>
        <v>0</v>
      </c>
      <c r="AQ100" s="36" t="str">
        <f t="shared" si="91"/>
        <v>0</v>
      </c>
      <c r="AR100" s="36" t="str">
        <f t="shared" si="91"/>
        <v>0</v>
      </c>
      <c r="AS100" s="36" t="str">
        <f t="shared" si="91"/>
        <v>0</v>
      </c>
      <c r="AT100" s="36" t="str">
        <f t="shared" si="91"/>
        <v>0</v>
      </c>
      <c r="AU100" s="36" t="str">
        <f t="shared" si="91"/>
        <v>0</v>
      </c>
    </row>
    <row r="101" spans="1:47" ht="14.15">
      <c r="B101" s="42"/>
      <c r="C101" s="42" t="s">
        <v>996</v>
      </c>
      <c r="E101" s="71" t="str">
        <f>IF(ISERROR(E100/E95),"—",E100/E95)</f>
        <v>—</v>
      </c>
      <c r="F101" s="36"/>
      <c r="G101" s="36"/>
      <c r="H101" s="36"/>
      <c r="I101" s="71" t="str">
        <f>IF(ISERROR(I100/I95),"—",I100/I95)</f>
        <v>—</v>
      </c>
      <c r="J101" s="36"/>
      <c r="K101" s="36"/>
      <c r="L101" s="36"/>
      <c r="M101" s="71" t="str">
        <f>IF(ISERROR(M100/M95),"—",M100/M95)</f>
        <v>—</v>
      </c>
      <c r="N101" s="36"/>
      <c r="O101" s="36"/>
      <c r="P101" s="36"/>
      <c r="Q101" s="71" t="str">
        <f>IF(ISERROR(Q100/Q95),"—",Q100/Q95)</f>
        <v>—</v>
      </c>
      <c r="R101" s="36"/>
      <c r="S101" s="36"/>
      <c r="T101" s="36"/>
      <c r="U101" s="71" t="str">
        <f>IF(ISERROR(U100/U95),"—",U100/U95)</f>
        <v>—</v>
      </c>
      <c r="V101" s="36"/>
      <c r="W101" s="36"/>
      <c r="X101" s="36"/>
      <c r="Y101" s="71" t="str">
        <f>IF(ISERROR(Y100/Y95),"—",Y100/Y95)</f>
        <v>—</v>
      </c>
      <c r="Z101" s="36"/>
      <c r="AA101" s="36"/>
      <c r="AB101" s="36"/>
      <c r="AC101" s="71" t="str">
        <f>IF(ISERROR(AC100/AC95),"—",AC100/AC95)</f>
        <v>—</v>
      </c>
      <c r="AD101" s="36"/>
      <c r="AE101" s="36"/>
      <c r="AF101" s="36"/>
      <c r="AG101" s="71" t="str">
        <f>IF(ISERROR(AG100/AG95),"—",AG100/AG95)</f>
        <v>—</v>
      </c>
      <c r="AH101" s="36"/>
      <c r="AI101" s="36"/>
      <c r="AJ101" s="36"/>
      <c r="AK101" s="462"/>
      <c r="AL101" s="71">
        <f>IF(ISERROR(资产预测!P218),"—",资产预测!P218)</f>
        <v>0</v>
      </c>
      <c r="AM101" s="71">
        <f>IF(ISERROR(资产预测!Q218),"—",资产预测!Q218)</f>
        <v>0</v>
      </c>
      <c r="AN101" s="71">
        <f>IF(ISERROR(资产预测!R218),"—",资产预测!R218)</f>
        <v>0</v>
      </c>
      <c r="AO101" s="71">
        <f>IF(ISERROR(资产预测!S218),"—",资产预测!S218)</f>
        <v>0</v>
      </c>
      <c r="AP101" s="71">
        <f>IF(ISERROR(资产预测!T218),"—",资产预测!T218)</f>
        <v>0</v>
      </c>
      <c r="AQ101" s="71">
        <f>IF(ISERROR(资产预测!U218),"—",资产预测!U218)</f>
        <v>0</v>
      </c>
      <c r="AR101" s="71">
        <f>IF(ISERROR(资产预测!V218),"—",资产预测!V218)</f>
        <v>0</v>
      </c>
      <c r="AS101" s="71">
        <f>IF(ISERROR(资产预测!W218),"—",资产预测!W218)</f>
        <v>0</v>
      </c>
      <c r="AT101" s="71">
        <f>IF(ISERROR(资产预测!X218),"—",资产预测!X218)</f>
        <v>0</v>
      </c>
      <c r="AU101" s="71">
        <f>IF(ISERROR(资产预测!Y218),"—",资产预测!Y218)</f>
        <v>0</v>
      </c>
    </row>
    <row r="102" spans="1:47" ht="14.15" thickBot="1">
      <c r="B102" s="448" t="s">
        <v>998</v>
      </c>
      <c r="C102" s="449"/>
      <c r="D102" s="450"/>
      <c r="E102" s="451">
        <f>IF(ISERROR(E100*E92),"—",E100*E92)</f>
        <v>0</v>
      </c>
      <c r="F102" s="451">
        <f t="shared" ref="F102:AK102" si="92">IF(ISERROR(F100*F92),"—",F100*F92)</f>
        <v>0</v>
      </c>
      <c r="G102" s="451">
        <f t="shared" si="92"/>
        <v>0</v>
      </c>
      <c r="H102" s="451">
        <f t="shared" si="92"/>
        <v>0</v>
      </c>
      <c r="I102" s="451">
        <f t="shared" si="92"/>
        <v>0</v>
      </c>
      <c r="J102" s="451">
        <f t="shared" si="92"/>
        <v>0</v>
      </c>
      <c r="K102" s="451">
        <f t="shared" si="92"/>
        <v>0</v>
      </c>
      <c r="L102" s="451">
        <f t="shared" si="92"/>
        <v>0</v>
      </c>
      <c r="M102" s="451">
        <f t="shared" si="92"/>
        <v>0</v>
      </c>
      <c r="N102" s="451">
        <f t="shared" si="92"/>
        <v>0</v>
      </c>
      <c r="O102" s="451">
        <f t="shared" si="92"/>
        <v>0</v>
      </c>
      <c r="P102" s="451">
        <f t="shared" si="92"/>
        <v>0</v>
      </c>
      <c r="Q102" s="451">
        <f t="shared" si="92"/>
        <v>0</v>
      </c>
      <c r="R102" s="451">
        <f t="shared" si="92"/>
        <v>0</v>
      </c>
      <c r="S102" s="451">
        <f t="shared" si="92"/>
        <v>0</v>
      </c>
      <c r="T102" s="451">
        <f t="shared" si="92"/>
        <v>0</v>
      </c>
      <c r="U102" s="451">
        <f t="shared" si="92"/>
        <v>0</v>
      </c>
      <c r="V102" s="451">
        <f t="shared" si="92"/>
        <v>0</v>
      </c>
      <c r="W102" s="451">
        <f t="shared" si="92"/>
        <v>0</v>
      </c>
      <c r="X102" s="451">
        <f t="shared" si="92"/>
        <v>0</v>
      </c>
      <c r="Y102" s="451">
        <f t="shared" si="92"/>
        <v>0</v>
      </c>
      <c r="Z102" s="451">
        <f t="shared" si="92"/>
        <v>0</v>
      </c>
      <c r="AA102" s="451">
        <f t="shared" si="92"/>
        <v>0</v>
      </c>
      <c r="AB102" s="451">
        <f t="shared" si="92"/>
        <v>0</v>
      </c>
      <c r="AC102" s="451">
        <f t="shared" si="92"/>
        <v>0</v>
      </c>
      <c r="AD102" s="451">
        <f t="shared" si="92"/>
        <v>0</v>
      </c>
      <c r="AE102" s="451">
        <f t="shared" si="92"/>
        <v>0</v>
      </c>
      <c r="AF102" s="451">
        <f t="shared" si="92"/>
        <v>0</v>
      </c>
      <c r="AG102" s="451">
        <f t="shared" si="92"/>
        <v>0</v>
      </c>
      <c r="AH102" s="451">
        <f t="shared" si="92"/>
        <v>0</v>
      </c>
      <c r="AI102" s="451">
        <f t="shared" si="92"/>
        <v>0</v>
      </c>
      <c r="AJ102" s="451">
        <f t="shared" si="92"/>
        <v>0</v>
      </c>
      <c r="AK102" s="451">
        <f t="shared" si="92"/>
        <v>0</v>
      </c>
      <c r="AL102" s="452">
        <f>IF(ISERROR(资产预测!P217),"—",资产预测!P217)</f>
        <v>0</v>
      </c>
      <c r="AM102" s="452">
        <f>IF(ISERROR(资产预测!Q217),"—",资产预测!Q217)</f>
        <v>0</v>
      </c>
      <c r="AN102" s="452">
        <f>IF(ISERROR(资产预测!R217),"—",资产预测!R217)</f>
        <v>0</v>
      </c>
      <c r="AO102" s="452">
        <f>IF(ISERROR(资产预测!S217),"—",资产预测!S217)</f>
        <v>0</v>
      </c>
      <c r="AP102" s="452">
        <f>IF(ISERROR(资产预测!T217),"—",资产预测!T217)</f>
        <v>0</v>
      </c>
      <c r="AQ102" s="452">
        <f>IF(ISERROR(资产预测!U216),"—",资产预测!U216)</f>
        <v>0</v>
      </c>
      <c r="AR102" s="452">
        <f>IF(ISERROR(资产预测!V217),"—",资产预测!V217)</f>
        <v>0</v>
      </c>
      <c r="AS102" s="452">
        <f>IF(ISERROR(资产预测!W217),"—",资产预测!W217)</f>
        <v>0</v>
      </c>
      <c r="AT102" s="452">
        <f>IF(ISERROR(资产预测!X217),"—",资产预测!X217)</f>
        <v>0</v>
      </c>
      <c r="AU102" s="452">
        <f>IF(ISERROR(资产预测!Y217),"—",资产预测!Y217)</f>
        <v>0</v>
      </c>
    </row>
    <row r="103" spans="1:47" ht="13.75" thickTop="1">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row>
    <row r="104" spans="1:47">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row>
    <row r="105" spans="1:47" s="717" customFormat="1" ht="15">
      <c r="A105" s="709"/>
      <c r="B105" s="710" t="s">
        <v>1044</v>
      </c>
      <c r="C105" s="709"/>
      <c r="D105" s="711"/>
      <c r="E105" s="712"/>
      <c r="F105" s="712"/>
      <c r="G105" s="712"/>
      <c r="H105" s="712"/>
      <c r="I105" s="712"/>
      <c r="J105" s="712"/>
      <c r="K105" s="712"/>
      <c r="L105" s="712"/>
      <c r="M105" s="712"/>
      <c r="N105" s="712"/>
      <c r="O105" s="712"/>
      <c r="P105" s="712"/>
      <c r="Q105" s="712"/>
      <c r="R105" s="712"/>
      <c r="S105" s="712"/>
      <c r="T105" s="714"/>
      <c r="U105" s="714"/>
      <c r="V105" s="714"/>
      <c r="W105" s="714"/>
      <c r="X105" s="714"/>
      <c r="Y105" s="714"/>
      <c r="Z105" s="714"/>
      <c r="AA105" s="714"/>
      <c r="AB105" s="714"/>
      <c r="AC105" s="714"/>
      <c r="AD105" s="714"/>
      <c r="AE105" s="714"/>
      <c r="AF105" s="714"/>
      <c r="AG105" s="714"/>
      <c r="AH105" s="714"/>
      <c r="AI105" s="714"/>
      <c r="AJ105" s="714"/>
      <c r="AK105" s="714"/>
      <c r="AL105" s="714"/>
      <c r="AM105" s="714"/>
    </row>
    <row r="106" spans="1:47" s="717" customFormat="1" ht="15">
      <c r="A106" s="709"/>
      <c r="B106" s="718" t="s">
        <v>1046</v>
      </c>
      <c r="C106" s="709"/>
      <c r="D106" s="711"/>
      <c r="E106" s="712"/>
      <c r="F106" s="712"/>
      <c r="G106" s="712"/>
      <c r="H106" s="712"/>
      <c r="I106" s="712"/>
      <c r="J106" s="712"/>
      <c r="K106" s="712"/>
      <c r="L106" s="712"/>
      <c r="M106" s="712"/>
      <c r="N106" s="712"/>
      <c r="O106" s="712"/>
      <c r="P106" s="712"/>
      <c r="Q106" s="712"/>
      <c r="R106" s="712"/>
      <c r="S106" s="712"/>
      <c r="T106" s="714"/>
      <c r="U106" s="714"/>
      <c r="V106" s="714"/>
      <c r="W106" s="714"/>
      <c r="X106" s="714"/>
      <c r="Y106" s="714"/>
      <c r="Z106" s="714"/>
      <c r="AA106" s="714"/>
      <c r="AB106" s="714"/>
      <c r="AC106" s="714"/>
      <c r="AD106" s="714"/>
      <c r="AE106" s="714"/>
      <c r="AF106" s="714"/>
      <c r="AG106" s="714"/>
      <c r="AH106" s="714"/>
      <c r="AI106" s="714"/>
      <c r="AJ106" s="714"/>
      <c r="AK106" s="714"/>
      <c r="AL106" s="714"/>
      <c r="AM106" s="714"/>
    </row>
    <row r="107" spans="1:47" s="717" customFormat="1" ht="15">
      <c r="A107" s="709"/>
      <c r="B107" s="718" t="s">
        <v>1047</v>
      </c>
      <c r="C107" s="709"/>
      <c r="D107" s="711"/>
      <c r="E107" s="712"/>
      <c r="F107" s="712"/>
      <c r="G107" s="712"/>
      <c r="H107" s="712"/>
      <c r="I107" s="712"/>
      <c r="J107" s="712"/>
      <c r="K107" s="712"/>
      <c r="L107" s="712"/>
      <c r="M107" s="712"/>
      <c r="N107" s="712"/>
      <c r="O107" s="712"/>
      <c r="P107" s="712"/>
      <c r="Q107" s="712"/>
      <c r="R107" s="712"/>
      <c r="S107" s="712"/>
      <c r="T107" s="712"/>
      <c r="U107" s="712"/>
      <c r="V107" s="712"/>
      <c r="W107" s="712"/>
      <c r="X107" s="712"/>
      <c r="Y107" s="712"/>
      <c r="Z107" s="714"/>
      <c r="AA107" s="714"/>
      <c r="AB107" s="714"/>
      <c r="AC107" s="714"/>
      <c r="AD107" s="714"/>
      <c r="AE107" s="714"/>
      <c r="AF107" s="714"/>
      <c r="AG107" s="714"/>
      <c r="AH107" s="714"/>
      <c r="AI107" s="714"/>
      <c r="AJ107" s="714"/>
      <c r="AK107" s="714"/>
      <c r="AL107" s="714"/>
      <c r="AM107" s="714"/>
    </row>
    <row r="108" spans="1:47" s="717" customFormat="1" ht="15">
      <c r="A108" s="709"/>
      <c r="B108" s="709" t="s">
        <v>1048</v>
      </c>
      <c r="C108" s="719"/>
      <c r="D108" s="711"/>
      <c r="E108" s="720"/>
      <c r="F108" s="720"/>
      <c r="G108" s="720"/>
      <c r="H108" s="720"/>
      <c r="I108" s="720"/>
      <c r="J108" s="720"/>
      <c r="K108" s="720"/>
      <c r="L108" s="720"/>
      <c r="M108" s="720"/>
      <c r="N108" s="720"/>
      <c r="O108" s="720"/>
      <c r="P108" s="720"/>
      <c r="Q108" s="720"/>
      <c r="R108" s="720"/>
      <c r="S108" s="709"/>
    </row>
    <row r="109" spans="1:47">
      <c r="E109" s="65"/>
      <c r="F109" s="65"/>
      <c r="G109" s="65"/>
      <c r="H109" s="65"/>
      <c r="I109" s="65"/>
      <c r="J109" s="65"/>
      <c r="K109" s="65"/>
      <c r="L109" s="65"/>
      <c r="M109" s="65"/>
      <c r="N109" s="65"/>
      <c r="O109" s="65"/>
      <c r="P109" s="65"/>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row>
    <row r="110" spans="1:47">
      <c r="E110" s="65"/>
      <c r="F110" s="65"/>
      <c r="G110" s="65"/>
      <c r="H110" s="65"/>
      <c r="I110" s="65"/>
      <c r="J110" s="65"/>
      <c r="K110" s="65"/>
      <c r="L110" s="65"/>
      <c r="M110" s="65"/>
      <c r="N110" s="65"/>
      <c r="O110" s="65"/>
      <c r="P110" s="65"/>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c r="AU110" s="37"/>
    </row>
    <row r="111" spans="1:47">
      <c r="E111" s="65"/>
      <c r="F111" s="65"/>
      <c r="G111" s="65"/>
      <c r="H111" s="65"/>
      <c r="I111" s="65"/>
      <c r="J111" s="65"/>
      <c r="K111" s="65"/>
      <c r="L111" s="65"/>
      <c r="M111" s="65"/>
      <c r="N111" s="65"/>
      <c r="O111" s="65"/>
      <c r="P111" s="65"/>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row>
    <row r="112" spans="1:47">
      <c r="E112" s="65"/>
      <c r="F112" s="65"/>
      <c r="G112" s="65"/>
      <c r="H112" s="65"/>
      <c r="I112" s="65"/>
      <c r="J112" s="65"/>
      <c r="K112" s="65"/>
      <c r="L112" s="65"/>
      <c r="M112" s="65"/>
      <c r="N112" s="65"/>
      <c r="O112" s="65"/>
      <c r="P112" s="65"/>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37"/>
      <c r="AS112" s="37"/>
      <c r="AT112" s="37"/>
      <c r="AU112" s="37"/>
    </row>
    <row r="113" spans="5:47">
      <c r="E113" s="65"/>
      <c r="F113" s="65"/>
      <c r="G113" s="65"/>
      <c r="H113" s="65"/>
      <c r="I113" s="65"/>
      <c r="J113" s="65"/>
      <c r="K113" s="65"/>
      <c r="L113" s="65"/>
      <c r="M113" s="65"/>
      <c r="N113" s="65"/>
      <c r="O113" s="65"/>
      <c r="P113" s="65"/>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37"/>
      <c r="AS113" s="37"/>
      <c r="AT113" s="37"/>
      <c r="AU113" s="37"/>
    </row>
    <row r="114" spans="5:47">
      <c r="E114" s="65"/>
      <c r="F114" s="65"/>
      <c r="G114" s="65"/>
      <c r="H114" s="65"/>
      <c r="I114" s="65"/>
      <c r="J114" s="65"/>
      <c r="K114" s="65"/>
      <c r="L114" s="65"/>
      <c r="M114" s="65"/>
      <c r="N114" s="65"/>
      <c r="O114" s="65"/>
      <c r="P114" s="65"/>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row>
    <row r="115" spans="5:47">
      <c r="E115" s="65"/>
      <c r="F115" s="65"/>
      <c r="G115" s="65"/>
      <c r="H115" s="65"/>
      <c r="I115" s="65"/>
      <c r="J115" s="65"/>
      <c r="K115" s="65"/>
      <c r="L115" s="65"/>
      <c r="M115" s="65"/>
      <c r="N115" s="65"/>
      <c r="O115" s="65"/>
      <c r="P115" s="65"/>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37"/>
    </row>
    <row r="116" spans="5:47">
      <c r="E116" s="65"/>
      <c r="F116" s="65"/>
      <c r="G116" s="65"/>
      <c r="H116" s="65"/>
      <c r="I116" s="65"/>
      <c r="J116" s="65"/>
      <c r="K116" s="65"/>
      <c r="L116" s="65"/>
      <c r="M116" s="65"/>
      <c r="N116" s="65"/>
      <c r="O116" s="65"/>
      <c r="P116" s="65"/>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37"/>
      <c r="AS116" s="37"/>
      <c r="AT116" s="37"/>
      <c r="AU116" s="37"/>
    </row>
    <row r="117" spans="5:47">
      <c r="E117" s="65"/>
      <c r="F117" s="65"/>
      <c r="G117" s="65"/>
      <c r="H117" s="65"/>
      <c r="I117" s="65"/>
      <c r="J117" s="65"/>
      <c r="K117" s="65"/>
      <c r="L117" s="65"/>
      <c r="M117" s="65"/>
      <c r="N117" s="65"/>
      <c r="O117" s="65"/>
      <c r="P117" s="65"/>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row>
    <row r="118" spans="5:47">
      <c r="E118" s="65"/>
      <c r="F118" s="65"/>
      <c r="G118" s="65"/>
      <c r="H118" s="65"/>
      <c r="I118" s="65"/>
      <c r="J118" s="65"/>
      <c r="K118" s="65"/>
      <c r="L118" s="65"/>
      <c r="M118" s="65"/>
      <c r="N118" s="65"/>
      <c r="O118" s="65"/>
      <c r="P118" s="65"/>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37"/>
      <c r="AS118" s="37"/>
      <c r="AT118" s="37"/>
      <c r="AU118" s="37"/>
    </row>
    <row r="119" spans="5:47">
      <c r="E119" s="65"/>
      <c r="F119" s="65"/>
      <c r="G119" s="65"/>
      <c r="H119" s="65"/>
      <c r="I119" s="65"/>
      <c r="J119" s="65"/>
      <c r="K119" s="65"/>
      <c r="L119" s="65"/>
      <c r="M119" s="65"/>
      <c r="N119" s="65"/>
      <c r="O119" s="65"/>
      <c r="P119" s="65"/>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37"/>
      <c r="AS119" s="37"/>
      <c r="AT119" s="37"/>
      <c r="AU119" s="37"/>
    </row>
    <row r="120" spans="5:47">
      <c r="E120" s="65"/>
      <c r="F120" s="65"/>
      <c r="G120" s="65"/>
      <c r="H120" s="65"/>
      <c r="I120" s="65"/>
      <c r="J120" s="65"/>
      <c r="K120" s="65"/>
      <c r="L120" s="65"/>
      <c r="M120" s="65"/>
      <c r="N120" s="65"/>
      <c r="O120" s="65"/>
      <c r="P120" s="65"/>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37"/>
      <c r="AS120" s="37"/>
      <c r="AT120" s="37"/>
      <c r="AU120" s="37"/>
    </row>
    <row r="121" spans="5:47">
      <c r="E121" s="65"/>
      <c r="F121" s="65"/>
      <c r="G121" s="65"/>
      <c r="H121" s="65"/>
      <c r="I121" s="65"/>
      <c r="J121" s="65"/>
      <c r="K121" s="65"/>
      <c r="L121" s="65"/>
      <c r="M121" s="65"/>
      <c r="N121" s="65"/>
      <c r="O121" s="65"/>
      <c r="P121" s="65"/>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37"/>
      <c r="AS121" s="37"/>
      <c r="AT121" s="37"/>
      <c r="AU121" s="37"/>
    </row>
    <row r="122" spans="5:47">
      <c r="E122" s="65"/>
      <c r="F122" s="65"/>
      <c r="G122" s="65"/>
      <c r="H122" s="65"/>
      <c r="I122" s="65"/>
      <c r="J122" s="65"/>
      <c r="K122" s="65"/>
      <c r="L122" s="65"/>
      <c r="M122" s="65"/>
      <c r="N122" s="65"/>
      <c r="O122" s="65"/>
      <c r="P122" s="65"/>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c r="AU122" s="37"/>
    </row>
    <row r="123" spans="5:47">
      <c r="E123" s="65"/>
      <c r="F123" s="65"/>
      <c r="G123" s="65"/>
      <c r="H123" s="65"/>
      <c r="I123" s="65"/>
      <c r="J123" s="65"/>
      <c r="K123" s="65"/>
      <c r="L123" s="65"/>
      <c r="M123" s="65"/>
      <c r="N123" s="65"/>
      <c r="O123" s="65"/>
      <c r="P123" s="65"/>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c r="AU123" s="37"/>
    </row>
    <row r="124" spans="5:47">
      <c r="E124" s="65"/>
      <c r="F124" s="65"/>
      <c r="G124" s="65"/>
      <c r="H124" s="65"/>
      <c r="I124" s="65"/>
      <c r="J124" s="65"/>
      <c r="K124" s="65"/>
      <c r="L124" s="65"/>
      <c r="M124" s="65"/>
      <c r="N124" s="65"/>
      <c r="O124" s="65"/>
      <c r="P124" s="65"/>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row>
    <row r="125" spans="5:47">
      <c r="E125" s="65"/>
      <c r="F125" s="65"/>
      <c r="G125" s="65"/>
      <c r="H125" s="65"/>
      <c r="I125" s="65"/>
      <c r="J125" s="65"/>
      <c r="K125" s="65"/>
      <c r="L125" s="65"/>
      <c r="M125" s="65"/>
      <c r="N125" s="65"/>
      <c r="O125" s="65"/>
      <c r="P125" s="65"/>
      <c r="Q125" s="37"/>
      <c r="R125" s="37"/>
      <c r="S125" s="37"/>
      <c r="T125" s="37"/>
      <c r="U125" s="37"/>
      <c r="V125" s="37"/>
      <c r="W125" s="37"/>
      <c r="X125" s="37"/>
      <c r="Y125" s="37"/>
      <c r="Z125" s="37"/>
      <c r="AA125" s="37"/>
      <c r="AB125" s="37"/>
      <c r="AC125" s="37"/>
      <c r="AD125" s="37"/>
      <c r="AE125" s="37"/>
      <c r="AF125" s="37"/>
      <c r="AG125" s="37"/>
      <c r="AH125" s="37"/>
      <c r="AI125" s="37"/>
      <c r="AJ125" s="118"/>
      <c r="AK125" s="37"/>
      <c r="AL125" s="37"/>
      <c r="AM125" s="37"/>
      <c r="AN125" s="37"/>
      <c r="AO125" s="37"/>
      <c r="AP125" s="37"/>
      <c r="AQ125" s="37"/>
      <c r="AR125" s="37"/>
      <c r="AS125" s="37"/>
      <c r="AT125" s="37"/>
      <c r="AU125" s="37"/>
    </row>
    <row r="126" spans="5:47">
      <c r="E126" s="65"/>
      <c r="F126" s="65"/>
      <c r="G126" s="65"/>
      <c r="H126" s="65"/>
      <c r="I126" s="65"/>
      <c r="J126" s="65"/>
      <c r="K126" s="65"/>
      <c r="L126" s="65"/>
      <c r="M126" s="65"/>
      <c r="N126" s="65"/>
      <c r="O126" s="65"/>
      <c r="P126" s="65"/>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37"/>
      <c r="AS126" s="37"/>
      <c r="AT126" s="37"/>
      <c r="AU126" s="37"/>
    </row>
  </sheetData>
  <protectedRanges>
    <protectedRange sqref="E14:AK14 AO14:AU14" name="区域3"/>
    <protectedRange sqref="AL83:AU83" name="区域4"/>
  </protectedRanges>
  <phoneticPr fontId="2"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92D050"/>
  </sheetPr>
  <dimension ref="A1:BA110"/>
  <sheetViews>
    <sheetView topLeftCell="AI74" workbookViewId="0">
      <selection activeCell="AN82" sqref="AN82"/>
    </sheetView>
  </sheetViews>
  <sheetFormatPr defaultColWidth="9" defaultRowHeight="13.3"/>
  <cols>
    <col min="1" max="1" width="3.5703125" style="2" customWidth="1"/>
    <col min="2" max="3" width="15.5703125" style="1" customWidth="1"/>
    <col min="4" max="4" width="32.5703125" style="1" customWidth="1"/>
    <col min="5" max="20" width="15.5703125" style="1" hidden="1" customWidth="1"/>
    <col min="21" max="21" width="15.5703125" style="2" hidden="1" customWidth="1"/>
    <col min="22" max="40" width="15.5703125" style="2" customWidth="1"/>
    <col min="41" max="41" width="15.5703125" style="6" hidden="1" customWidth="1"/>
    <col min="42" max="47" width="15.640625" style="2" hidden="1" customWidth="1"/>
    <col min="48" max="48" width="15.5703125" style="2" customWidth="1"/>
    <col min="49" max="63" width="9.85546875" style="2" customWidth="1"/>
    <col min="64" max="16384" width="9" style="2"/>
  </cols>
  <sheetData>
    <row r="1" spans="1:53" ht="13.75">
      <c r="A1" s="1"/>
      <c r="E1" s="29"/>
      <c r="F1" s="29"/>
      <c r="G1" s="29"/>
      <c r="H1" s="29"/>
      <c r="K1" s="96"/>
      <c r="L1" s="96"/>
      <c r="M1" s="96"/>
      <c r="N1" s="96"/>
    </row>
    <row r="2" spans="1:53" s="27" customFormat="1" ht="14.15">
      <c r="B2" s="153" t="s">
        <v>513</v>
      </c>
      <c r="C2" s="156"/>
      <c r="D2" s="157"/>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row>
    <row r="3" spans="1:53" ht="13.75">
      <c r="B3" s="28"/>
    </row>
    <row r="4" spans="1:53" ht="14.15" thickBot="1">
      <c r="B4" s="31" t="s">
        <v>388</v>
      </c>
      <c r="C4" s="32"/>
      <c r="D4" s="32"/>
      <c r="E4" s="33">
        <f>资产负债表!E4</f>
        <v>2013</v>
      </c>
      <c r="F4" s="33" t="str">
        <f>资产负债表!F4</f>
        <v>1Q14</v>
      </c>
      <c r="G4" s="33" t="str">
        <f>资产负债表!G4</f>
        <v>1H14</v>
      </c>
      <c r="H4" s="33" t="str">
        <f>资产负债表!H4</f>
        <v>3Q14</v>
      </c>
      <c r="I4" s="33">
        <f>资产负债表!I4</f>
        <v>2014</v>
      </c>
      <c r="J4" s="33" t="str">
        <f>资产负债表!J4</f>
        <v>1Q15</v>
      </c>
      <c r="K4" s="33" t="str">
        <f>资产负债表!K4</f>
        <v>1H15</v>
      </c>
      <c r="L4" s="33" t="str">
        <f>资产负债表!L4</f>
        <v>3Q15</v>
      </c>
      <c r="M4" s="33">
        <f>资产负债表!M4</f>
        <v>2015</v>
      </c>
      <c r="N4" s="33" t="str">
        <f>资产负债表!N4</f>
        <v>1Q16</v>
      </c>
      <c r="O4" s="33" t="str">
        <f>资产负债表!O4</f>
        <v>1H16</v>
      </c>
      <c r="P4" s="33" t="str">
        <f>资产负债表!P4</f>
        <v>3Q16</v>
      </c>
      <c r="Q4" s="33">
        <f>资产负债表!Q4</f>
        <v>2016</v>
      </c>
      <c r="R4" s="33" t="str">
        <f>资产负债表!R4</f>
        <v>1Q17</v>
      </c>
      <c r="S4" s="33" t="str">
        <f>资产负债表!S4</f>
        <v>1H17</v>
      </c>
      <c r="T4" s="33" t="str">
        <f>资产负债表!T4</f>
        <v>3Q17</v>
      </c>
      <c r="U4" s="33">
        <f>资产负债表!U4</f>
        <v>2017</v>
      </c>
      <c r="V4" s="33" t="str">
        <f>资产负债表!V4</f>
        <v>1Q18</v>
      </c>
      <c r="W4" s="33" t="str">
        <f>资产负债表!W4</f>
        <v>1H18</v>
      </c>
      <c r="X4" s="33" t="str">
        <f>资产负债表!X4</f>
        <v>3Q18</v>
      </c>
      <c r="Y4" s="33">
        <f>资产负债表!Y4</f>
        <v>2021</v>
      </c>
      <c r="Z4" s="33" t="str">
        <f>资产负债表!Z4</f>
        <v>1Q19</v>
      </c>
      <c r="AA4" s="33" t="str">
        <f>资产负债表!AA4</f>
        <v>1H19</v>
      </c>
      <c r="AB4" s="33" t="str">
        <f>资产负债表!AB4</f>
        <v>3Q19</v>
      </c>
      <c r="AC4" s="33">
        <f>资产负债表!AC4</f>
        <v>2022</v>
      </c>
      <c r="AD4" s="33" t="str">
        <f>资产负债表!AD4</f>
        <v>1Q20</v>
      </c>
      <c r="AE4" s="33" t="str">
        <f>资产负债表!AE4</f>
        <v>1H20</v>
      </c>
      <c r="AF4" s="33" t="str">
        <f>资产负债表!AF4</f>
        <v>3Q20</v>
      </c>
      <c r="AG4" s="33">
        <f>资产负债表!AG4</f>
        <v>2023</v>
      </c>
      <c r="AH4" s="33" t="str">
        <f>资产负债表!AH4</f>
        <v>1Q23</v>
      </c>
      <c r="AI4" s="33" t="str">
        <f>资产负债表!AI4</f>
        <v>1H21</v>
      </c>
      <c r="AJ4" s="33" t="str">
        <f>资产负债表!AJ4</f>
        <v>3Q21</v>
      </c>
      <c r="AK4" s="33" t="str">
        <f>资产负债表!AK4</f>
        <v>-</v>
      </c>
      <c r="AL4" s="117" t="str">
        <f>资产负债表!AL4</f>
        <v>-E</v>
      </c>
      <c r="AM4" s="115" t="e">
        <f>资产负债表!AM4</f>
        <v>#VALUE!</v>
      </c>
      <c r="AN4" s="115" t="e">
        <f>资产负债表!AN4</f>
        <v>#VALUE!</v>
      </c>
      <c r="AO4" s="115" t="e">
        <f>资产负债表!AO4</f>
        <v>#VALUE!</v>
      </c>
      <c r="AP4" s="115" t="e">
        <f>资产负债表!AP4</f>
        <v>#VALUE!</v>
      </c>
      <c r="AQ4" s="115" t="e">
        <f>资产负债表!AQ4</f>
        <v>#VALUE!</v>
      </c>
      <c r="AR4" s="115" t="e">
        <f>资产负债表!AR4</f>
        <v>#VALUE!</v>
      </c>
      <c r="AS4" s="115" t="e">
        <f>资产负债表!AS4</f>
        <v>#VALUE!</v>
      </c>
      <c r="AT4" s="115" t="e">
        <f>资产负债表!AT4</f>
        <v>#VALUE!</v>
      </c>
      <c r="AU4" s="115" t="e">
        <f>资产负债表!AU4</f>
        <v>#VALUE!</v>
      </c>
    </row>
    <row r="5" spans="1:53" ht="14.6" thickTop="1">
      <c r="A5" s="1"/>
      <c r="B5" s="34" t="str">
        <f>"单位："&amp;目录!$D$5</f>
        <v>单位：港元</v>
      </c>
      <c r="E5" s="35"/>
      <c r="F5" s="35"/>
      <c r="G5" s="35"/>
      <c r="H5" s="35"/>
      <c r="I5" s="35"/>
      <c r="J5" s="35"/>
      <c r="K5" s="35"/>
      <c r="L5" s="35"/>
      <c r="M5" s="35"/>
      <c r="N5" s="35"/>
      <c r="O5" s="35"/>
      <c r="P5" s="35"/>
      <c r="Q5" s="35"/>
      <c r="R5" s="35"/>
      <c r="S5" s="36"/>
      <c r="T5" s="36"/>
      <c r="U5" s="36"/>
      <c r="V5" s="36"/>
      <c r="W5" s="36"/>
      <c r="X5" s="36"/>
      <c r="Y5" s="36"/>
      <c r="Z5" s="36"/>
      <c r="AA5" s="36"/>
      <c r="AB5" s="36"/>
      <c r="AC5" s="36"/>
      <c r="AD5" s="36"/>
      <c r="AE5" s="36"/>
      <c r="AF5" s="36"/>
      <c r="AG5" s="36"/>
      <c r="AH5" s="36"/>
      <c r="AI5" s="36"/>
      <c r="AJ5" s="36"/>
      <c r="AK5" s="36"/>
      <c r="AL5" s="36"/>
      <c r="AM5" s="36"/>
      <c r="AN5" s="36"/>
      <c r="AO5" s="218"/>
      <c r="AP5" s="36"/>
      <c r="AQ5" s="36"/>
      <c r="AR5" s="36"/>
      <c r="AS5" s="36"/>
      <c r="AT5" s="36"/>
      <c r="AU5" s="36"/>
      <c r="AV5" s="37"/>
      <c r="AW5" s="37"/>
      <c r="AX5" s="37"/>
      <c r="AY5" s="37"/>
      <c r="AZ5" s="37"/>
      <c r="BA5" s="37"/>
    </row>
    <row r="6" spans="1:53" ht="14.15">
      <c r="B6" s="97" t="s">
        <v>389</v>
      </c>
      <c r="E6" s="35"/>
      <c r="F6" s="35"/>
      <c r="G6" s="35"/>
      <c r="H6" s="35"/>
      <c r="I6" s="35"/>
      <c r="J6" s="35"/>
      <c r="K6" s="35"/>
      <c r="L6" s="35"/>
      <c r="M6" s="98"/>
      <c r="N6" s="98"/>
      <c r="O6" s="35"/>
      <c r="P6" s="35"/>
      <c r="Q6" s="35"/>
      <c r="R6" s="65"/>
      <c r="S6" s="65"/>
      <c r="T6" s="65"/>
      <c r="U6" s="37"/>
      <c r="V6" s="37"/>
      <c r="W6" s="37"/>
      <c r="X6" s="37"/>
      <c r="Y6" s="37"/>
      <c r="Z6" s="37"/>
      <c r="AA6" s="37"/>
      <c r="AB6" s="37"/>
      <c r="AC6" s="37"/>
      <c r="AD6" s="37"/>
      <c r="AE6" s="37"/>
      <c r="AF6" s="37"/>
      <c r="AG6" s="37"/>
      <c r="AH6" s="37"/>
      <c r="AI6" s="37"/>
      <c r="AJ6" s="37"/>
      <c r="AK6" s="37"/>
      <c r="AL6" s="37"/>
      <c r="AM6" s="37"/>
      <c r="AN6" s="37"/>
      <c r="AP6" s="37"/>
      <c r="AQ6" s="37"/>
      <c r="AR6" s="37"/>
      <c r="AS6" s="37"/>
      <c r="AT6" s="37"/>
      <c r="AU6" s="37"/>
    </row>
    <row r="7" spans="1:53" ht="13.75">
      <c r="B7" s="693" t="s">
        <v>16</v>
      </c>
      <c r="E7" s="218">
        <f>IF(OR(ISBLANK(财务基础数据!J5),财务基础数据!J5=0),"—",IF(OR((VALUE(RIGHT(财务基础数据!J5,2))=99),(VALUE(RIGHT(财务基础数据!J5,2))&lt;7)),财务基础数据!J323*目录!$D$6,财务基础数据!J323*目录!$D$6))</f>
        <v>0</v>
      </c>
      <c r="F7" s="218">
        <f>IF(OR(ISBLANK(财务基础数据!K5),财务基础数据!K5=0),"—",IF(OR((VALUE(RIGHT(财务基础数据!K5,2))=99),(VALUE(RIGHT(财务基础数据!K5,2))&lt;7)),财务基础数据!K323*目录!$D$6,财务基础数据!K323*目录!$D$6))</f>
        <v>0</v>
      </c>
      <c r="G7" s="218">
        <f>IF(OR(ISBLANK(财务基础数据!L5),财务基础数据!L5=0),"—",IF(OR((VALUE(RIGHT(财务基础数据!L5,2))=99),(VALUE(RIGHT(财务基础数据!L5,2))&lt;7)),财务基础数据!L323*目录!$D$6,财务基础数据!L323*目录!$D$6))</f>
        <v>0</v>
      </c>
      <c r="H7" s="218">
        <f>IF(OR(ISBLANK(财务基础数据!M5),财务基础数据!M5=0),"—",IF(OR((VALUE(RIGHT(财务基础数据!M5,2))=99),(VALUE(RIGHT(财务基础数据!M5,2))&lt;7)),财务基础数据!M323*目录!$D$6,财务基础数据!M323*目录!$D$6))</f>
        <v>0</v>
      </c>
      <c r="I7" s="218">
        <f>IF(OR(ISBLANK(财务基础数据!N5),财务基础数据!N5=0),"—",IF(OR((VALUE(RIGHT(财务基础数据!N5,2))=99),(VALUE(RIGHT(财务基础数据!N5,2))&lt;7)),财务基础数据!N323*目录!$D$6,财务基础数据!N323*目录!$D$6))</f>
        <v>0</v>
      </c>
      <c r="J7" s="218">
        <f>IF(OR(ISBLANK(财务基础数据!O5),财务基础数据!O5=0),"—",IF(OR((VALUE(RIGHT(财务基础数据!O5,2))=99),(VALUE(RIGHT(财务基础数据!O5,2))&lt;7)),财务基础数据!O323*目录!$D$6,财务基础数据!O323*目录!$D$6))</f>
        <v>0</v>
      </c>
      <c r="K7" s="218">
        <f>IF(OR(ISBLANK(财务基础数据!P5),财务基础数据!P5=0),"—",IF(OR((VALUE(RIGHT(财务基础数据!P5,2))=99),(VALUE(RIGHT(财务基础数据!P5,2))&lt;7)),财务基础数据!P323*目录!$D$6,财务基础数据!P323*目录!$D$6))</f>
        <v>0</v>
      </c>
      <c r="L7" s="218">
        <f>IF(OR(ISBLANK(财务基础数据!Q5),财务基础数据!Q5=0),"—",IF(OR((VALUE(RIGHT(财务基础数据!Q5,2))=99),(VALUE(RIGHT(财务基础数据!Q5,2))&lt;7)),财务基础数据!Q323*目录!$D$6,财务基础数据!Q323*目录!$D$6))</f>
        <v>0</v>
      </c>
      <c r="M7" s="218">
        <f>IF(OR(ISBLANK(财务基础数据!R5),财务基础数据!R5=0),"—",IF(OR((VALUE(RIGHT(财务基础数据!R5,2))=99),(VALUE(RIGHT(财务基础数据!R5,2))&lt;7)),财务基础数据!R323*目录!$D$6,财务基础数据!R323*目录!$D$6))</f>
        <v>0</v>
      </c>
      <c r="N7" s="218">
        <f>IF(OR(ISBLANK(财务基础数据!S5),财务基础数据!S5=0),"—",IF(OR((VALUE(RIGHT(财务基础数据!S5,2))=99),(VALUE(RIGHT(财务基础数据!S5,2))&lt;7)),财务基础数据!S323*目录!$D$6,财务基础数据!S323*目录!$D$6))</f>
        <v>0</v>
      </c>
      <c r="O7" s="218">
        <f>IF(OR(ISBLANK(财务基础数据!T5),财务基础数据!T5=0),"—",IF(OR((VALUE(RIGHT(财务基础数据!T5,2))=99),(VALUE(RIGHT(财务基础数据!T5,2))&lt;7)),财务基础数据!T323*目录!$D$6,财务基础数据!T323*目录!$D$6))</f>
        <v>0</v>
      </c>
      <c r="P7" s="218">
        <f>IF(OR(ISBLANK(财务基础数据!U5),财务基础数据!U5=0),"—",IF(OR((VALUE(RIGHT(财务基础数据!U5,2))=99),(VALUE(RIGHT(财务基础数据!U5,2))&lt;7)),财务基础数据!U323*目录!$D$6,财务基础数据!U323*目录!$D$6))</f>
        <v>0</v>
      </c>
      <c r="Q7" s="218">
        <f>IF(OR(ISBLANK(财务基础数据!V5),财务基础数据!V5=0),"—",IF(OR((VALUE(RIGHT(财务基础数据!V5,2))=99),(VALUE(RIGHT(财务基础数据!V5,2))&lt;7)),财务基础数据!V323*目录!$D$6,财务基础数据!V323*目录!$D$6))</f>
        <v>0</v>
      </c>
      <c r="R7" s="218">
        <f>IF(OR(ISBLANK(财务基础数据!W5),财务基础数据!W5=0),"—",IF(OR((VALUE(RIGHT(财务基础数据!W5,2))=99),(VALUE(RIGHT(财务基础数据!W5,2))&lt;7)),财务基础数据!W323*目录!$D$6,财务基础数据!W323*目录!$D$6))</f>
        <v>0</v>
      </c>
      <c r="S7" s="218">
        <f>IF(OR(ISBLANK(财务基础数据!X5),财务基础数据!X5=0),"—",IF(OR((VALUE(RIGHT(财务基础数据!X5,2))=99),(VALUE(RIGHT(财务基础数据!X5,2))&lt;7)),财务基础数据!X323*目录!$D$6,财务基础数据!X323*目录!$D$6))</f>
        <v>0</v>
      </c>
      <c r="T7" s="218">
        <f>IF(OR(ISBLANK(财务基础数据!Y5),财务基础数据!Y5=0),"—",IF(OR((VALUE(RIGHT(财务基础数据!Y5,2))=99),(VALUE(RIGHT(财务基础数据!Y5,2))&lt;7)),财务基础数据!Y323*目录!$D$6,财务基础数据!Y323*目录!$D$6))</f>
        <v>0</v>
      </c>
      <c r="U7" s="218">
        <f>IF(OR(ISBLANK(财务基础数据!Z5),财务基础数据!Z5=0),"—",IF(OR((VALUE(RIGHT(财务基础数据!Z5,2))=99),(VALUE(RIGHT(财务基础数据!Z5,2))&lt;7)),财务基础数据!Z323*目录!$D$6,财务基础数据!Z323*目录!$D$6))</f>
        <v>0</v>
      </c>
      <c r="V7" s="218">
        <f>IF(OR(ISBLANK(财务基础数据!AA5),财务基础数据!AA5=0),"—",IF(OR((VALUE(RIGHT(财务基础数据!AA5,2))=99),(VALUE(RIGHT(财务基础数据!AA5,2))&lt;7)),财务基础数据!AA323*目录!$D$6,财务基础数据!AA323*目录!$D$6))</f>
        <v>0</v>
      </c>
      <c r="W7" s="218">
        <f>IF(OR(ISBLANK(财务基础数据!AB5),财务基础数据!AB5=0),"—",IF(OR((VALUE(RIGHT(财务基础数据!AB5,2))=99),(VALUE(RIGHT(财务基础数据!AB5,2))&lt;7)),财务基础数据!AB323*目录!$D$6,财务基础数据!AB323*目录!$D$6))</f>
        <v>0</v>
      </c>
      <c r="X7" s="218">
        <f>IF(OR(ISBLANK(财务基础数据!AC5),财务基础数据!AC5=0),"—",IF(OR((VALUE(RIGHT(财务基础数据!AC5,2))=99),(VALUE(RIGHT(财务基础数据!AC5,2))&lt;7)),财务基础数据!AC323*目录!$D$6,财务基础数据!AC323*目录!$D$6))</f>
        <v>0</v>
      </c>
      <c r="Y7" s="218">
        <f>IF(OR(ISBLANK(财务基础数据!AD5),财务基础数据!AD5=0),"—",IF(OR((VALUE(RIGHT(财务基础数据!AD5,2))=99),(VALUE(RIGHT(财务基础数据!AD5,2))&lt;7)),财务基础数据!AD323*目录!$D$6,财务基础数据!AD323*目录!$D$6))</f>
        <v>0</v>
      </c>
      <c r="Z7" s="218">
        <f>IF(OR(ISBLANK(财务基础数据!AE5),财务基础数据!AE5=0),"—",IF(OR((VALUE(RIGHT(财务基础数据!AE5,2))=99),(VALUE(RIGHT(财务基础数据!AE5,2))&lt;7)),财务基础数据!AE323*目录!$D$6,财务基础数据!AE323*目录!$D$6))</f>
        <v>0</v>
      </c>
      <c r="AA7" s="218">
        <f>IF(OR(ISBLANK(财务基础数据!AF5),财务基础数据!AF5=0),"—",IF(OR((VALUE(RIGHT(财务基础数据!AF5,2))=99),(VALUE(RIGHT(财务基础数据!AF5,2))&lt;7)),财务基础数据!AF323*目录!$D$6,财务基础数据!AF323*目录!$D$6))</f>
        <v>0</v>
      </c>
      <c r="AB7" s="218">
        <f>IF(OR(ISBLANK(财务基础数据!AG5),财务基础数据!AG5=0),"—",IF(OR((VALUE(RIGHT(财务基础数据!AG5,2))=99),(VALUE(RIGHT(财务基础数据!AG5,2))&lt;7)),财务基础数据!AG323*目录!$D$6,财务基础数据!AG323*目录!$D$6))</f>
        <v>0</v>
      </c>
      <c r="AC7" s="218">
        <f>IF(OR(ISBLANK(财务基础数据!AH5),财务基础数据!AH5=0),"—",IF(OR((VALUE(RIGHT(财务基础数据!AH5,2))=99),(VALUE(RIGHT(财务基础数据!AH5,2))&lt;7)),财务基础数据!AH323*目录!$D$6,财务基础数据!AH323*目录!$D$6))</f>
        <v>0</v>
      </c>
      <c r="AD7" s="218">
        <f>IF(OR(ISBLANK(财务基础数据!AI5),财务基础数据!AI5=0),"—",IF(OR((VALUE(RIGHT(财务基础数据!AI5,2))=99),(VALUE(RIGHT(财务基础数据!AI5,2))&lt;7)),财务基础数据!AI323*目录!$D$6,财务基础数据!AI323*目录!$D$6))</f>
        <v>0</v>
      </c>
      <c r="AE7" s="218">
        <f>IF(OR(ISBLANK(财务基础数据!AJ5),财务基础数据!AJ5=0),"—",IF(OR((VALUE(RIGHT(财务基础数据!AJ5,2))=99),(VALUE(RIGHT(财务基础数据!AJ5,2))&lt;7)),财务基础数据!AJ323*目录!$D$6,财务基础数据!AJ323*目录!$D$6))</f>
        <v>0</v>
      </c>
      <c r="AF7" s="218">
        <f>IF(OR(ISBLANK(财务基础数据!AK5),财务基础数据!AK5=0),"—",IF(OR((VALUE(RIGHT(财务基础数据!AK5,2))=99),(VALUE(RIGHT(财务基础数据!AK5,2))&lt;7)),财务基础数据!AK323*目录!$D$6,财务基础数据!AK323*目录!$D$6))</f>
        <v>0</v>
      </c>
      <c r="AG7" s="218">
        <f>IF(OR(ISBLANK(财务基础数据!AL5),财务基础数据!AL5=0),"—",IF(OR((VALUE(RIGHT(财务基础数据!AL5,2))=99),(VALUE(RIGHT(财务基础数据!AL5,2))&lt;7)),财务基础数据!AL323*目录!$D$6,财务基础数据!AL323*目录!$D$6))</f>
        <v>0</v>
      </c>
      <c r="AH7" s="218">
        <f>IF(OR(ISBLANK(财务基础数据!AM5),财务基础数据!AM5=0),"—",IF(OR((VALUE(RIGHT(财务基础数据!AM5,2))=99),(VALUE(RIGHT(财务基础数据!AM5,2))&lt;7)),(财务基础数据!AM323+财务基础数据!AM324)*目录!$D$6,财务基础数据!AM323*目录!$D$6))</f>
        <v>0</v>
      </c>
      <c r="AI7" s="218">
        <f>IF(OR(ISBLANK(财务基础数据!AN5),财务基础数据!AN5=0),"—",IF(OR((VALUE(RIGHT(财务基础数据!AN5,2))=99),(VALUE(RIGHT(财务基础数据!AN5,2))&lt;7)),(财务基础数据!AN323+财务基础数据!AN324)*目录!$D$6,财务基础数据!AN323*目录!$D$6))</f>
        <v>0</v>
      </c>
      <c r="AJ7" s="218">
        <f>IF(OR(ISBLANK(财务基础数据!AO5),财务基础数据!AO5=0),"—",IF(OR((VALUE(RIGHT(财务基础数据!AO5,2))=99),(VALUE(RIGHT(财务基础数据!AO5,2))&lt;7)),(财务基础数据!AO323+财务基础数据!AO324)*目录!$D$6,财务基础数据!AO323*目录!$D$6))</f>
        <v>0</v>
      </c>
      <c r="AK7" s="218" t="e">
        <f>IF(OR(ISBLANK(财务基础数据!AP5),财务基础数据!AP5=0),"—",IF(OR((VALUE(RIGHT(财务基础数据!AP5,2))=99),(VALUE(RIGHT(财务基础数据!AP5,2))&lt;7)),(财务基础数据!AP323+财务基础数据!AP324)*目录!$D$6,财务基础数据!AP323*目录!$D$6))</f>
        <v>#VALUE!</v>
      </c>
      <c r="AL7" s="218">
        <f>IF(ISERROR(利润表!AL84),"—",利润表!AL84)</f>
        <v>0</v>
      </c>
      <c r="AM7" s="218">
        <f>IF(ISERROR(利润表!AM84),"—",利润表!AM84)</f>
        <v>0</v>
      </c>
      <c r="AN7" s="218">
        <f>IF(ISERROR(利润表!AN84),"—",利润表!AN84)</f>
        <v>0</v>
      </c>
      <c r="AO7" s="218">
        <f>IF(ISERROR(利润表!AO84),"0",利润表!AO84)</f>
        <v>0</v>
      </c>
      <c r="AP7" s="218">
        <f>IF(ISERROR(利润表!AP84),"0",利润表!AP84)</f>
        <v>0</v>
      </c>
      <c r="AQ7" s="218">
        <f>IF(ISERROR(利润表!AQ84),"0",利润表!AQ84)</f>
        <v>0</v>
      </c>
      <c r="AR7" s="218">
        <f>IF(ISERROR(利润表!AR84),"0",利润表!AR84)</f>
        <v>0</v>
      </c>
      <c r="AS7" s="218">
        <f>IF(ISERROR(利润表!AS84),"0",利润表!AS84)</f>
        <v>0</v>
      </c>
      <c r="AT7" s="218">
        <f>IF(ISERROR(利润表!AT84),"0",利润表!AT84)</f>
        <v>0</v>
      </c>
      <c r="AU7" s="218">
        <f>IF(ISERROR(利润表!AU84),"0",利润表!AU84)</f>
        <v>0</v>
      </c>
      <c r="AV7" s="59"/>
      <c r="AW7" s="59"/>
      <c r="AX7" s="59"/>
    </row>
    <row r="8" spans="1:53" ht="13.75">
      <c r="B8" s="694" t="s">
        <v>712</v>
      </c>
      <c r="E8" s="218">
        <f>财务基础数据!J324*目录!$D$6</f>
        <v>0</v>
      </c>
      <c r="F8" s="218">
        <f>财务基础数据!K324*目录!$D$6</f>
        <v>0</v>
      </c>
      <c r="G8" s="218">
        <f>财务基础数据!L324*目录!$D$6</f>
        <v>0</v>
      </c>
      <c r="H8" s="218">
        <f>财务基础数据!M324*目录!$D$6</f>
        <v>0</v>
      </c>
      <c r="I8" s="218">
        <f>财务基础数据!N324*目录!$D$6</f>
        <v>0</v>
      </c>
      <c r="J8" s="218">
        <f>财务基础数据!O324*目录!$D$6</f>
        <v>0</v>
      </c>
      <c r="K8" s="218">
        <f>财务基础数据!P324*目录!$D$6</f>
        <v>0</v>
      </c>
      <c r="L8" s="218">
        <f>财务基础数据!Q324*目录!$D$6</f>
        <v>0</v>
      </c>
      <c r="M8" s="218">
        <f>财务基础数据!R324*目录!$D$6</f>
        <v>0</v>
      </c>
      <c r="N8" s="218">
        <f>财务基础数据!S324*目录!$D$6</f>
        <v>0</v>
      </c>
      <c r="O8" s="218">
        <f>财务基础数据!T324*目录!$D$6</f>
        <v>0</v>
      </c>
      <c r="P8" s="218">
        <f>财务基础数据!U324*目录!$D$6</f>
        <v>0</v>
      </c>
      <c r="Q8" s="218">
        <f>财务基础数据!V324*目录!$D$6</f>
        <v>0</v>
      </c>
      <c r="R8" s="218">
        <f>财务基础数据!W324*目录!$D$6</f>
        <v>0</v>
      </c>
      <c r="S8" s="218">
        <f>财务基础数据!X324*目录!$D$6</f>
        <v>0</v>
      </c>
      <c r="T8" s="218">
        <f>财务基础数据!Y324*目录!$D$6</f>
        <v>0</v>
      </c>
      <c r="U8" s="218">
        <f>财务基础数据!Z324*目录!$D$6</f>
        <v>0</v>
      </c>
      <c r="V8" s="218">
        <f>财务基础数据!AA324*目录!$D$6</f>
        <v>0</v>
      </c>
      <c r="W8" s="218">
        <f>财务基础数据!AB324*目录!$D$6</f>
        <v>0</v>
      </c>
      <c r="X8" s="218">
        <f>财务基础数据!AC324*目录!$D$6</f>
        <v>0</v>
      </c>
      <c r="Y8" s="218">
        <f>财务基础数据!AD324*目录!$D$6</f>
        <v>0</v>
      </c>
      <c r="Z8" s="218">
        <f>财务基础数据!AE324*目录!$D$6</f>
        <v>0</v>
      </c>
      <c r="AA8" s="218">
        <f>财务基础数据!AF324*目录!$D$6</f>
        <v>0</v>
      </c>
      <c r="AB8" s="218">
        <f>财务基础数据!AG324*目录!$D$6</f>
        <v>0</v>
      </c>
      <c r="AC8" s="218">
        <f>财务基础数据!AH324*目录!$D$6</f>
        <v>0</v>
      </c>
      <c r="AD8" s="218">
        <f>财务基础数据!AI324*目录!$D$6</f>
        <v>0</v>
      </c>
      <c r="AE8" s="218">
        <f>财务基础数据!AJ324*目录!$D$6</f>
        <v>0</v>
      </c>
      <c r="AF8" s="218">
        <f>财务基础数据!AK324*目录!$D$6</f>
        <v>0</v>
      </c>
      <c r="AG8" s="218">
        <f>财务基础数据!AL324*目录!$D$6</f>
        <v>0</v>
      </c>
      <c r="AH8" s="218">
        <f>财务基础数据!AM324*目录!$D$6</f>
        <v>0</v>
      </c>
      <c r="AI8" s="218">
        <f>财务基础数据!AN324*目录!$D$6</f>
        <v>0</v>
      </c>
      <c r="AJ8" s="218">
        <f>财务基础数据!AO324*目录!$D$6</f>
        <v>0</v>
      </c>
      <c r="AK8" s="218">
        <f>财务基础数据!AP324*目录!$D$6</f>
        <v>0</v>
      </c>
      <c r="AL8" s="218" t="str">
        <f>利润表!AL81</f>
        <v>—</v>
      </c>
      <c r="AM8" s="218" t="str">
        <f>利润表!AM81</f>
        <v>—</v>
      </c>
      <c r="AN8" s="218" t="str">
        <f>利润表!AN81</f>
        <v>—</v>
      </c>
      <c r="AO8" s="218">
        <f>利润表!AO81</f>
        <v>0</v>
      </c>
      <c r="AP8" s="218">
        <f>IF(ISERROR(利润表!AP81),"0",利润表!AP81)</f>
        <v>0</v>
      </c>
      <c r="AQ8" s="218">
        <f>IF(ISERROR(利润表!AQ81),"0",利润表!AQ81)</f>
        <v>0</v>
      </c>
      <c r="AR8" s="218">
        <f>IF(ISERROR(利润表!AR81),"0",利润表!AR81)</f>
        <v>0</v>
      </c>
      <c r="AS8" s="218">
        <f>IF(ISERROR(利润表!AS81),"0",利润表!AS81)</f>
        <v>0</v>
      </c>
      <c r="AT8" s="218">
        <f>IF(ISERROR(利润表!AT81),"0",利润表!AT81)</f>
        <v>0</v>
      </c>
      <c r="AU8" s="218">
        <f>IF(ISERROR(利润表!AU81),"0",利润表!AU81)</f>
        <v>0</v>
      </c>
      <c r="AV8" s="59"/>
      <c r="AW8" s="59"/>
      <c r="AX8" s="59"/>
    </row>
    <row r="9" spans="1:53" ht="13.75">
      <c r="B9" s="42"/>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c r="AN9" s="218"/>
      <c r="AO9" s="218"/>
      <c r="AP9" s="218"/>
      <c r="AQ9" s="218"/>
      <c r="AR9" s="218"/>
      <c r="AS9" s="218"/>
      <c r="AT9" s="218"/>
      <c r="AU9" s="218"/>
      <c r="AV9" s="59"/>
      <c r="AW9" s="59"/>
      <c r="AX9" s="59"/>
    </row>
    <row r="10" spans="1:53" ht="13.75">
      <c r="B10" s="42"/>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59"/>
      <c r="AW10" s="59"/>
      <c r="AX10" s="59"/>
    </row>
    <row r="11" spans="1:53" ht="13.75">
      <c r="B11" s="39"/>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218"/>
      <c r="AP11" s="41"/>
      <c r="AQ11" s="41"/>
      <c r="AR11" s="41"/>
      <c r="AS11" s="41"/>
      <c r="AT11" s="41"/>
      <c r="AU11" s="41"/>
      <c r="AV11" s="59"/>
      <c r="AW11" s="59"/>
      <c r="AX11" s="59"/>
    </row>
    <row r="12" spans="1:53" ht="13.75">
      <c r="B12" s="42" t="s">
        <v>390</v>
      </c>
      <c r="E12" s="218">
        <f>E13+E14+E15</f>
        <v>0</v>
      </c>
      <c r="F12" s="218"/>
      <c r="G12" s="218">
        <f>G13+G14+G15</f>
        <v>0</v>
      </c>
      <c r="H12" s="218"/>
      <c r="I12" s="218">
        <f>I13+I14+I15</f>
        <v>0</v>
      </c>
      <c r="J12" s="218"/>
      <c r="K12" s="218">
        <f>K13+K14+K15</f>
        <v>0</v>
      </c>
      <c r="L12" s="218"/>
      <c r="M12" s="218">
        <f>M13+M14+M15</f>
        <v>0</v>
      </c>
      <c r="N12" s="218"/>
      <c r="O12" s="218">
        <f t="shared" ref="O12:Y12" si="0">O13+O14+O15</f>
        <v>0</v>
      </c>
      <c r="P12" s="218">
        <f t="shared" si="0"/>
        <v>0</v>
      </c>
      <c r="Q12" s="218">
        <f t="shared" si="0"/>
        <v>0</v>
      </c>
      <c r="R12" s="218">
        <f t="shared" si="0"/>
        <v>0</v>
      </c>
      <c r="S12" s="218">
        <f t="shared" si="0"/>
        <v>0</v>
      </c>
      <c r="T12" s="218">
        <f t="shared" si="0"/>
        <v>0</v>
      </c>
      <c r="U12" s="218">
        <f t="shared" si="0"/>
        <v>0</v>
      </c>
      <c r="V12" s="218">
        <f t="shared" si="0"/>
        <v>0</v>
      </c>
      <c r="W12" s="218">
        <f t="shared" si="0"/>
        <v>0</v>
      </c>
      <c r="X12" s="218">
        <f t="shared" si="0"/>
        <v>0</v>
      </c>
      <c r="Y12" s="218">
        <f t="shared" si="0"/>
        <v>0</v>
      </c>
      <c r="Z12" s="218"/>
      <c r="AA12" s="218">
        <f>AA13+AA14+AA15</f>
        <v>0</v>
      </c>
      <c r="AB12" s="218"/>
      <c r="AC12" s="218">
        <f>AC13+AC14+AC15</f>
        <v>0</v>
      </c>
      <c r="AD12" s="218"/>
      <c r="AE12" s="218">
        <f>AE13+AE14+AE15</f>
        <v>0</v>
      </c>
      <c r="AF12" s="218"/>
      <c r="AG12" s="218">
        <f>AG13+AG14+AG15</f>
        <v>0</v>
      </c>
      <c r="AH12" s="218">
        <f>AH13+AH14+AH15</f>
        <v>0</v>
      </c>
      <c r="AI12" s="218">
        <f>AI13+AI14+AI15</f>
        <v>0</v>
      </c>
      <c r="AJ12" s="218">
        <f>AJ13+AJ14+AJ15</f>
        <v>0</v>
      </c>
      <c r="AK12" s="218">
        <f>AK13+AK14+AK15</f>
        <v>0</v>
      </c>
      <c r="AL12" s="218">
        <f t="shared" ref="AL12:AU12" si="1">IF(ISERROR(AL13+AL14+AL15),"—",AL13+AL14+AL15)</f>
        <v>0</v>
      </c>
      <c r="AM12" s="218">
        <f t="shared" si="1"/>
        <v>0</v>
      </c>
      <c r="AN12" s="218">
        <f t="shared" si="1"/>
        <v>0</v>
      </c>
      <c r="AO12" s="218">
        <f t="shared" si="1"/>
        <v>0</v>
      </c>
      <c r="AP12" s="218">
        <f t="shared" si="1"/>
        <v>0</v>
      </c>
      <c r="AQ12" s="218">
        <f t="shared" si="1"/>
        <v>0</v>
      </c>
      <c r="AR12" s="218">
        <f t="shared" si="1"/>
        <v>0</v>
      </c>
      <c r="AS12" s="218">
        <f t="shared" si="1"/>
        <v>0</v>
      </c>
      <c r="AT12" s="218">
        <f t="shared" si="1"/>
        <v>0</v>
      </c>
      <c r="AU12" s="218">
        <f t="shared" si="1"/>
        <v>0</v>
      </c>
      <c r="AV12" s="59"/>
      <c r="AW12" s="59"/>
      <c r="AX12" s="59"/>
    </row>
    <row r="13" spans="1:53" s="48" customFormat="1" ht="13.75">
      <c r="B13" s="42"/>
      <c r="C13" s="42" t="s">
        <v>900</v>
      </c>
      <c r="D13" s="1"/>
      <c r="E13" s="218">
        <f>(财务基础数据!J327+财务基础数据!J328+财务基础数据!J345)*目录!$D$6</f>
        <v>0</v>
      </c>
      <c r="F13" s="218">
        <f>(财务基础数据!K327+财务基础数据!K328+财务基础数据!K345)*目录!$D$6</f>
        <v>0</v>
      </c>
      <c r="G13" s="218">
        <f>(财务基础数据!L327+财务基础数据!L328+财务基础数据!L345)*目录!$D$6</f>
        <v>0</v>
      </c>
      <c r="H13" s="218">
        <f>(财务基础数据!M327+财务基础数据!M328+财务基础数据!M345)*目录!$D$6</f>
        <v>0</v>
      </c>
      <c r="I13" s="218">
        <f>(财务基础数据!N327+财务基础数据!N328+财务基础数据!N345)*目录!$D$6</f>
        <v>0</v>
      </c>
      <c r="J13" s="218">
        <f>(财务基础数据!O327+财务基础数据!O328+财务基础数据!O345)*目录!$D$6</f>
        <v>0</v>
      </c>
      <c r="K13" s="218">
        <f>(财务基础数据!P327+财务基础数据!P328+财务基础数据!P345)*目录!$D$6</f>
        <v>0</v>
      </c>
      <c r="L13" s="218">
        <f>(财务基础数据!Q327+财务基础数据!Q328+财务基础数据!Q345)*目录!$D$6</f>
        <v>0</v>
      </c>
      <c r="M13" s="218">
        <f>(财务基础数据!R327+财务基础数据!R328+财务基础数据!R345)*目录!$D$6</f>
        <v>0</v>
      </c>
      <c r="N13" s="218">
        <f>(财务基础数据!S327+财务基础数据!S328+财务基础数据!S345)*目录!$D$6</f>
        <v>0</v>
      </c>
      <c r="O13" s="218">
        <f>(财务基础数据!T327+财务基础数据!T328+财务基础数据!T345)*目录!$D$6</f>
        <v>0</v>
      </c>
      <c r="P13" s="218">
        <f>(财务基础数据!U327+财务基础数据!U328+财务基础数据!U345)*目录!$D$6</f>
        <v>0</v>
      </c>
      <c r="Q13" s="218">
        <f>(财务基础数据!V327+财务基础数据!V328+财务基础数据!V345)*目录!$D$6</f>
        <v>0</v>
      </c>
      <c r="R13" s="218">
        <f>(财务基础数据!W327+财务基础数据!W328+财务基础数据!W345)*目录!$D$6</f>
        <v>0</v>
      </c>
      <c r="S13" s="218">
        <f>(财务基础数据!X327+财务基础数据!X328+财务基础数据!X345)*目录!$D$6</f>
        <v>0</v>
      </c>
      <c r="T13" s="218">
        <f>(财务基础数据!Y327+财务基础数据!Y328+财务基础数据!Y345)*目录!$D$6</f>
        <v>0</v>
      </c>
      <c r="U13" s="218">
        <f>(财务基础数据!Z327+财务基础数据!Z328+财务基础数据!Z345)*目录!$D$6</f>
        <v>0</v>
      </c>
      <c r="V13" s="218">
        <f>(财务基础数据!AA327+财务基础数据!AA328+财务基础数据!AA345)*目录!$D$6</f>
        <v>0</v>
      </c>
      <c r="W13" s="218">
        <f>(财务基础数据!AB327+财务基础数据!AB328+财务基础数据!AB345)*目录!$D$6</f>
        <v>0</v>
      </c>
      <c r="X13" s="218">
        <f>(财务基础数据!AC327+财务基础数据!AC328+财务基础数据!AC345)*目录!$D$6</f>
        <v>0</v>
      </c>
      <c r="Y13" s="218">
        <f>(财务基础数据!AD327+财务基础数据!AD328+财务基础数据!AD345)*目录!$D$6</f>
        <v>0</v>
      </c>
      <c r="Z13" s="218">
        <f>(财务基础数据!AE327+财务基础数据!AE328+财务基础数据!AE345)*目录!$D$6</f>
        <v>0</v>
      </c>
      <c r="AA13" s="218">
        <f>(财务基础数据!AF327+财务基础数据!AF328+财务基础数据!AF345)*目录!$D$6</f>
        <v>0</v>
      </c>
      <c r="AB13" s="218">
        <f>(财务基础数据!AG327+财务基础数据!AG328+财务基础数据!AG345)*目录!$D$6</f>
        <v>0</v>
      </c>
      <c r="AC13" s="218">
        <f>(财务基础数据!AH327+财务基础数据!AH328+财务基础数据!AH345)*目录!$D$6</f>
        <v>0</v>
      </c>
      <c r="AD13" s="218">
        <f>(财务基础数据!AI327+财务基础数据!AI328+财务基础数据!AI345)*目录!$D$6</f>
        <v>0</v>
      </c>
      <c r="AE13" s="218">
        <f>(财务基础数据!AJ327+财务基础数据!AJ328+财务基础数据!AJ345)*目录!$D$6</f>
        <v>0</v>
      </c>
      <c r="AF13" s="218">
        <f>(财务基础数据!AK327+财务基础数据!AK328+财务基础数据!AK345)*目录!$D$6</f>
        <v>0</v>
      </c>
      <c r="AG13" s="218">
        <f>(财务基础数据!AL327+财务基础数据!AL328+财务基础数据!AL345)*目录!$D$6</f>
        <v>0</v>
      </c>
      <c r="AH13" s="218">
        <f>(财务基础数据!AM327+财务基础数据!AM328+财务基础数据!AM345)*目录!$D$6</f>
        <v>0</v>
      </c>
      <c r="AI13" s="218">
        <f>(财务基础数据!AN327+财务基础数据!AN328+财务基础数据!AN345)*目录!$D$6</f>
        <v>0</v>
      </c>
      <c r="AJ13" s="218">
        <f>(财务基础数据!AO327+财务基础数据!AO328+财务基础数据!AO345)*目录!$D$6</f>
        <v>0</v>
      </c>
      <c r="AK13" s="218">
        <f>(财务基础数据!AP327+财务基础数据!AP328+财务基础数据!AP345)*目录!$D$6</f>
        <v>0</v>
      </c>
      <c r="AL13" s="218">
        <f>IF(ISERROR(利润表!AL58),"—",利润表!AL58)</f>
        <v>0</v>
      </c>
      <c r="AM13" s="218">
        <f>IF(ISERROR(利润表!AM58),"—",利润表!AM58)</f>
        <v>0</v>
      </c>
      <c r="AN13" s="218">
        <f>IF(ISERROR(利润表!AN58),"—",利润表!AN58)</f>
        <v>0</v>
      </c>
      <c r="AO13" s="218">
        <f>IF(ISERROR(利润表!AO58),"0",利润表!AO58)</f>
        <v>0</v>
      </c>
      <c r="AP13" s="218">
        <f>IF(ISERROR(利润表!AP58),"0",利润表!AP58)</f>
        <v>0</v>
      </c>
      <c r="AQ13" s="218">
        <f>IF(ISERROR(利润表!AQ58),"0",利润表!AQ58)</f>
        <v>0</v>
      </c>
      <c r="AR13" s="218">
        <f>IF(ISERROR(利润表!AR58),"0",利润表!AR58)</f>
        <v>0</v>
      </c>
      <c r="AS13" s="218">
        <f>IF(ISERROR(利润表!AS58),"0",利润表!AS58)</f>
        <v>0</v>
      </c>
      <c r="AT13" s="218">
        <f>IF(ISERROR(利润表!AT58),"0",利润表!AT58)</f>
        <v>0</v>
      </c>
      <c r="AU13" s="218">
        <f>IF(ISERROR(利润表!AU58),"0",利润表!AU58)</f>
        <v>0</v>
      </c>
      <c r="AV13" s="111"/>
      <c r="AW13" s="111"/>
      <c r="AX13" s="111"/>
    </row>
    <row r="14" spans="1:53" s="48" customFormat="1" ht="13.75">
      <c r="B14" s="42"/>
      <c r="C14" s="42" t="s">
        <v>391</v>
      </c>
      <c r="D14" s="1"/>
      <c r="E14" s="218">
        <f>(财务基础数据!J329+财务基础数据!J330)*目录!$D$6</f>
        <v>0</v>
      </c>
      <c r="F14" s="218">
        <f>(财务基础数据!K329+财务基础数据!K330)*目录!$D$6</f>
        <v>0</v>
      </c>
      <c r="G14" s="218">
        <f>(财务基础数据!L329+财务基础数据!L330)*目录!$D$6</f>
        <v>0</v>
      </c>
      <c r="H14" s="218">
        <f>(财务基础数据!M329+财务基础数据!M330)*目录!$D$6</f>
        <v>0</v>
      </c>
      <c r="I14" s="218">
        <f>(财务基础数据!N329+财务基础数据!N330)*目录!$D$6</f>
        <v>0</v>
      </c>
      <c r="J14" s="218">
        <f>(财务基础数据!O329+财务基础数据!O330)*目录!$D$6</f>
        <v>0</v>
      </c>
      <c r="K14" s="218">
        <f>(财务基础数据!P329+财务基础数据!P330)*目录!$D$6</f>
        <v>0</v>
      </c>
      <c r="L14" s="218">
        <f>(财务基础数据!Q329+财务基础数据!Q330)*目录!$D$6</f>
        <v>0</v>
      </c>
      <c r="M14" s="218">
        <f>(财务基础数据!R329+财务基础数据!R330)*目录!$D$6</f>
        <v>0</v>
      </c>
      <c r="N14" s="218">
        <f>(财务基础数据!S329+财务基础数据!S330)*目录!$D$6</f>
        <v>0</v>
      </c>
      <c r="O14" s="218">
        <f>(财务基础数据!T329+财务基础数据!T330)*目录!$D$6</f>
        <v>0</v>
      </c>
      <c r="P14" s="218">
        <f>(财务基础数据!U329+财务基础数据!U330)*目录!$D$6</f>
        <v>0</v>
      </c>
      <c r="Q14" s="218">
        <f>(财务基础数据!V329+财务基础数据!V330)*目录!$D$6</f>
        <v>0</v>
      </c>
      <c r="R14" s="218">
        <f>(财务基础数据!W329+财务基础数据!W330)*目录!$D$6</f>
        <v>0</v>
      </c>
      <c r="S14" s="218">
        <f>(财务基础数据!X329+财务基础数据!X330)*目录!$D$6</f>
        <v>0</v>
      </c>
      <c r="T14" s="218">
        <f>(财务基础数据!Y329+财务基础数据!Y330)*目录!$D$6</f>
        <v>0</v>
      </c>
      <c r="U14" s="218">
        <f>(财务基础数据!Z329+财务基础数据!Z330)*目录!$D$6</f>
        <v>0</v>
      </c>
      <c r="V14" s="218">
        <f>(财务基础数据!AA329+财务基础数据!AA330)*目录!$D$6</f>
        <v>0</v>
      </c>
      <c r="W14" s="218">
        <f>(财务基础数据!AB329+财务基础数据!AB330)*目录!$D$6</f>
        <v>0</v>
      </c>
      <c r="X14" s="218">
        <f>(财务基础数据!AC329+财务基础数据!AC330)*目录!$D$6</f>
        <v>0</v>
      </c>
      <c r="Y14" s="218">
        <f>(财务基础数据!AD329+财务基础数据!AD330)*目录!$D$6</f>
        <v>0</v>
      </c>
      <c r="Z14" s="218">
        <f>(财务基础数据!AE329+财务基础数据!AE330)*目录!$D$6</f>
        <v>0</v>
      </c>
      <c r="AA14" s="218">
        <f>(财务基础数据!AF329+财务基础数据!AF330)*目录!$D$6</f>
        <v>0</v>
      </c>
      <c r="AB14" s="218">
        <f>(财务基础数据!AG329+财务基础数据!AG330)*目录!$D$6</f>
        <v>0</v>
      </c>
      <c r="AC14" s="218">
        <f>(财务基础数据!AH329+财务基础数据!AH330)*目录!$D$6</f>
        <v>0</v>
      </c>
      <c r="AD14" s="218">
        <f>(财务基础数据!AI329+财务基础数据!AI330)*目录!$D$6</f>
        <v>0</v>
      </c>
      <c r="AE14" s="218">
        <f>(财务基础数据!AJ329+财务基础数据!AJ330)*目录!$D$6</f>
        <v>0</v>
      </c>
      <c r="AF14" s="218">
        <f>(财务基础数据!AK329+财务基础数据!AK330)*目录!$D$6</f>
        <v>0</v>
      </c>
      <c r="AG14" s="218">
        <f>(财务基础数据!AL329+财务基础数据!AL330)*目录!$D$6</f>
        <v>0</v>
      </c>
      <c r="AH14" s="218">
        <f>(财务基础数据!AM329+财务基础数据!AM330)*目录!$D$6</f>
        <v>0</v>
      </c>
      <c r="AI14" s="218">
        <f>(财务基础数据!AN329+财务基础数据!AN330)*目录!$D$6</f>
        <v>0</v>
      </c>
      <c r="AJ14" s="218">
        <f>(财务基础数据!AO329+财务基础数据!AO330)*目录!$D$6</f>
        <v>0</v>
      </c>
      <c r="AK14" s="218">
        <f>(财务基础数据!AP329+财务基础数据!AP330)*目录!$D$6</f>
        <v>0</v>
      </c>
      <c r="AL14" s="218">
        <f>IF(ISERROR(资产预测!P119),"—",资产预测!P119)</f>
        <v>0</v>
      </c>
      <c r="AM14" s="218">
        <f>IF(ISERROR(资产预测!Q119),"—",资产预测!Q119)</f>
        <v>0</v>
      </c>
      <c r="AN14" s="218">
        <f>IF(ISERROR(资产预测!R119),"—",资产预测!R119)</f>
        <v>0</v>
      </c>
      <c r="AO14" s="218">
        <f>IF(ISERROR(资产预测!S119),"—",资产预测!S119)</f>
        <v>0</v>
      </c>
      <c r="AP14" s="218">
        <f>IF(ISERROR(资产预测!T119),"—",资产预测!T119)</f>
        <v>0</v>
      </c>
      <c r="AQ14" s="218">
        <f>IF(ISERROR(资产预测!U119),"—",资产预测!U119)</f>
        <v>0</v>
      </c>
      <c r="AR14" s="218">
        <f>IF(ISERROR(资产预测!V119),"—",资产预测!V119)</f>
        <v>0</v>
      </c>
      <c r="AS14" s="218">
        <f>IF(ISERROR(资产预测!W119),"—",资产预测!W119)</f>
        <v>0</v>
      </c>
      <c r="AT14" s="218">
        <f>IF(ISERROR(资产预测!X119),"—",资产预测!X119)</f>
        <v>0</v>
      </c>
      <c r="AU14" s="218">
        <f>IF(ISERROR(资产预测!Y119),"—",资产预测!Y119)</f>
        <v>0</v>
      </c>
      <c r="AV14" s="111"/>
      <c r="AW14" s="111"/>
      <c r="AX14" s="111"/>
    </row>
    <row r="15" spans="1:53" s="48" customFormat="1" ht="13.75">
      <c r="B15" s="1"/>
      <c r="C15" s="275" t="s">
        <v>392</v>
      </c>
      <c r="D15" s="1"/>
      <c r="E15" s="218">
        <f>(财务基础数据!J331+财务基础数据!J332+财务基础数据!J333)*目录!$D$6</f>
        <v>0</v>
      </c>
      <c r="F15" s="218">
        <f>(财务基础数据!K331+财务基础数据!K332+财务基础数据!K333)*目录!$D$6</f>
        <v>0</v>
      </c>
      <c r="G15" s="218">
        <f>(财务基础数据!L331+财务基础数据!L332+财务基础数据!L333)*目录!$D$6</f>
        <v>0</v>
      </c>
      <c r="H15" s="218">
        <f>(财务基础数据!M331+财务基础数据!M332+财务基础数据!M333)*目录!$D$6</f>
        <v>0</v>
      </c>
      <c r="I15" s="218">
        <f>(财务基础数据!N331+财务基础数据!N332+财务基础数据!N333)*目录!$D$6</f>
        <v>0</v>
      </c>
      <c r="J15" s="218">
        <f>(财务基础数据!O331+财务基础数据!O332+财务基础数据!O333)*目录!$D$6</f>
        <v>0</v>
      </c>
      <c r="K15" s="218">
        <f>(财务基础数据!P331+财务基础数据!P332+财务基础数据!P333)*目录!$D$6</f>
        <v>0</v>
      </c>
      <c r="L15" s="218">
        <f>(财务基础数据!Q331+财务基础数据!Q332+财务基础数据!Q333)*目录!$D$6</f>
        <v>0</v>
      </c>
      <c r="M15" s="218">
        <f>(财务基础数据!R331+财务基础数据!R332+财务基础数据!R333)*目录!$D$6</f>
        <v>0</v>
      </c>
      <c r="N15" s="218">
        <f>(财务基础数据!S331+财务基础数据!S332+财务基础数据!S333)*目录!$D$6</f>
        <v>0</v>
      </c>
      <c r="O15" s="218">
        <f>(财务基础数据!T331+财务基础数据!T332+财务基础数据!T333)*目录!$D$6</f>
        <v>0</v>
      </c>
      <c r="P15" s="218">
        <f>(财务基础数据!U331+财务基础数据!U332+财务基础数据!U333)*目录!$D$6</f>
        <v>0</v>
      </c>
      <c r="Q15" s="218">
        <f>(财务基础数据!V331+财务基础数据!V332+财务基础数据!V333)*目录!$D$6</f>
        <v>0</v>
      </c>
      <c r="R15" s="218">
        <f>(财务基础数据!W331+财务基础数据!W332+财务基础数据!W333)*目录!$D$6</f>
        <v>0</v>
      </c>
      <c r="S15" s="218">
        <f>(财务基础数据!X331+财务基础数据!X332+财务基础数据!X333)*目录!$D$6</f>
        <v>0</v>
      </c>
      <c r="T15" s="218">
        <f>(财务基础数据!Y331+财务基础数据!Y332+财务基础数据!Y333)*目录!$D$6</f>
        <v>0</v>
      </c>
      <c r="U15" s="218">
        <f>(财务基础数据!Z331+财务基础数据!Z332+财务基础数据!Z333)*目录!$D$6</f>
        <v>0</v>
      </c>
      <c r="V15" s="218">
        <f>(财务基础数据!AA331+财务基础数据!AA332+财务基础数据!AA333)*目录!$D$6</f>
        <v>0</v>
      </c>
      <c r="W15" s="218">
        <f>(财务基础数据!AB331+财务基础数据!AB332+财务基础数据!AB333)*目录!$D$6</f>
        <v>0</v>
      </c>
      <c r="X15" s="218">
        <f>(财务基础数据!AC331+财务基础数据!AC332+财务基础数据!AC333)*目录!$D$6</f>
        <v>0</v>
      </c>
      <c r="Y15" s="218">
        <f>(财务基础数据!AD331+财务基础数据!AD332+财务基础数据!AD333)*目录!$D$6</f>
        <v>0</v>
      </c>
      <c r="Z15" s="218">
        <f>(财务基础数据!AE331+财务基础数据!AE332+财务基础数据!AE333)*目录!$D$6</f>
        <v>0</v>
      </c>
      <c r="AA15" s="218">
        <f>(财务基础数据!AF331+财务基础数据!AF332+财务基础数据!AF333)*目录!$D$6</f>
        <v>0</v>
      </c>
      <c r="AB15" s="218">
        <f>(财务基础数据!AG331+财务基础数据!AG332+财务基础数据!AG333)*目录!$D$6</f>
        <v>0</v>
      </c>
      <c r="AC15" s="218">
        <f>(财务基础数据!AH331+财务基础数据!AH332+财务基础数据!AH333)*目录!$D$6</f>
        <v>0</v>
      </c>
      <c r="AD15" s="218">
        <f>(财务基础数据!AI331+财务基础数据!AI332+财务基础数据!AI333)*目录!$D$6</f>
        <v>0</v>
      </c>
      <c r="AE15" s="218">
        <f>(财务基础数据!AJ331+财务基础数据!AJ332+财务基础数据!AJ333)*目录!$D$6</f>
        <v>0</v>
      </c>
      <c r="AF15" s="218">
        <f>(财务基础数据!AK331+财务基础数据!AK332+财务基础数据!AK333)*目录!$D$6</f>
        <v>0</v>
      </c>
      <c r="AG15" s="218">
        <f>(财务基础数据!AL331+财务基础数据!AL332+财务基础数据!AL333)*目录!$D$6</f>
        <v>0</v>
      </c>
      <c r="AH15" s="218">
        <f>(财务基础数据!AM331+财务基础数据!AM332+财务基础数据!AM333)*目录!$D$6</f>
        <v>0</v>
      </c>
      <c r="AI15" s="218">
        <f>(财务基础数据!AN331+财务基础数据!AN332+财务基础数据!AN333)*目录!$D$6</f>
        <v>0</v>
      </c>
      <c r="AJ15" s="218">
        <f>(财务基础数据!AO331+财务基础数据!AO332+财务基础数据!AO333)*目录!$D$6</f>
        <v>0</v>
      </c>
      <c r="AK15" s="218">
        <f>(财务基础数据!AP331+财务基础数据!AP332+财务基础数据!AP333)*目录!$D$6</f>
        <v>0</v>
      </c>
      <c r="AL15" s="218">
        <f>SUM(AL16:AL18)</f>
        <v>0</v>
      </c>
      <c r="AM15" s="218">
        <f t="shared" ref="AM15:AU15" si="2">SUM(AM16:AM18)</f>
        <v>0</v>
      </c>
      <c r="AN15" s="218">
        <f t="shared" si="2"/>
        <v>0</v>
      </c>
      <c r="AO15" s="218">
        <f t="shared" si="2"/>
        <v>0</v>
      </c>
      <c r="AP15" s="218">
        <f t="shared" si="2"/>
        <v>0</v>
      </c>
      <c r="AQ15" s="218">
        <f t="shared" si="2"/>
        <v>0</v>
      </c>
      <c r="AR15" s="218">
        <f t="shared" si="2"/>
        <v>0</v>
      </c>
      <c r="AS15" s="218">
        <f t="shared" si="2"/>
        <v>0</v>
      </c>
      <c r="AT15" s="218">
        <f t="shared" si="2"/>
        <v>0</v>
      </c>
      <c r="AU15" s="218">
        <f t="shared" si="2"/>
        <v>0</v>
      </c>
      <c r="AV15" s="111"/>
      <c r="AW15" s="111"/>
      <c r="AX15" s="111"/>
    </row>
    <row r="16" spans="1:53" s="48" customFormat="1" ht="13.75">
      <c r="B16" s="1"/>
      <c r="C16" s="42" t="s">
        <v>28</v>
      </c>
      <c r="D16" s="1"/>
      <c r="E16" s="218">
        <f>财务基础数据!J331*目录!$D$6</f>
        <v>0</v>
      </c>
      <c r="F16" s="218">
        <f>财务基础数据!K331*目录!$D$6</f>
        <v>0</v>
      </c>
      <c r="G16" s="218">
        <f>财务基础数据!L331*目录!$D$6</f>
        <v>0</v>
      </c>
      <c r="H16" s="218">
        <f>财务基础数据!M331*目录!$D$6</f>
        <v>0</v>
      </c>
      <c r="I16" s="218">
        <f>财务基础数据!N331*目录!$D$6</f>
        <v>0</v>
      </c>
      <c r="J16" s="218">
        <f>财务基础数据!O331*目录!$D$6</f>
        <v>0</v>
      </c>
      <c r="K16" s="218">
        <f>财务基础数据!P331*目录!$D$6</f>
        <v>0</v>
      </c>
      <c r="L16" s="218">
        <f>财务基础数据!Q331*目录!$D$6</f>
        <v>0</v>
      </c>
      <c r="M16" s="218">
        <f>财务基础数据!R331*目录!$D$6</f>
        <v>0</v>
      </c>
      <c r="N16" s="218">
        <f>财务基础数据!S331*目录!$D$6</f>
        <v>0</v>
      </c>
      <c r="O16" s="218">
        <f>财务基础数据!T331*目录!$D$6</f>
        <v>0</v>
      </c>
      <c r="P16" s="218">
        <f>财务基础数据!U331*目录!$D$6</f>
        <v>0</v>
      </c>
      <c r="Q16" s="218">
        <f>财务基础数据!V331*目录!$D$6</f>
        <v>0</v>
      </c>
      <c r="R16" s="218">
        <f>财务基础数据!W331*目录!$D$6</f>
        <v>0</v>
      </c>
      <c r="S16" s="218">
        <f>财务基础数据!X331*目录!$D$6</f>
        <v>0</v>
      </c>
      <c r="T16" s="218">
        <f>财务基础数据!Y331*目录!$D$6</f>
        <v>0</v>
      </c>
      <c r="U16" s="218">
        <f>财务基础数据!Z331*目录!$D$6</f>
        <v>0</v>
      </c>
      <c r="V16" s="218">
        <f>财务基础数据!AA331*目录!$D$6</f>
        <v>0</v>
      </c>
      <c r="W16" s="218">
        <f>财务基础数据!AB331*目录!$D$6</f>
        <v>0</v>
      </c>
      <c r="X16" s="218">
        <f>财务基础数据!AC331*目录!$D$6</f>
        <v>0</v>
      </c>
      <c r="Y16" s="218">
        <f>财务基础数据!AD331*目录!$D$6</f>
        <v>0</v>
      </c>
      <c r="Z16" s="218">
        <f>财务基础数据!AE331*目录!$D$6</f>
        <v>0</v>
      </c>
      <c r="AA16" s="218">
        <f>财务基础数据!AF331*目录!$D$6</f>
        <v>0</v>
      </c>
      <c r="AB16" s="218">
        <f>财务基础数据!AG331*目录!$D$6</f>
        <v>0</v>
      </c>
      <c r="AC16" s="218">
        <f>财务基础数据!AH331*目录!$D$6</f>
        <v>0</v>
      </c>
      <c r="AD16" s="218">
        <f>财务基础数据!AI331*目录!$D$6</f>
        <v>0</v>
      </c>
      <c r="AE16" s="218">
        <f>财务基础数据!AJ331*目录!$D$6</f>
        <v>0</v>
      </c>
      <c r="AF16" s="218">
        <f>财务基础数据!AK331*目录!$D$6</f>
        <v>0</v>
      </c>
      <c r="AG16" s="218">
        <f>财务基础数据!AL331*目录!$D$6</f>
        <v>0</v>
      </c>
      <c r="AH16" s="218">
        <f>财务基础数据!AM331*目录!$D$6</f>
        <v>0</v>
      </c>
      <c r="AI16" s="218">
        <f>财务基础数据!AN331*目录!$D$6</f>
        <v>0</v>
      </c>
      <c r="AJ16" s="218">
        <f>财务基础数据!AO331*目录!$D$6</f>
        <v>0</v>
      </c>
      <c r="AK16" s="218">
        <f>财务基础数据!AP331*目录!$D$6</f>
        <v>0</v>
      </c>
      <c r="AL16" s="218">
        <f>IF(ISERROR(资产预测!P144),"—",资产预测!P144)</f>
        <v>0</v>
      </c>
      <c r="AM16" s="218">
        <f>IF(ISERROR(资产预测!Q144),"—",资产预测!Q144)</f>
        <v>0</v>
      </c>
      <c r="AN16" s="218">
        <f>IF(ISERROR(资产预测!R144),"—",资产预测!R144)</f>
        <v>0</v>
      </c>
      <c r="AO16" s="218">
        <f>IF(ISERROR(资产预测!S144),"—",资产预测!S144)</f>
        <v>0</v>
      </c>
      <c r="AP16" s="218">
        <f>IF(ISERROR(资产预测!T144),"—",资产预测!T144)</f>
        <v>0</v>
      </c>
      <c r="AQ16" s="218">
        <f>IF(ISERROR(资产预测!U144),"—",资产预测!U144)</f>
        <v>0</v>
      </c>
      <c r="AR16" s="218">
        <f>IF(ISERROR(资产预测!V144),"—",资产预测!V144)</f>
        <v>0</v>
      </c>
      <c r="AS16" s="218">
        <f>IF(ISERROR(资产预测!W144),"—",资产预测!W144)</f>
        <v>0</v>
      </c>
      <c r="AT16" s="218">
        <f>IF(ISERROR(资产预测!X144),"—",资产预测!X144)</f>
        <v>0</v>
      </c>
      <c r="AU16" s="218">
        <f>IF(ISERROR(资产预测!Y144),"—",资产预测!Y144)</f>
        <v>0</v>
      </c>
      <c r="AV16" s="111"/>
      <c r="AW16" s="111"/>
      <c r="AX16" s="111"/>
    </row>
    <row r="17" spans="2:50" s="48" customFormat="1" ht="13.75">
      <c r="B17" s="1"/>
      <c r="C17" s="649" t="s">
        <v>1200</v>
      </c>
      <c r="D17" s="1"/>
      <c r="E17" s="218">
        <f>财务基础数据!J332*目录!$D$6</f>
        <v>0</v>
      </c>
      <c r="F17" s="218">
        <f>财务基础数据!K332*目录!$D$6</f>
        <v>0</v>
      </c>
      <c r="G17" s="218">
        <f>财务基础数据!L332*目录!$D$6</f>
        <v>0</v>
      </c>
      <c r="H17" s="218">
        <f>财务基础数据!M332*目录!$D$6</f>
        <v>0</v>
      </c>
      <c r="I17" s="218">
        <f>财务基础数据!N332*目录!$D$6</f>
        <v>0</v>
      </c>
      <c r="J17" s="218">
        <f>财务基础数据!O332*目录!$D$6</f>
        <v>0</v>
      </c>
      <c r="K17" s="218">
        <f>财务基础数据!P332*目录!$D$6</f>
        <v>0</v>
      </c>
      <c r="L17" s="218">
        <f>财务基础数据!Q332*目录!$D$6</f>
        <v>0</v>
      </c>
      <c r="M17" s="218">
        <f>财务基础数据!R332*目录!$D$6</f>
        <v>0</v>
      </c>
      <c r="N17" s="218">
        <f>财务基础数据!S332*目录!$D$6</f>
        <v>0</v>
      </c>
      <c r="O17" s="218">
        <f>财务基础数据!T332*目录!$D$6</f>
        <v>0</v>
      </c>
      <c r="P17" s="218">
        <f>财务基础数据!U332*目录!$D$6</f>
        <v>0</v>
      </c>
      <c r="Q17" s="218">
        <f>财务基础数据!V332*目录!$D$6</f>
        <v>0</v>
      </c>
      <c r="R17" s="218">
        <f>财务基础数据!W332*目录!$D$6</f>
        <v>0</v>
      </c>
      <c r="S17" s="218">
        <f>财务基础数据!X332*目录!$D$6</f>
        <v>0</v>
      </c>
      <c r="T17" s="218">
        <f>财务基础数据!Y332*目录!$D$6</f>
        <v>0</v>
      </c>
      <c r="U17" s="218">
        <f>财务基础数据!Z332*目录!$D$6</f>
        <v>0</v>
      </c>
      <c r="V17" s="218">
        <f>财务基础数据!AA332*目录!$D$6</f>
        <v>0</v>
      </c>
      <c r="W17" s="218">
        <f>财务基础数据!AB332*目录!$D$6</f>
        <v>0</v>
      </c>
      <c r="X17" s="218">
        <f>财务基础数据!AC332*目录!$D$6</f>
        <v>0</v>
      </c>
      <c r="Y17" s="218">
        <f>财务基础数据!AD332*目录!$D$6</f>
        <v>0</v>
      </c>
      <c r="Z17" s="218">
        <f>财务基础数据!AE332*目录!$D$6</f>
        <v>0</v>
      </c>
      <c r="AA17" s="218">
        <f>财务基础数据!AF332*目录!$D$6</f>
        <v>0</v>
      </c>
      <c r="AB17" s="218">
        <f>财务基础数据!AG332*目录!$D$6</f>
        <v>0</v>
      </c>
      <c r="AC17" s="218">
        <f>财务基础数据!AH332*目录!$D$6</f>
        <v>0</v>
      </c>
      <c r="AD17" s="218">
        <f>财务基础数据!AI332*目录!$D$6</f>
        <v>0</v>
      </c>
      <c r="AE17" s="218">
        <f>财务基础数据!AJ332*目录!$D$6</f>
        <v>0</v>
      </c>
      <c r="AF17" s="218">
        <f>财务基础数据!AK332*目录!$D$6</f>
        <v>0</v>
      </c>
      <c r="AG17" s="218">
        <f>财务基础数据!AL332*目录!$D$6</f>
        <v>0</v>
      </c>
      <c r="AH17" s="218">
        <f>财务基础数据!AM332*目录!$D$6</f>
        <v>0</v>
      </c>
      <c r="AI17" s="218">
        <f>财务基础数据!AN332*目录!$D$6</f>
        <v>0</v>
      </c>
      <c r="AJ17" s="218">
        <f>财务基础数据!AO332*目录!$D$6</f>
        <v>0</v>
      </c>
      <c r="AK17" s="218">
        <f>财务基础数据!AP332*目录!$D$6</f>
        <v>0</v>
      </c>
      <c r="AL17" s="218">
        <f>IF(ISERROR(资产预测!P175),"—",资产预测!P175)</f>
        <v>0</v>
      </c>
      <c r="AM17" s="218">
        <f>IF(ISERROR(资产预测!Q175),"—",资产预测!Q175)</f>
        <v>0</v>
      </c>
      <c r="AN17" s="218">
        <f>IF(ISERROR(资产预测!R175),"—",资产预测!R175)</f>
        <v>0</v>
      </c>
      <c r="AO17" s="218">
        <f>IF(ISERROR(资产预测!S175),"—",资产预测!S175)</f>
        <v>0</v>
      </c>
      <c r="AP17" s="218">
        <f>IF(ISERROR(资产预测!T175),"—",资产预测!T175)</f>
        <v>0</v>
      </c>
      <c r="AQ17" s="218">
        <f>IF(ISERROR(资产预测!U175),"—",资产预测!U175)</f>
        <v>0</v>
      </c>
      <c r="AR17" s="218">
        <f>IF(ISERROR(资产预测!V175),"—",资产预测!V175)</f>
        <v>0</v>
      </c>
      <c r="AS17" s="218">
        <f>IF(ISERROR(资产预测!W175),"—",资产预测!W175)</f>
        <v>0</v>
      </c>
      <c r="AT17" s="218">
        <f>IF(ISERROR(资产预测!X175),"—",资产预测!X175)</f>
        <v>0</v>
      </c>
      <c r="AU17" s="218">
        <f>IF(ISERROR(资产预测!Y175),"—",资产预测!Y175)</f>
        <v>0</v>
      </c>
      <c r="AV17" s="111"/>
      <c r="AW17" s="111"/>
      <c r="AX17" s="111"/>
    </row>
    <row r="18" spans="2:50" s="48" customFormat="1" ht="13.75">
      <c r="B18" s="1"/>
      <c r="C18" s="654" t="s">
        <v>1204</v>
      </c>
      <c r="D18" s="1"/>
      <c r="E18" s="218">
        <f>财务基础数据!J333*目录!$D$6</f>
        <v>0</v>
      </c>
      <c r="F18" s="218">
        <f>财务基础数据!K333*目录!$D$6</f>
        <v>0</v>
      </c>
      <c r="G18" s="218">
        <f>财务基础数据!L333*目录!$D$6</f>
        <v>0</v>
      </c>
      <c r="H18" s="218">
        <f>财务基础数据!M333*目录!$D$6</f>
        <v>0</v>
      </c>
      <c r="I18" s="218">
        <f>财务基础数据!N333*目录!$D$6</f>
        <v>0</v>
      </c>
      <c r="J18" s="218">
        <f>财务基础数据!O333*目录!$D$6</f>
        <v>0</v>
      </c>
      <c r="K18" s="218">
        <f>财务基础数据!P333*目录!$D$6</f>
        <v>0</v>
      </c>
      <c r="L18" s="218">
        <f>财务基础数据!Q333*目录!$D$6</f>
        <v>0</v>
      </c>
      <c r="M18" s="218">
        <f>财务基础数据!R333*目录!$D$6</f>
        <v>0</v>
      </c>
      <c r="N18" s="218">
        <f>财务基础数据!S333*目录!$D$6</f>
        <v>0</v>
      </c>
      <c r="O18" s="218">
        <f>财务基础数据!T333*目录!$D$6</f>
        <v>0</v>
      </c>
      <c r="P18" s="218">
        <f>财务基础数据!U333*目录!$D$6</f>
        <v>0</v>
      </c>
      <c r="Q18" s="218">
        <f>财务基础数据!V333*目录!$D$6</f>
        <v>0</v>
      </c>
      <c r="R18" s="218">
        <f>财务基础数据!W333*目录!$D$6</f>
        <v>0</v>
      </c>
      <c r="S18" s="218">
        <f>财务基础数据!X333*目录!$D$6</f>
        <v>0</v>
      </c>
      <c r="T18" s="218">
        <f>财务基础数据!Y333*目录!$D$6</f>
        <v>0</v>
      </c>
      <c r="U18" s="218">
        <f>财务基础数据!Z333*目录!$D$6</f>
        <v>0</v>
      </c>
      <c r="V18" s="218">
        <f>财务基础数据!AA333*目录!$D$6</f>
        <v>0</v>
      </c>
      <c r="W18" s="218">
        <f>财务基础数据!AB333*目录!$D$6</f>
        <v>0</v>
      </c>
      <c r="X18" s="218">
        <f>财务基础数据!AC333*目录!$D$6</f>
        <v>0</v>
      </c>
      <c r="Y18" s="218">
        <f>财务基础数据!AD333*目录!$D$6</f>
        <v>0</v>
      </c>
      <c r="Z18" s="218">
        <f>财务基础数据!AE333*目录!$D$6</f>
        <v>0</v>
      </c>
      <c r="AA18" s="218">
        <f>财务基础数据!AF333*目录!$D$6</f>
        <v>0</v>
      </c>
      <c r="AB18" s="218">
        <f>财务基础数据!AG333*目录!$D$6</f>
        <v>0</v>
      </c>
      <c r="AC18" s="218">
        <f>财务基础数据!AH333*目录!$D$6</f>
        <v>0</v>
      </c>
      <c r="AD18" s="218">
        <f>财务基础数据!AI333*目录!$D$6</f>
        <v>0</v>
      </c>
      <c r="AE18" s="218">
        <f>财务基础数据!AJ333*目录!$D$6</f>
        <v>0</v>
      </c>
      <c r="AF18" s="218">
        <f>财务基础数据!AK333*目录!$D$6</f>
        <v>0</v>
      </c>
      <c r="AG18" s="218">
        <f>财务基础数据!AL333*目录!$D$6</f>
        <v>0</v>
      </c>
      <c r="AH18" s="218">
        <f>财务基础数据!AM333*目录!$D$6</f>
        <v>0</v>
      </c>
      <c r="AI18" s="218">
        <f>财务基础数据!AN333*目录!$D$6</f>
        <v>0</v>
      </c>
      <c r="AJ18" s="218">
        <f>财务基础数据!AO333*目录!$D$6</f>
        <v>0</v>
      </c>
      <c r="AK18" s="218">
        <f>财务基础数据!AP333*目录!$D$6</f>
        <v>0</v>
      </c>
      <c r="AL18" s="218">
        <f>IF(ISERROR(资产预测!P110+资产预测!P168),"—",资产预测!P110+资产预测!P168)</f>
        <v>0</v>
      </c>
      <c r="AM18" s="218">
        <f>IF(ISERROR(资产预测!Q110+资产预测!Q168),"—",资产预测!Q110+资产预测!Q168)</f>
        <v>0</v>
      </c>
      <c r="AN18" s="218">
        <f>IF(ISERROR(资产预测!R110+资产预测!R168),"—",资产预测!R110+资产预测!R168)</f>
        <v>0</v>
      </c>
      <c r="AO18" s="218">
        <f>IF(ISERROR(资产预测!S110+资产预测!S168),"—",资产预测!S110+资产预测!S168)</f>
        <v>0</v>
      </c>
      <c r="AP18" s="218">
        <f>IF(ISERROR(资产预测!T110+资产预测!T168),"—",资产预测!T110+资产预测!T168)</f>
        <v>0</v>
      </c>
      <c r="AQ18" s="218">
        <f>IF(ISERROR(资产预测!U110+资产预测!U168),"—",资产预测!U110+资产预测!U168)</f>
        <v>0</v>
      </c>
      <c r="AR18" s="218">
        <f>IF(ISERROR(资产预测!V110+资产预测!V168),"—",资产预测!V110+资产预测!V168)</f>
        <v>0</v>
      </c>
      <c r="AS18" s="218">
        <f>IF(ISERROR(资产预测!W110+资产预测!W168),"—",资产预测!W110+资产预测!W168)</f>
        <v>0</v>
      </c>
      <c r="AT18" s="218">
        <f>IF(ISERROR(资产预测!X110+资产预测!X168),"—",资产预测!X110+资产预测!X168)</f>
        <v>0</v>
      </c>
      <c r="AU18" s="218">
        <f>IF(ISERROR(资产预测!Y110+资产预测!Y168),"—",资产预测!Y110+资产预测!Y168)</f>
        <v>0</v>
      </c>
      <c r="AV18" s="111"/>
      <c r="AW18" s="111"/>
      <c r="AX18" s="111"/>
    </row>
    <row r="19" spans="2:50" ht="13.75">
      <c r="B19" s="42" t="s">
        <v>393</v>
      </c>
      <c r="D19" s="42"/>
      <c r="E19" s="218">
        <f>E20+E21+E22+E23+E24+E25</f>
        <v>0</v>
      </c>
      <c r="F19" s="218"/>
      <c r="G19" s="218">
        <f>G20+G21+G22+G23+G24+G25</f>
        <v>0</v>
      </c>
      <c r="H19" s="218"/>
      <c r="I19" s="218">
        <f>I20+I21+I22+I23+I24+I25</f>
        <v>0</v>
      </c>
      <c r="J19" s="218"/>
      <c r="K19" s="218">
        <f>K20+K21+K22+K23+K24+K25</f>
        <v>0</v>
      </c>
      <c r="L19" s="218"/>
      <c r="M19" s="218">
        <f>M20+M21+M22+M23+M24+M25</f>
        <v>0</v>
      </c>
      <c r="N19" s="218"/>
      <c r="O19" s="218">
        <f t="shared" ref="O19:Y19" si="3">O20+O21+O22+O23+O24+O25</f>
        <v>0</v>
      </c>
      <c r="P19" s="218">
        <f t="shared" si="3"/>
        <v>0</v>
      </c>
      <c r="Q19" s="218">
        <f t="shared" si="3"/>
        <v>0</v>
      </c>
      <c r="R19" s="218">
        <f t="shared" si="3"/>
        <v>0</v>
      </c>
      <c r="S19" s="218">
        <f t="shared" si="3"/>
        <v>0</v>
      </c>
      <c r="T19" s="218">
        <f t="shared" si="3"/>
        <v>0</v>
      </c>
      <c r="U19" s="218">
        <f t="shared" si="3"/>
        <v>0</v>
      </c>
      <c r="V19" s="218">
        <f t="shared" si="3"/>
        <v>0</v>
      </c>
      <c r="W19" s="218">
        <f t="shared" si="3"/>
        <v>0</v>
      </c>
      <c r="X19" s="218">
        <f t="shared" si="3"/>
        <v>0</v>
      </c>
      <c r="Y19" s="218">
        <f t="shared" si="3"/>
        <v>0</v>
      </c>
      <c r="Z19" s="218"/>
      <c r="AA19" s="218">
        <f>AA20+AA21+AA22+AA23+AA24+AA25</f>
        <v>0</v>
      </c>
      <c r="AB19" s="218"/>
      <c r="AC19" s="218">
        <f>AC20+AC21+AC22+AC23+AC24+AC25</f>
        <v>0</v>
      </c>
      <c r="AD19" s="218"/>
      <c r="AE19" s="218">
        <f>AE20+AE21+AE22+AE23+AE24+AE25</f>
        <v>0</v>
      </c>
      <c r="AF19" s="218"/>
      <c r="AG19" s="218">
        <f>AG20+AG21+AG22+AG23+AG24+AG25</f>
        <v>0</v>
      </c>
      <c r="AH19" s="218">
        <f>AH20+AH21+AH22+AH23+AH24+AH25</f>
        <v>0</v>
      </c>
      <c r="AI19" s="218">
        <f>AI20+AI21+AI22+AI23+AI24+AI25</f>
        <v>0</v>
      </c>
      <c r="AJ19" s="218">
        <f>AJ20+AJ21+AJ22+AJ23+AJ24+AJ25</f>
        <v>0</v>
      </c>
      <c r="AK19" s="218">
        <f>AK20+AK21+AK22+AK23+AK24+AK25</f>
        <v>0</v>
      </c>
      <c r="AL19" s="218" t="str">
        <f t="shared" ref="AL19:AU19" si="4">IF(ISERROR(AL20+AL21+AL22+AL23+AL24+AL25),"—",AL20+AL21+AL22+AL23+AL24+AL25)</f>
        <v>—</v>
      </c>
      <c r="AM19" s="218" t="str">
        <f t="shared" si="4"/>
        <v>—</v>
      </c>
      <c r="AN19" s="218" t="str">
        <f t="shared" si="4"/>
        <v>—</v>
      </c>
      <c r="AO19" s="218">
        <f t="shared" si="4"/>
        <v>0</v>
      </c>
      <c r="AP19" s="218">
        <f t="shared" si="4"/>
        <v>0</v>
      </c>
      <c r="AQ19" s="218">
        <f t="shared" si="4"/>
        <v>0</v>
      </c>
      <c r="AR19" s="218">
        <f t="shared" si="4"/>
        <v>0</v>
      </c>
      <c r="AS19" s="218">
        <f t="shared" si="4"/>
        <v>0</v>
      </c>
      <c r="AT19" s="218">
        <f t="shared" si="4"/>
        <v>0</v>
      </c>
      <c r="AU19" s="218">
        <f t="shared" si="4"/>
        <v>0</v>
      </c>
      <c r="AV19" s="59"/>
      <c r="AW19" s="59"/>
      <c r="AX19" s="59"/>
    </row>
    <row r="20" spans="2:50" ht="13.75">
      <c r="C20" s="42" t="s">
        <v>1009</v>
      </c>
      <c r="D20" s="42"/>
      <c r="E20" s="218">
        <f>(财务基础数据!J336+财务基础数据!J337)*目录!$D$6</f>
        <v>0</v>
      </c>
      <c r="F20" s="218">
        <f>(财务基础数据!K336+财务基础数据!K337)*目录!$D$6</f>
        <v>0</v>
      </c>
      <c r="G20" s="218">
        <f>(财务基础数据!L336+财务基础数据!L337)*目录!$D$6</f>
        <v>0</v>
      </c>
      <c r="H20" s="218">
        <f>(财务基础数据!M336+财务基础数据!M337)*目录!$D$6</f>
        <v>0</v>
      </c>
      <c r="I20" s="218">
        <f>(财务基础数据!N336+财务基础数据!N337)*目录!$D$6</f>
        <v>0</v>
      </c>
      <c r="J20" s="218">
        <f>(财务基础数据!O336+财务基础数据!O337)*目录!$D$6</f>
        <v>0</v>
      </c>
      <c r="K20" s="218">
        <f>(财务基础数据!P336+财务基础数据!P337)*目录!$D$6</f>
        <v>0</v>
      </c>
      <c r="L20" s="218">
        <f>(财务基础数据!Q336+财务基础数据!Q337)*目录!$D$6</f>
        <v>0</v>
      </c>
      <c r="M20" s="218">
        <f>(财务基础数据!R336+财务基础数据!R337)*目录!$D$6</f>
        <v>0</v>
      </c>
      <c r="N20" s="218">
        <f>(财务基础数据!S336+财务基础数据!S337)*目录!$D$6</f>
        <v>0</v>
      </c>
      <c r="O20" s="218">
        <f>(财务基础数据!T336+财务基础数据!T337)*目录!$D$6</f>
        <v>0</v>
      </c>
      <c r="P20" s="218">
        <f>(财务基础数据!U336+财务基础数据!U337)*目录!$D$6</f>
        <v>0</v>
      </c>
      <c r="Q20" s="218">
        <f>(财务基础数据!V336+财务基础数据!V337)*目录!$D$6</f>
        <v>0</v>
      </c>
      <c r="R20" s="218">
        <f>(财务基础数据!W336+财务基础数据!W337)*目录!$D$6</f>
        <v>0</v>
      </c>
      <c r="S20" s="218">
        <f>(财务基础数据!X336+财务基础数据!X337)*目录!$D$6</f>
        <v>0</v>
      </c>
      <c r="T20" s="218">
        <f>(财务基础数据!Y336+财务基础数据!Y337)*目录!$D$6</f>
        <v>0</v>
      </c>
      <c r="U20" s="218">
        <f>(财务基础数据!Z336+财务基础数据!Z337)*目录!$D$6</f>
        <v>0</v>
      </c>
      <c r="V20" s="218">
        <f>(财务基础数据!AA336+财务基础数据!AA337)*目录!$D$6</f>
        <v>0</v>
      </c>
      <c r="W20" s="218">
        <f>(财务基础数据!AB336+财务基础数据!AB337)*目录!$D$6</f>
        <v>0</v>
      </c>
      <c r="X20" s="218">
        <f>(财务基础数据!AC336+财务基础数据!AC337)*目录!$D$6</f>
        <v>0</v>
      </c>
      <c r="Y20" s="218">
        <f>(财务基础数据!AD336+财务基础数据!AD337)*目录!$D$6</f>
        <v>0</v>
      </c>
      <c r="Z20" s="218">
        <f>(财务基础数据!AE336+财务基础数据!AE337)*目录!$D$6</f>
        <v>0</v>
      </c>
      <c r="AA20" s="218">
        <f>(财务基础数据!AF336+财务基础数据!AF337)*目录!$D$6</f>
        <v>0</v>
      </c>
      <c r="AB20" s="218">
        <f>(财务基础数据!AG336+财务基础数据!AG337)*目录!$D$6</f>
        <v>0</v>
      </c>
      <c r="AC20" s="218">
        <f>(财务基础数据!AH336+财务基础数据!AH337)*目录!$D$6</f>
        <v>0</v>
      </c>
      <c r="AD20" s="218">
        <f>(财务基础数据!AI336+财务基础数据!AI337)*目录!$D$6</f>
        <v>0</v>
      </c>
      <c r="AE20" s="218">
        <f>(财务基础数据!AJ336+财务基础数据!AJ337)*目录!$D$6</f>
        <v>0</v>
      </c>
      <c r="AF20" s="218">
        <f>(财务基础数据!AK336+财务基础数据!AK337)*目录!$D$6</f>
        <v>0</v>
      </c>
      <c r="AG20" s="218">
        <f>(财务基础数据!AL336+财务基础数据!AL337)*目录!$D$6</f>
        <v>0</v>
      </c>
      <c r="AH20" s="218">
        <f>(财务基础数据!AM336+财务基础数据!AM337)*目录!$D$6</f>
        <v>0</v>
      </c>
      <c r="AI20" s="218">
        <f>(财务基础数据!AN336+财务基础数据!AN337)*目录!$D$6</f>
        <v>0</v>
      </c>
      <c r="AJ20" s="218">
        <f>(财务基础数据!AO336+财务基础数据!AO337)*目录!$D$6</f>
        <v>0</v>
      </c>
      <c r="AK20" s="218">
        <f>(财务基础数据!AP336+财务基础数据!AP337)*目录!$D$6</f>
        <v>0</v>
      </c>
      <c r="AL20" s="218" t="str">
        <f>IF(ISERROR(-利润表!AL71-利润表!AL61),"—",-利润表!AL71-利润表!AL61)</f>
        <v>—</v>
      </c>
      <c r="AM20" s="218" t="str">
        <f>IF(ISERROR(-利润表!AM71-利润表!AM61),"—",-利润表!AM71-利润表!AM61)</f>
        <v>—</v>
      </c>
      <c r="AN20" s="218" t="str">
        <f>IF(ISERROR(-利润表!AN71-利润表!AN61),"—",-利润表!AN71-利润表!AN61)</f>
        <v>—</v>
      </c>
      <c r="AO20" s="218">
        <f>IF(ISERROR(-利润表!AO71-利润表!AO61),"—",-利润表!AO71-利润表!AO61)</f>
        <v>0</v>
      </c>
      <c r="AP20" s="218">
        <f>IF(ISERROR(-利润表!AP71-利润表!AP61),"—",-利润表!AP71-利润表!AP61)</f>
        <v>0</v>
      </c>
      <c r="AQ20" s="218">
        <f>IF(ISERROR(-利润表!AQ71-利润表!AQ61),"—",-利润表!AQ71-利润表!AQ61)</f>
        <v>0</v>
      </c>
      <c r="AR20" s="218">
        <f>IF(ISERROR(-利润表!AR71-利润表!AR61),"—",-利润表!AR71-利润表!AR61)</f>
        <v>0</v>
      </c>
      <c r="AS20" s="218">
        <f>IF(ISERROR(-利润表!AS71-利润表!AS61),"—",-利润表!AS71-利润表!AS61)</f>
        <v>0</v>
      </c>
      <c r="AT20" s="218">
        <f>IF(ISERROR(-利润表!AT71-利润表!AT61),"—",-利润表!AT71-利润表!AT61)</f>
        <v>0</v>
      </c>
      <c r="AU20" s="218">
        <f>IF(ISERROR(-利润表!AU71-利润表!AU61),"—",-利润表!AU71-利润表!AU61)</f>
        <v>0</v>
      </c>
      <c r="AV20" s="59"/>
      <c r="AW20" s="59"/>
      <c r="AX20" s="59"/>
    </row>
    <row r="21" spans="2:50" ht="13.75">
      <c r="C21" s="42" t="s">
        <v>104</v>
      </c>
      <c r="E21" s="218">
        <f>财务基础数据!J338*目录!$D$6</f>
        <v>0</v>
      </c>
      <c r="F21" s="218">
        <f>财务基础数据!K338*目录!$D$6</f>
        <v>0</v>
      </c>
      <c r="G21" s="218">
        <f>财务基础数据!L338*目录!$D$6</f>
        <v>0</v>
      </c>
      <c r="H21" s="218">
        <f>财务基础数据!M338*目录!$D$6</f>
        <v>0</v>
      </c>
      <c r="I21" s="218">
        <f>财务基础数据!N338*目录!$D$6</f>
        <v>0</v>
      </c>
      <c r="J21" s="218">
        <f>财务基础数据!O338*目录!$D$6</f>
        <v>0</v>
      </c>
      <c r="K21" s="218">
        <f>财务基础数据!P338*目录!$D$6</f>
        <v>0</v>
      </c>
      <c r="L21" s="218">
        <f>财务基础数据!Q338*目录!$D$6</f>
        <v>0</v>
      </c>
      <c r="M21" s="218">
        <f>财务基础数据!R338*目录!$D$6</f>
        <v>0</v>
      </c>
      <c r="N21" s="218">
        <f>财务基础数据!S338*目录!$D$6</f>
        <v>0</v>
      </c>
      <c r="O21" s="218">
        <f>财务基础数据!T338*目录!$D$6</f>
        <v>0</v>
      </c>
      <c r="P21" s="218">
        <f>财务基础数据!U338*目录!$D$6</f>
        <v>0</v>
      </c>
      <c r="Q21" s="218">
        <f>财务基础数据!V338*目录!$D$6</f>
        <v>0</v>
      </c>
      <c r="R21" s="218">
        <f>财务基础数据!W338*目录!$D$6</f>
        <v>0</v>
      </c>
      <c r="S21" s="218">
        <f>财务基础数据!X338*目录!$D$6</f>
        <v>0</v>
      </c>
      <c r="T21" s="218">
        <f>财务基础数据!Y338*目录!$D$6</f>
        <v>0</v>
      </c>
      <c r="U21" s="218">
        <f>财务基础数据!Z338*目录!$D$6</f>
        <v>0</v>
      </c>
      <c r="V21" s="218">
        <f>财务基础数据!AA338*目录!$D$6</f>
        <v>0</v>
      </c>
      <c r="W21" s="218">
        <f>财务基础数据!AB338*目录!$D$6</f>
        <v>0</v>
      </c>
      <c r="X21" s="218">
        <f>财务基础数据!AC338*目录!$D$6</f>
        <v>0</v>
      </c>
      <c r="Y21" s="218">
        <f>财务基础数据!AD338*目录!$D$6</f>
        <v>0</v>
      </c>
      <c r="Z21" s="218">
        <f>财务基础数据!AE338*目录!$D$6</f>
        <v>0</v>
      </c>
      <c r="AA21" s="218">
        <f>财务基础数据!AF338*目录!$D$6</f>
        <v>0</v>
      </c>
      <c r="AB21" s="218">
        <f>财务基础数据!AG338*目录!$D$6</f>
        <v>0</v>
      </c>
      <c r="AC21" s="218">
        <f>财务基础数据!AH338*目录!$D$6</f>
        <v>0</v>
      </c>
      <c r="AD21" s="218">
        <f>财务基础数据!AI338*目录!$D$6</f>
        <v>0</v>
      </c>
      <c r="AE21" s="218">
        <f>财务基础数据!AJ338*目录!$D$6</f>
        <v>0</v>
      </c>
      <c r="AF21" s="218">
        <f>财务基础数据!AK338*目录!$D$6</f>
        <v>0</v>
      </c>
      <c r="AG21" s="218">
        <f>财务基础数据!AL338*目录!$D$6</f>
        <v>0</v>
      </c>
      <c r="AH21" s="218">
        <f>财务基础数据!AM338*目录!$D$6</f>
        <v>0</v>
      </c>
      <c r="AI21" s="218">
        <f>财务基础数据!AN338*目录!$D$6</f>
        <v>0</v>
      </c>
      <c r="AJ21" s="218">
        <f>财务基础数据!AO338*目录!$D$6</f>
        <v>0</v>
      </c>
      <c r="AK21" s="218">
        <f>财务基础数据!AP338*目录!$D$6</f>
        <v>0</v>
      </c>
      <c r="AL21" s="218">
        <f>IF(ISERROR(-利润表!AL52),"—",-利润表!AL52)</f>
        <v>0</v>
      </c>
      <c r="AM21" s="218">
        <f>IF(ISERROR(-利润表!AM52),"—",-利润表!AM52)</f>
        <v>0</v>
      </c>
      <c r="AN21" s="218">
        <f>IF(ISERROR(-利润表!AN52),"—",-利润表!AN52)</f>
        <v>0</v>
      </c>
      <c r="AO21" s="218">
        <f>IF(ISERROR(-利润表!AO52),"0",-利润表!AO52)</f>
        <v>0</v>
      </c>
      <c r="AP21" s="218">
        <f>IF(ISERROR(-利润表!AP52),"—",-利润表!AP52)</f>
        <v>0</v>
      </c>
      <c r="AQ21" s="218">
        <f>IF(ISERROR(-利润表!AQ52),"—",-利润表!AQ52)</f>
        <v>0</v>
      </c>
      <c r="AR21" s="218">
        <f>IF(ISERROR(-利润表!AR52),"—",-利润表!AR52)</f>
        <v>0</v>
      </c>
      <c r="AS21" s="218">
        <f>IF(ISERROR(-利润表!AS52),"—",-利润表!AS52)</f>
        <v>0</v>
      </c>
      <c r="AT21" s="218">
        <f>IF(ISERROR(-利润表!AT52),"—",-利润表!AT52)</f>
        <v>0</v>
      </c>
      <c r="AU21" s="218">
        <f>IF(ISERROR(-利润表!AU52),"—",-利润表!AU52)</f>
        <v>0</v>
      </c>
      <c r="AV21" s="59"/>
      <c r="AW21" s="59"/>
      <c r="AX21" s="59"/>
    </row>
    <row r="22" spans="2:50" ht="13.75">
      <c r="C22" s="42" t="s">
        <v>105</v>
      </c>
      <c r="D22" s="42"/>
      <c r="E22" s="218">
        <f>财务基础数据!J339*目录!$D$6</f>
        <v>0</v>
      </c>
      <c r="F22" s="218">
        <f>财务基础数据!K339*目录!$D$6</f>
        <v>0</v>
      </c>
      <c r="G22" s="218">
        <f>财务基础数据!L339*目录!$D$6</f>
        <v>0</v>
      </c>
      <c r="H22" s="218">
        <f>财务基础数据!M339*目录!$D$6</f>
        <v>0</v>
      </c>
      <c r="I22" s="218">
        <f>财务基础数据!N339*目录!$D$6</f>
        <v>0</v>
      </c>
      <c r="J22" s="218">
        <f>财务基础数据!O339*目录!$D$6</f>
        <v>0</v>
      </c>
      <c r="K22" s="218">
        <f>财务基础数据!P339*目录!$D$6</f>
        <v>0</v>
      </c>
      <c r="L22" s="218">
        <f>财务基础数据!Q339*目录!$D$6</f>
        <v>0</v>
      </c>
      <c r="M22" s="218">
        <f>财务基础数据!R339*目录!$D$6</f>
        <v>0</v>
      </c>
      <c r="N22" s="218">
        <f>财务基础数据!S339*目录!$D$6</f>
        <v>0</v>
      </c>
      <c r="O22" s="218">
        <f>财务基础数据!T339*目录!$D$6</f>
        <v>0</v>
      </c>
      <c r="P22" s="218">
        <f>财务基础数据!U339*目录!$D$6</f>
        <v>0</v>
      </c>
      <c r="Q22" s="218">
        <f>财务基础数据!V339*目录!$D$6</f>
        <v>0</v>
      </c>
      <c r="R22" s="218">
        <f>财务基础数据!W339*目录!$D$6</f>
        <v>0</v>
      </c>
      <c r="S22" s="218">
        <f>财务基础数据!X339*目录!$D$6</f>
        <v>0</v>
      </c>
      <c r="T22" s="218">
        <f>财务基础数据!Y339*目录!$D$6</f>
        <v>0</v>
      </c>
      <c r="U22" s="218">
        <f>财务基础数据!Z339*目录!$D$6</f>
        <v>0</v>
      </c>
      <c r="V22" s="218">
        <f>财务基础数据!AA339*目录!$D$6</f>
        <v>0</v>
      </c>
      <c r="W22" s="218">
        <f>财务基础数据!AB339*目录!$D$6</f>
        <v>0</v>
      </c>
      <c r="X22" s="218">
        <f>财务基础数据!AC339*目录!$D$6</f>
        <v>0</v>
      </c>
      <c r="Y22" s="218">
        <f>财务基础数据!AD339*目录!$D$6</f>
        <v>0</v>
      </c>
      <c r="Z22" s="218">
        <f>财务基础数据!AE339*目录!$D$6</f>
        <v>0</v>
      </c>
      <c r="AA22" s="218">
        <f>财务基础数据!AF339*目录!$D$6</f>
        <v>0</v>
      </c>
      <c r="AB22" s="218">
        <f>财务基础数据!AG339*目录!$D$6</f>
        <v>0</v>
      </c>
      <c r="AC22" s="218">
        <f>财务基础数据!AH339*目录!$D$6</f>
        <v>0</v>
      </c>
      <c r="AD22" s="218">
        <f>财务基础数据!AI339*目录!$D$6</f>
        <v>0</v>
      </c>
      <c r="AE22" s="218">
        <f>财务基础数据!AJ339*目录!$D$6</f>
        <v>0</v>
      </c>
      <c r="AF22" s="218">
        <f>财务基础数据!AK339*目录!$D$6</f>
        <v>0</v>
      </c>
      <c r="AG22" s="218">
        <f>财务基础数据!AL339*目录!$D$6</f>
        <v>0</v>
      </c>
      <c r="AH22" s="218">
        <f>财务基础数据!AM339*目录!$D$6</f>
        <v>0</v>
      </c>
      <c r="AI22" s="218">
        <f>财务基础数据!AN339*目录!$D$6</f>
        <v>0</v>
      </c>
      <c r="AJ22" s="218">
        <f>财务基础数据!AO339*目录!$D$6</f>
        <v>0</v>
      </c>
      <c r="AK22" s="218">
        <f>财务基础数据!AP339*目录!$D$6</f>
        <v>0</v>
      </c>
      <c r="AL22" s="218">
        <f>IF(ISERROR(利润表!AL31),"—",利润表!AL31)</f>
        <v>0</v>
      </c>
      <c r="AM22" s="218">
        <f>IF(ISERROR(利润表!AM31),"—",利润表!AM31)</f>
        <v>0</v>
      </c>
      <c r="AN22" s="218">
        <f>IF(ISERROR(利润表!AN31),"—",利润表!AN31)</f>
        <v>0</v>
      </c>
      <c r="AO22" s="218">
        <f>IF(ISERROR(利润表!AO31),"0",利润表!AO31)</f>
        <v>0</v>
      </c>
      <c r="AP22" s="218">
        <f>IF(ISERROR(利润表!AP31),"—",利润表!AP31)</f>
        <v>0</v>
      </c>
      <c r="AQ22" s="218">
        <f>IF(ISERROR(利润表!AQ31),"—",利润表!AQ31)</f>
        <v>0</v>
      </c>
      <c r="AR22" s="218">
        <f>IF(ISERROR(利润表!AR31),"—",利润表!AR31)</f>
        <v>0</v>
      </c>
      <c r="AS22" s="218">
        <f>IF(ISERROR(利润表!AS31),"—",利润表!AS31)</f>
        <v>0</v>
      </c>
      <c r="AT22" s="218">
        <f>IF(ISERROR(利润表!AT31),"—",利润表!AT31)</f>
        <v>0</v>
      </c>
      <c r="AU22" s="218">
        <f>IF(ISERROR(利润表!AU31),"—",利润表!AU31)</f>
        <v>0</v>
      </c>
      <c r="AV22" s="59"/>
      <c r="AW22" s="59"/>
      <c r="AX22" s="59"/>
    </row>
    <row r="23" spans="2:50" ht="13.75">
      <c r="C23" s="42" t="s">
        <v>29</v>
      </c>
      <c r="D23" s="42"/>
      <c r="E23" s="218">
        <f>财务基础数据!J340*目录!$D$6</f>
        <v>0</v>
      </c>
      <c r="F23" s="218">
        <f>财务基础数据!K340*目录!$D$6</f>
        <v>0</v>
      </c>
      <c r="G23" s="218">
        <f>财务基础数据!L340*目录!$D$6</f>
        <v>0</v>
      </c>
      <c r="H23" s="218">
        <f>财务基础数据!M340*目录!$D$6</f>
        <v>0</v>
      </c>
      <c r="I23" s="218">
        <f>财务基础数据!N340*目录!$D$6</f>
        <v>0</v>
      </c>
      <c r="J23" s="218">
        <f>财务基础数据!O340*目录!$D$6</f>
        <v>0</v>
      </c>
      <c r="K23" s="218">
        <f>财务基础数据!P340*目录!$D$6</f>
        <v>0</v>
      </c>
      <c r="L23" s="218">
        <f>财务基础数据!Q340*目录!$D$6</f>
        <v>0</v>
      </c>
      <c r="M23" s="218">
        <f>财务基础数据!R340*目录!$D$6</f>
        <v>0</v>
      </c>
      <c r="N23" s="218">
        <f>财务基础数据!S340*目录!$D$6</f>
        <v>0</v>
      </c>
      <c r="O23" s="218">
        <f>财务基础数据!T340*目录!$D$6</f>
        <v>0</v>
      </c>
      <c r="P23" s="218">
        <f>财务基础数据!U340*目录!$D$6</f>
        <v>0</v>
      </c>
      <c r="Q23" s="218">
        <f>财务基础数据!V340*目录!$D$6</f>
        <v>0</v>
      </c>
      <c r="R23" s="218">
        <f>财务基础数据!W340*目录!$D$6</f>
        <v>0</v>
      </c>
      <c r="S23" s="218">
        <f>财务基础数据!X340*目录!$D$6</f>
        <v>0</v>
      </c>
      <c r="T23" s="218">
        <f>财务基础数据!Y340*目录!$D$6</f>
        <v>0</v>
      </c>
      <c r="U23" s="218">
        <f>财务基础数据!Z340*目录!$D$6</f>
        <v>0</v>
      </c>
      <c r="V23" s="218">
        <f>财务基础数据!AA340*目录!$D$6</f>
        <v>0</v>
      </c>
      <c r="W23" s="218">
        <f>财务基础数据!AB340*目录!$D$6</f>
        <v>0</v>
      </c>
      <c r="X23" s="218">
        <f>财务基础数据!AC340*目录!$D$6</f>
        <v>0</v>
      </c>
      <c r="Y23" s="218">
        <f>财务基础数据!AD340*目录!$D$6</f>
        <v>0</v>
      </c>
      <c r="Z23" s="218">
        <f>财务基础数据!AE340*目录!$D$6</f>
        <v>0</v>
      </c>
      <c r="AA23" s="218">
        <f>财务基础数据!AF340*目录!$D$6</f>
        <v>0</v>
      </c>
      <c r="AB23" s="218">
        <f>财务基础数据!AG340*目录!$D$6</f>
        <v>0</v>
      </c>
      <c r="AC23" s="218">
        <f>财务基础数据!AH340*目录!$D$6</f>
        <v>0</v>
      </c>
      <c r="AD23" s="218">
        <f>财务基础数据!AI340*目录!$D$6</f>
        <v>0</v>
      </c>
      <c r="AE23" s="218">
        <f>财务基础数据!AJ340*目录!$D$6</f>
        <v>0</v>
      </c>
      <c r="AF23" s="218">
        <f>财务基础数据!AK340*目录!$D$6</f>
        <v>0</v>
      </c>
      <c r="AG23" s="218">
        <f>财务基础数据!AL340*目录!$D$6</f>
        <v>0</v>
      </c>
      <c r="AH23" s="218">
        <f>财务基础数据!AM340*目录!$D$6</f>
        <v>0</v>
      </c>
      <c r="AI23" s="218">
        <f>财务基础数据!AN340*目录!$D$6</f>
        <v>0</v>
      </c>
      <c r="AJ23" s="218">
        <f>财务基础数据!AO340*目录!$D$6</f>
        <v>0</v>
      </c>
      <c r="AK23" s="218">
        <f>财务基础数据!AP340*目录!$D$6</f>
        <v>0</v>
      </c>
      <c r="AL23" s="218" t="str">
        <f>IF(ISERROR(-利润表!AL44),"—",-利润表!AL44)</f>
        <v>—</v>
      </c>
      <c r="AM23" s="218" t="str">
        <f>IF(ISERROR(-利润表!AM44),"—",-利润表!AM44)</f>
        <v>—</v>
      </c>
      <c r="AN23" s="218" t="str">
        <f>IF(ISERROR(-利润表!AN44),"—",-利润表!AN44)</f>
        <v>—</v>
      </c>
      <c r="AO23" s="218">
        <f>IF(ISERROR(-利润表!AO44),"—",-利润表!AO44)</f>
        <v>0</v>
      </c>
      <c r="AP23" s="218">
        <f>IF(ISERROR(-利润表!AP44),"—",-利润表!AP44)</f>
        <v>0</v>
      </c>
      <c r="AQ23" s="218">
        <f>IF(ISERROR(-利润表!AQ44),"—",-利润表!AQ44)</f>
        <v>0</v>
      </c>
      <c r="AR23" s="218">
        <f>IF(ISERROR(-利润表!AR44),"—",-利润表!AR44)</f>
        <v>0</v>
      </c>
      <c r="AS23" s="218">
        <f>IF(ISERROR(-利润表!AS44),"—",-利润表!AS44)</f>
        <v>0</v>
      </c>
      <c r="AT23" s="218">
        <f>IF(ISERROR(-利润表!AT44),"—",-利润表!AT44)</f>
        <v>0</v>
      </c>
      <c r="AU23" s="218">
        <f>IF(ISERROR(-利润表!AU44),"—",-利润表!AU44)</f>
        <v>0</v>
      </c>
      <c r="AV23" s="59"/>
      <c r="AW23" s="59"/>
      <c r="AX23" s="59"/>
    </row>
    <row r="24" spans="2:50" ht="13.75">
      <c r="C24" s="42" t="s">
        <v>106</v>
      </c>
      <c r="D24" s="42"/>
      <c r="E24" s="218">
        <f>财务基础数据!J341*目录!$D$6</f>
        <v>0</v>
      </c>
      <c r="F24" s="218">
        <f>财务基础数据!K341*目录!$D$6</f>
        <v>0</v>
      </c>
      <c r="G24" s="218">
        <f>财务基础数据!L341*目录!$D$6</f>
        <v>0</v>
      </c>
      <c r="H24" s="218">
        <f>财务基础数据!M341*目录!$D$6</f>
        <v>0</v>
      </c>
      <c r="I24" s="218">
        <f>财务基础数据!N341*目录!$D$6</f>
        <v>0</v>
      </c>
      <c r="J24" s="218">
        <f>财务基础数据!O341*目录!$D$6</f>
        <v>0</v>
      </c>
      <c r="K24" s="218">
        <f>财务基础数据!P341*目录!$D$6</f>
        <v>0</v>
      </c>
      <c r="L24" s="218">
        <f>财务基础数据!Q341*目录!$D$6</f>
        <v>0</v>
      </c>
      <c r="M24" s="218">
        <f>财务基础数据!R341*目录!$D$6</f>
        <v>0</v>
      </c>
      <c r="N24" s="218">
        <f>财务基础数据!S341*目录!$D$6</f>
        <v>0</v>
      </c>
      <c r="O24" s="218">
        <f>财务基础数据!T341*目录!$D$6</f>
        <v>0</v>
      </c>
      <c r="P24" s="218">
        <f>财务基础数据!U341*目录!$D$6</f>
        <v>0</v>
      </c>
      <c r="Q24" s="218">
        <f>财务基础数据!V341*目录!$D$6</f>
        <v>0</v>
      </c>
      <c r="R24" s="218">
        <f>财务基础数据!W341*目录!$D$6</f>
        <v>0</v>
      </c>
      <c r="S24" s="218">
        <f>财务基础数据!X341*目录!$D$6</f>
        <v>0</v>
      </c>
      <c r="T24" s="218">
        <f>财务基础数据!Y341*目录!$D$6</f>
        <v>0</v>
      </c>
      <c r="U24" s="218">
        <f>财务基础数据!Z341*目录!$D$6</f>
        <v>0</v>
      </c>
      <c r="V24" s="218">
        <f>财务基础数据!AA341*目录!$D$6</f>
        <v>0</v>
      </c>
      <c r="W24" s="218">
        <f>财务基础数据!AB341*目录!$D$6</f>
        <v>0</v>
      </c>
      <c r="X24" s="218">
        <f>财务基础数据!AC341*目录!$D$6</f>
        <v>0</v>
      </c>
      <c r="Y24" s="218">
        <f>财务基础数据!AD341*目录!$D$6</f>
        <v>0</v>
      </c>
      <c r="Z24" s="218">
        <f>财务基础数据!AE341*目录!$D$6</f>
        <v>0</v>
      </c>
      <c r="AA24" s="218">
        <f>财务基础数据!AF341*目录!$D$6</f>
        <v>0</v>
      </c>
      <c r="AB24" s="218">
        <f>财务基础数据!AG341*目录!$D$6</f>
        <v>0</v>
      </c>
      <c r="AC24" s="218">
        <f>财务基础数据!AH341*目录!$D$6</f>
        <v>0</v>
      </c>
      <c r="AD24" s="218">
        <f>财务基础数据!AI341*目录!$D$6</f>
        <v>0</v>
      </c>
      <c r="AE24" s="218">
        <f>财务基础数据!AJ341*目录!$D$6</f>
        <v>0</v>
      </c>
      <c r="AF24" s="218">
        <f>财务基础数据!AK341*目录!$D$6</f>
        <v>0</v>
      </c>
      <c r="AG24" s="218">
        <f>财务基础数据!AL341*目录!$D$6</f>
        <v>0</v>
      </c>
      <c r="AH24" s="218">
        <f>财务基础数据!AM341*目录!$D$6</f>
        <v>0</v>
      </c>
      <c r="AI24" s="218">
        <f>财务基础数据!AN341*目录!$D$6</f>
        <v>0</v>
      </c>
      <c r="AJ24" s="218">
        <f>财务基础数据!AO341*目录!$D$6</f>
        <v>0</v>
      </c>
      <c r="AK24" s="218">
        <f>财务基础数据!AP341*目录!$D$6</f>
        <v>0</v>
      </c>
      <c r="AL24" s="218">
        <f>IF(ISERROR(资产负债表!AG40-资产负债表!AL40),"—",资产负债表!AG40-资产负债表!AL40)</f>
        <v>0</v>
      </c>
      <c r="AM24" s="218">
        <f>IF(ISERROR(资产负债表!AL40-资产负债表!AM40),"—",资产负债表!AL40-资产负债表!AM40)</f>
        <v>0</v>
      </c>
      <c r="AN24" s="218">
        <f>IF(ISERROR(资产负债表!AM40-资产负债表!AN40),"—",资产负债表!AM40-资产负债表!AN40)</f>
        <v>0</v>
      </c>
      <c r="AO24" s="218">
        <f>IF(ISERROR(资产负债表!AN40-资产负债表!AO40),"—",资产负债表!AN40-资产负债表!AO40)</f>
        <v>0</v>
      </c>
      <c r="AP24" s="218">
        <f>IF(ISERROR(资产负债表!AO40-资产负债表!AP40),"—",资产负债表!AO40-资产负债表!AP40)</f>
        <v>0</v>
      </c>
      <c r="AQ24" s="218">
        <f>IF(ISERROR(资产负债表!AP40-资产负债表!AQ40),"—",资产负债表!AP40-资产负债表!AQ40)</f>
        <v>0</v>
      </c>
      <c r="AR24" s="218">
        <f>IF(ISERROR(资产负债表!AQ40-资产负债表!AR40),"—",资产负债表!AQ40-资产负债表!AR40)</f>
        <v>0</v>
      </c>
      <c r="AS24" s="218">
        <f>IF(ISERROR(资产负债表!AR40-资产负债表!AS40),"—",资产负债表!AR40-资产负债表!AS40)</f>
        <v>0</v>
      </c>
      <c r="AT24" s="218">
        <f>IF(ISERROR(资产负债表!AS40-资产负债表!AT40),"—",资产负债表!AS40-资产负债表!AT40)</f>
        <v>0</v>
      </c>
      <c r="AU24" s="218">
        <f>IF(ISERROR(资产负债表!AT40-资产负债表!AU40),"—",资产负债表!AT40-资产负债表!AU40)</f>
        <v>0</v>
      </c>
      <c r="AV24" s="59"/>
      <c r="AW24" s="59"/>
      <c r="AX24" s="59"/>
    </row>
    <row r="25" spans="2:50" ht="13.75">
      <c r="C25" s="42" t="s">
        <v>107</v>
      </c>
      <c r="D25" s="42"/>
      <c r="E25" s="218">
        <f>(财务基础数据!J342+财务基础数据!J343)*目录!$D$6</f>
        <v>0</v>
      </c>
      <c r="F25" s="218">
        <f>(财务基础数据!K342+财务基础数据!K343)*目录!$D$6</f>
        <v>0</v>
      </c>
      <c r="G25" s="218">
        <f>(财务基础数据!L342+财务基础数据!L343)*目录!$D$6</f>
        <v>0</v>
      </c>
      <c r="H25" s="218">
        <f>(财务基础数据!M342+财务基础数据!M343)*目录!$D$6</f>
        <v>0</v>
      </c>
      <c r="I25" s="218">
        <f>(财务基础数据!N342+财务基础数据!N343)*目录!$D$6</f>
        <v>0</v>
      </c>
      <c r="J25" s="218">
        <f>(财务基础数据!O342+财务基础数据!O343)*目录!$D$6</f>
        <v>0</v>
      </c>
      <c r="K25" s="218">
        <f>(财务基础数据!P342+财务基础数据!P343)*目录!$D$6</f>
        <v>0</v>
      </c>
      <c r="L25" s="218">
        <f>(财务基础数据!Q342+财务基础数据!Q343)*目录!$D$6</f>
        <v>0</v>
      </c>
      <c r="M25" s="218">
        <f>(财务基础数据!R342+财务基础数据!R343)*目录!$D$6</f>
        <v>0</v>
      </c>
      <c r="N25" s="218">
        <f>(财务基础数据!S342+财务基础数据!S343)*目录!$D$6</f>
        <v>0</v>
      </c>
      <c r="O25" s="218">
        <f>(财务基础数据!T342+财务基础数据!T343)*目录!$D$6</f>
        <v>0</v>
      </c>
      <c r="P25" s="218">
        <f>(财务基础数据!U342+财务基础数据!U343)*目录!$D$6</f>
        <v>0</v>
      </c>
      <c r="Q25" s="218">
        <f>(财务基础数据!V342+财务基础数据!V343)*目录!$D$6</f>
        <v>0</v>
      </c>
      <c r="R25" s="218">
        <f>(财务基础数据!W342+财务基础数据!W343)*目录!$D$6</f>
        <v>0</v>
      </c>
      <c r="S25" s="218">
        <f>(财务基础数据!X342+财务基础数据!X343)*目录!$D$6</f>
        <v>0</v>
      </c>
      <c r="T25" s="218">
        <f>(财务基础数据!Y342+财务基础数据!Y343)*目录!$D$6</f>
        <v>0</v>
      </c>
      <c r="U25" s="218">
        <f>(财务基础数据!Z342+财务基础数据!Z343)*目录!$D$6</f>
        <v>0</v>
      </c>
      <c r="V25" s="218">
        <f>(财务基础数据!AA342+财务基础数据!AA343)*目录!$D$6</f>
        <v>0</v>
      </c>
      <c r="W25" s="218">
        <f>(财务基础数据!AB342+财务基础数据!AB343)*目录!$D$6</f>
        <v>0</v>
      </c>
      <c r="X25" s="218">
        <f>(财务基础数据!AC342+财务基础数据!AC343)*目录!$D$6</f>
        <v>0</v>
      </c>
      <c r="Y25" s="218">
        <f>(财务基础数据!AD342+财务基础数据!AD343)*目录!$D$6</f>
        <v>0</v>
      </c>
      <c r="Z25" s="218">
        <f>(财务基础数据!AE342+财务基础数据!AE343)*目录!$D$6</f>
        <v>0</v>
      </c>
      <c r="AA25" s="218">
        <f>(财务基础数据!AF342+财务基础数据!AF343)*目录!$D$6</f>
        <v>0</v>
      </c>
      <c r="AB25" s="218">
        <f>(财务基础数据!AG342+财务基础数据!AG343)*目录!$D$6</f>
        <v>0</v>
      </c>
      <c r="AC25" s="218">
        <f>(财务基础数据!AH342+财务基础数据!AH343)*目录!$D$6</f>
        <v>0</v>
      </c>
      <c r="AD25" s="218">
        <f>(财务基础数据!AI342+财务基础数据!AI343)*目录!$D$6</f>
        <v>0</v>
      </c>
      <c r="AE25" s="218">
        <f>(财务基础数据!AJ342+财务基础数据!AJ343)*目录!$D$6</f>
        <v>0</v>
      </c>
      <c r="AF25" s="218">
        <f>(财务基础数据!AK342+财务基础数据!AK343)*目录!$D$6</f>
        <v>0</v>
      </c>
      <c r="AG25" s="218">
        <f>(财务基础数据!AL342+财务基础数据!AL343)*目录!$D$6</f>
        <v>0</v>
      </c>
      <c r="AH25" s="218">
        <f>(财务基础数据!AM342+财务基础数据!AM343)*目录!$D$6</f>
        <v>0</v>
      </c>
      <c r="AI25" s="218">
        <f>(财务基础数据!AN342+财务基础数据!AN343)*目录!$D$6</f>
        <v>0</v>
      </c>
      <c r="AJ25" s="218">
        <f>(财务基础数据!AO342+财务基础数据!AO343)*目录!$D$6</f>
        <v>0</v>
      </c>
      <c r="AK25" s="218">
        <f>(财务基础数据!AP342+财务基础数据!AP343)*目录!$D$6</f>
        <v>0</v>
      </c>
      <c r="AL25" s="218">
        <f>IF(ISERROR(资产负债表!AL71-资产负债表!AG71),"—",资产负债表!AL71-资产负债表!AG71)</f>
        <v>0</v>
      </c>
      <c r="AM25" s="218">
        <f>IF(ISERROR(资产负债表!AM71-资产负债表!AL71),"—",资产负债表!AM71-资产负债表!AL71)</f>
        <v>0</v>
      </c>
      <c r="AN25" s="218">
        <f>IF(ISERROR(资产负债表!AN71-资产负债表!AM71),"—",资产负债表!AN71-资产负债表!AM71)</f>
        <v>0</v>
      </c>
      <c r="AO25" s="218">
        <f>IF(ISERROR(资产负债表!AO71-资产负债表!AN71),"—",资产负债表!AO71-资产负债表!AN71)</f>
        <v>0</v>
      </c>
      <c r="AP25" s="218">
        <f>IF(ISERROR(资产负债表!AP71-资产负债表!AO71),"—",资产负债表!AP71-资产负债表!AO71)</f>
        <v>0</v>
      </c>
      <c r="AQ25" s="218">
        <f>IF(ISERROR(资产负债表!AQ71-资产负债表!AP71),"—",资产负债表!AQ71-资产负债表!AP71)</f>
        <v>0</v>
      </c>
      <c r="AR25" s="218">
        <f>IF(ISERROR(资产负债表!AR71-资产负债表!AQ71),"—",资产负债表!AR71-资产负债表!AQ71)</f>
        <v>0</v>
      </c>
      <c r="AS25" s="218">
        <f>IF(ISERROR(资产负债表!AS71-资产负债表!AR71),"—",资产负债表!AS71-资产负债表!AR71)</f>
        <v>0</v>
      </c>
      <c r="AT25" s="218">
        <f>IF(ISERROR(资产负债表!AT71-资产负债表!AS71),"—",资产负债表!AT71-资产负债表!AS71)</f>
        <v>0</v>
      </c>
      <c r="AU25" s="218">
        <f>IF(ISERROR(资产负债表!AU71-资产负债表!AT71),"—",资产负债表!AU71-资产负债表!AT71)</f>
        <v>0</v>
      </c>
      <c r="AV25" s="59"/>
      <c r="AW25" s="59"/>
      <c r="AX25" s="59"/>
    </row>
    <row r="26" spans="2:50" ht="14.15">
      <c r="B26" s="275" t="s">
        <v>108</v>
      </c>
      <c r="C26" s="458"/>
      <c r="D26" s="459"/>
      <c r="E26" s="219">
        <f>E27+E28+E33+E40</f>
        <v>0</v>
      </c>
      <c r="F26" s="219"/>
      <c r="G26" s="219">
        <f>G27+G28+G33+G40</f>
        <v>0</v>
      </c>
      <c r="H26" s="219"/>
      <c r="I26" s="219">
        <f>I27+I28+I33+I40</f>
        <v>0</v>
      </c>
      <c r="J26" s="219"/>
      <c r="K26" s="219">
        <f>K27+K28+K33+K40</f>
        <v>0</v>
      </c>
      <c r="L26" s="219"/>
      <c r="M26" s="219">
        <f>M27+M28+M33+M40</f>
        <v>0</v>
      </c>
      <c r="N26" s="219"/>
      <c r="O26" s="219">
        <f t="shared" ref="O26:Y26" si="5">O27+O28+O33+O40</f>
        <v>0</v>
      </c>
      <c r="P26" s="219">
        <f t="shared" si="5"/>
        <v>0</v>
      </c>
      <c r="Q26" s="219">
        <f t="shared" si="5"/>
        <v>0</v>
      </c>
      <c r="R26" s="219">
        <f t="shared" si="5"/>
        <v>0</v>
      </c>
      <c r="S26" s="219">
        <f t="shared" si="5"/>
        <v>0</v>
      </c>
      <c r="T26" s="219">
        <f t="shared" si="5"/>
        <v>0</v>
      </c>
      <c r="U26" s="219">
        <f t="shared" si="5"/>
        <v>0</v>
      </c>
      <c r="V26" s="219">
        <f t="shared" si="5"/>
        <v>0</v>
      </c>
      <c r="W26" s="219">
        <f t="shared" si="5"/>
        <v>0</v>
      </c>
      <c r="X26" s="219">
        <f t="shared" si="5"/>
        <v>0</v>
      </c>
      <c r="Y26" s="218">
        <f t="shared" si="5"/>
        <v>0</v>
      </c>
      <c r="Z26" s="218"/>
      <c r="AA26" s="218">
        <f>AA27+AA28+AA33+AA40</f>
        <v>0</v>
      </c>
      <c r="AB26" s="218"/>
      <c r="AC26" s="218">
        <f>AC27+AC28+AC33+AC40</f>
        <v>0</v>
      </c>
      <c r="AD26" s="218"/>
      <c r="AE26" s="218">
        <f>AE27+AE28+AE33+AE40</f>
        <v>0</v>
      </c>
      <c r="AF26" s="218"/>
      <c r="AG26" s="218">
        <f>AG27+AG28+AG33+AG40</f>
        <v>0</v>
      </c>
      <c r="AH26" s="218">
        <f>AH27+AH28+AH33+AH40</f>
        <v>0</v>
      </c>
      <c r="AI26" s="218">
        <f>AI27+AI28+AI33+AI40</f>
        <v>0</v>
      </c>
      <c r="AJ26" s="218">
        <f>AJ27+AJ28+AJ33+AJ40</f>
        <v>0</v>
      </c>
      <c r="AK26" s="218">
        <f>AK27+AK28+AK33+AK40</f>
        <v>0</v>
      </c>
      <c r="AL26" s="218">
        <f t="shared" ref="AL26:AU26" si="6">IF(ISERROR(AL27+AL28+AL33+AL40),"—",AL27+AL28+AL33+AL40)</f>
        <v>0</v>
      </c>
      <c r="AM26" s="218">
        <f t="shared" si="6"/>
        <v>0</v>
      </c>
      <c r="AN26" s="218">
        <f t="shared" si="6"/>
        <v>0</v>
      </c>
      <c r="AO26" s="218">
        <f t="shared" si="6"/>
        <v>0</v>
      </c>
      <c r="AP26" s="218">
        <f t="shared" si="6"/>
        <v>0</v>
      </c>
      <c r="AQ26" s="218">
        <f t="shared" si="6"/>
        <v>0</v>
      </c>
      <c r="AR26" s="218">
        <f t="shared" si="6"/>
        <v>0</v>
      </c>
      <c r="AS26" s="218">
        <f t="shared" si="6"/>
        <v>0</v>
      </c>
      <c r="AT26" s="218">
        <f t="shared" si="6"/>
        <v>0</v>
      </c>
      <c r="AU26" s="218">
        <f t="shared" si="6"/>
        <v>0</v>
      </c>
      <c r="AV26" s="59"/>
      <c r="AW26" s="59"/>
      <c r="AX26" s="59"/>
    </row>
    <row r="27" spans="2:50" ht="13.75">
      <c r="B27" s="42"/>
      <c r="C27" s="42" t="s">
        <v>197</v>
      </c>
      <c r="D27" s="459"/>
      <c r="E27" s="218">
        <f>财务基础数据!J344*目录!$D$6</f>
        <v>0</v>
      </c>
      <c r="F27" s="218">
        <f>财务基础数据!K344*目录!$D$6</f>
        <v>0</v>
      </c>
      <c r="G27" s="218">
        <f>财务基础数据!L344*目录!$D$6</f>
        <v>0</v>
      </c>
      <c r="H27" s="218">
        <f>财务基础数据!M344*目录!$D$6</f>
        <v>0</v>
      </c>
      <c r="I27" s="218">
        <f>财务基础数据!N344*目录!$D$6</f>
        <v>0</v>
      </c>
      <c r="J27" s="218">
        <f>财务基础数据!O344*目录!$D$6</f>
        <v>0</v>
      </c>
      <c r="K27" s="218">
        <f>财务基础数据!P344*目录!$D$6</f>
        <v>0</v>
      </c>
      <c r="L27" s="218">
        <f>财务基础数据!Q344*目录!$D$6</f>
        <v>0</v>
      </c>
      <c r="M27" s="218">
        <f>财务基础数据!R344*目录!$D$6</f>
        <v>0</v>
      </c>
      <c r="N27" s="218">
        <f>财务基础数据!S344*目录!$D$6</f>
        <v>0</v>
      </c>
      <c r="O27" s="218">
        <f>财务基础数据!T344*目录!$D$6</f>
        <v>0</v>
      </c>
      <c r="P27" s="218">
        <f>财务基础数据!U344*目录!$D$6</f>
        <v>0</v>
      </c>
      <c r="Q27" s="218">
        <f>财务基础数据!V344*目录!$D$6</f>
        <v>0</v>
      </c>
      <c r="R27" s="218">
        <f>财务基础数据!W344*目录!$D$6</f>
        <v>0</v>
      </c>
      <c r="S27" s="218">
        <f>财务基础数据!X344*目录!$D$6</f>
        <v>0</v>
      </c>
      <c r="T27" s="218">
        <f>财务基础数据!Y344*目录!$D$6</f>
        <v>0</v>
      </c>
      <c r="U27" s="218">
        <f>财务基础数据!Z344*目录!$D$6</f>
        <v>0</v>
      </c>
      <c r="V27" s="218">
        <f>财务基础数据!AA344*目录!$D$6</f>
        <v>0</v>
      </c>
      <c r="W27" s="218">
        <f>财务基础数据!AB344*目录!$D$6</f>
        <v>0</v>
      </c>
      <c r="X27" s="218">
        <f>财务基础数据!AC344*目录!$D$6</f>
        <v>0</v>
      </c>
      <c r="Y27" s="218">
        <f>财务基础数据!AD344*目录!$D$6</f>
        <v>0</v>
      </c>
      <c r="Z27" s="218">
        <f>财务基础数据!AE344*目录!$D$6</f>
        <v>0</v>
      </c>
      <c r="AA27" s="218">
        <f>财务基础数据!AF344*目录!$D$6</f>
        <v>0</v>
      </c>
      <c r="AB27" s="218">
        <f>财务基础数据!AG344*目录!$D$6</f>
        <v>0</v>
      </c>
      <c r="AC27" s="218">
        <f>财务基础数据!AH344*目录!$D$6</f>
        <v>0</v>
      </c>
      <c r="AD27" s="218">
        <f>财务基础数据!AI344*目录!$D$6</f>
        <v>0</v>
      </c>
      <c r="AE27" s="218">
        <f>财务基础数据!AJ344*目录!$D$6</f>
        <v>0</v>
      </c>
      <c r="AF27" s="218">
        <f>财务基础数据!AK344*目录!$D$6</f>
        <v>0</v>
      </c>
      <c r="AG27" s="218">
        <f>财务基础数据!AL344*目录!$D$6</f>
        <v>0</v>
      </c>
      <c r="AH27" s="218">
        <f>财务基础数据!AM344*目录!$D$6</f>
        <v>0</v>
      </c>
      <c r="AI27" s="218">
        <f>财务基础数据!AN344*目录!$D$6</f>
        <v>0</v>
      </c>
      <c r="AJ27" s="218">
        <f>财务基础数据!AO344*目录!$D$6</f>
        <v>0</v>
      </c>
      <c r="AK27" s="218">
        <f>财务基础数据!AP344*目录!$D$6</f>
        <v>0</v>
      </c>
      <c r="AL27" s="486">
        <f>IF(ISERROR(资产负债表!AG16-资产负债表!AL16-资产预测!P271),"—",资产负债表!AG16-资产负债表!AL16-资产预测!P271)</f>
        <v>0</v>
      </c>
      <c r="AM27" s="218">
        <f>IF(ISERROR(资产负债表!AL16-资产负债表!AM16-资产预测!Q271),"—",资产负债表!AL16-资产负债表!AM16-资产预测!Q271)</f>
        <v>0</v>
      </c>
      <c r="AN27" s="218">
        <f>IF(ISERROR(资产负债表!AM16-资产负债表!AN16-资产预测!R271),"—",资产负债表!AM16-资产负债表!AN16-资产预测!R271)</f>
        <v>0</v>
      </c>
      <c r="AO27" s="218">
        <f>IF(ISERROR(资产负债表!AN16-资产负债表!AO16-资产预测!S271),"—",资产负债表!AN16-资产负债表!AO16-资产预测!S271)</f>
        <v>0</v>
      </c>
      <c r="AP27" s="218">
        <f>IF(ISERROR(资产负债表!AO16-资产负债表!AP16-资产预测!T271),"—",资产负债表!AO16-资产负债表!AP16-资产预测!T271)</f>
        <v>0</v>
      </c>
      <c r="AQ27" s="218">
        <f>IF(ISERROR(资产负债表!AP16-资产负债表!AQ16-资产预测!U271),"—",资产负债表!AP16-资产负债表!AQ16-资产预测!U271)</f>
        <v>0</v>
      </c>
      <c r="AR27" s="218">
        <f>IF(ISERROR(资产负债表!AQ16-资产负债表!AR16-资产预测!V271),"—",资产负债表!AQ16-资产负债表!AR16-资产预测!V271)</f>
        <v>0</v>
      </c>
      <c r="AS27" s="218">
        <f>IF(ISERROR(资产负债表!AR16-资产负债表!AS16-资产预测!W271),"—",资产负债表!AR16-资产负债表!AS16-资产预测!W271)</f>
        <v>0</v>
      </c>
      <c r="AT27" s="218">
        <f>IF(ISERROR(资产负债表!AS16-资产负债表!AT16-资产预测!X271),"—",资产负债表!AS16-资产负债表!AT16-资产预测!X271)</f>
        <v>0</v>
      </c>
      <c r="AU27" s="218">
        <f>IF(ISERROR(资产负债表!AT16-资产负债表!AU16-资产预测!Y271),"—",资产负债表!AT16-资产负债表!AU16-资产预测!Y271)</f>
        <v>0</v>
      </c>
      <c r="AV27" s="59"/>
      <c r="AW27" s="59"/>
      <c r="AX27" s="59"/>
    </row>
    <row r="28" spans="2:50" ht="13.75">
      <c r="C28" s="42" t="s">
        <v>109</v>
      </c>
      <c r="D28" s="42"/>
      <c r="E28" s="218">
        <f>财务基础数据!J346*目录!$D$6</f>
        <v>0</v>
      </c>
      <c r="F28" s="218">
        <f>财务基础数据!K346*目录!$D$6</f>
        <v>0</v>
      </c>
      <c r="G28" s="218">
        <f>财务基础数据!L346*目录!$D$6</f>
        <v>0</v>
      </c>
      <c r="H28" s="218">
        <f>财务基础数据!M346*目录!$D$6</f>
        <v>0</v>
      </c>
      <c r="I28" s="218">
        <f>财务基础数据!N346*目录!$D$6</f>
        <v>0</v>
      </c>
      <c r="J28" s="218">
        <f>财务基础数据!O346*目录!$D$6</f>
        <v>0</v>
      </c>
      <c r="K28" s="218">
        <f>财务基础数据!P346*目录!$D$6</f>
        <v>0</v>
      </c>
      <c r="L28" s="218">
        <f>财务基础数据!Q346*目录!$D$6</f>
        <v>0</v>
      </c>
      <c r="M28" s="218">
        <f>财务基础数据!R346*目录!$D$6</f>
        <v>0</v>
      </c>
      <c r="N28" s="218">
        <f>财务基础数据!S346*目录!$D$6</f>
        <v>0</v>
      </c>
      <c r="O28" s="218">
        <f>财务基础数据!T346*目录!$D$6</f>
        <v>0</v>
      </c>
      <c r="P28" s="218">
        <f>财务基础数据!U346*目录!$D$6</f>
        <v>0</v>
      </c>
      <c r="Q28" s="218">
        <f>财务基础数据!V346*目录!$D$6</f>
        <v>0</v>
      </c>
      <c r="R28" s="218">
        <f>财务基础数据!W346*目录!$D$6</f>
        <v>0</v>
      </c>
      <c r="S28" s="218">
        <f>财务基础数据!X346*目录!$D$6</f>
        <v>0</v>
      </c>
      <c r="T28" s="218">
        <f>财务基础数据!Y346*目录!$D$6</f>
        <v>0</v>
      </c>
      <c r="U28" s="218">
        <f>财务基础数据!Z346*目录!$D$6</f>
        <v>0</v>
      </c>
      <c r="V28" s="218">
        <f>财务基础数据!AA346*目录!$D$6</f>
        <v>0</v>
      </c>
      <c r="W28" s="218">
        <f>财务基础数据!AB346*目录!$D$6</f>
        <v>0</v>
      </c>
      <c r="X28" s="218">
        <f>财务基础数据!AC346*目录!$D$6</f>
        <v>0</v>
      </c>
      <c r="Y28" s="218">
        <f>财务基础数据!AD346*目录!$D$6</f>
        <v>0</v>
      </c>
      <c r="Z28" s="218">
        <f>财务基础数据!AE346*目录!$D$6</f>
        <v>0</v>
      </c>
      <c r="AA28" s="218">
        <f>财务基础数据!AF346*目录!$D$6</f>
        <v>0</v>
      </c>
      <c r="AB28" s="218">
        <f>财务基础数据!AG346*目录!$D$6</f>
        <v>0</v>
      </c>
      <c r="AC28" s="218">
        <f>财务基础数据!AH346*目录!$D$6</f>
        <v>0</v>
      </c>
      <c r="AD28" s="218">
        <f>财务基础数据!AI346*目录!$D$6</f>
        <v>0</v>
      </c>
      <c r="AE28" s="218">
        <f>财务基础数据!AJ346*目录!$D$6</f>
        <v>0</v>
      </c>
      <c r="AF28" s="218">
        <f>财务基础数据!AK346*目录!$D$6</f>
        <v>0</v>
      </c>
      <c r="AG28" s="218">
        <f>财务基础数据!AL346*目录!$D$6</f>
        <v>0</v>
      </c>
      <c r="AH28" s="218">
        <f>财务基础数据!AM346*目录!$D$6</f>
        <v>0</v>
      </c>
      <c r="AI28" s="218">
        <f>财务基础数据!AN346*目录!$D$6</f>
        <v>0</v>
      </c>
      <c r="AJ28" s="218">
        <f>财务基础数据!AO346*目录!$D$6</f>
        <v>0</v>
      </c>
      <c r="AK28" s="218">
        <f>财务基础数据!AP346*目录!$D$6</f>
        <v>0</v>
      </c>
      <c r="AL28" s="218">
        <f>IF(ISERROR(AL29+AL30+AL31+AL32),"—",AL29+AL30+AL31+AL32)</f>
        <v>0</v>
      </c>
      <c r="AM28" s="218">
        <f t="shared" ref="AM28:AU28" si="7">IF(ISERROR(AM29+AM30+AM31+AM32),"—",AM29+AM30+AM31+AM32)</f>
        <v>0</v>
      </c>
      <c r="AN28" s="218">
        <f t="shared" si="7"/>
        <v>0</v>
      </c>
      <c r="AO28" s="218">
        <f t="shared" si="7"/>
        <v>0</v>
      </c>
      <c r="AP28" s="218">
        <f t="shared" si="7"/>
        <v>0</v>
      </c>
      <c r="AQ28" s="218">
        <f t="shared" si="7"/>
        <v>0</v>
      </c>
      <c r="AR28" s="218">
        <f t="shared" si="7"/>
        <v>0</v>
      </c>
      <c r="AS28" s="218">
        <f t="shared" si="7"/>
        <v>0</v>
      </c>
      <c r="AT28" s="218">
        <f t="shared" si="7"/>
        <v>0</v>
      </c>
      <c r="AU28" s="218">
        <f t="shared" si="7"/>
        <v>0</v>
      </c>
      <c r="AV28" s="59"/>
      <c r="AW28" s="59"/>
      <c r="AX28" s="59"/>
    </row>
    <row r="29" spans="2:50" ht="13.75">
      <c r="C29" s="42" t="s">
        <v>956</v>
      </c>
      <c r="D29" s="42"/>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f>IF(ISERROR(资产负债表!AG11-资产负债表!AL11-资产预测!P268+资产负债表!AG12-资产负债表!AL12-资产预测!P269+资产负债表!AG13-资产负债表!AL13),"0",资产负债表!AG11-资产负债表!AL11-资产预测!P268+资产负债表!AG12-资产负债表!AL12-资产预测!P269+资产负债表!AG13-资产负债表!AL13)</f>
        <v>0</v>
      </c>
      <c r="AM29" s="218">
        <f>IF(ISERROR(资产负债表!AL11-资产负债表!AM11-资产预测!Q268+资产负债表!AL12-资产负债表!AM12-资产预测!Q269+资产负债表!AL13-资产负债表!AM13),"0",资产负债表!AL11-资产负债表!AM11-资产预测!Q268+资产负债表!AL12-资产负债表!AM12-资产预测!Q269+资产负债表!AL13-资产负债表!AM13)</f>
        <v>0</v>
      </c>
      <c r="AN29" s="218">
        <f>IF(ISERROR(资产负债表!AM11-资产负债表!AN11-资产预测!R268+资产负债表!AM12-资产负债表!AN12-资产预测!R269+资产负债表!AM13-资产负债表!AN13),"0",资产负债表!AM11-资产负债表!AN11-资产预测!R268+资产负债表!AM12-资产负债表!AN12-资产预测!R269+资产负债表!AM13-资产负债表!AN13)</f>
        <v>0</v>
      </c>
      <c r="AO29" s="218">
        <f>IF(ISERROR(资产负债表!AN11-资产负债表!AO11-资产预测!S268+资产负债表!AN12-资产负债表!AO12-资产预测!S269+资产负债表!AN13-资产负债表!AO13),"0",资产负债表!AN11-资产负债表!AO11-资产预测!S268+资产负债表!AN12-资产负债表!AO12-资产预测!S269+资产负债表!AN13-资产负债表!AO13)</f>
        <v>0</v>
      </c>
      <c r="AP29" s="218">
        <f>IF(ISERROR(资产负债表!AO11-资产负债表!AP11-资产预测!T268+资产负债表!AO12-资产负债表!AP12-资产预测!T269+资产负债表!AO13-资产负债表!AP13),"0",资产负债表!AO11-资产负债表!AP11-资产预测!T268+资产负债表!AO12-资产负债表!AP12-资产预测!T269+资产负债表!AO13-资产负债表!AP13)</f>
        <v>0</v>
      </c>
      <c r="AQ29" s="218">
        <f>IF(ISERROR(资产负债表!AP11-资产负债表!AQ11-资产预测!U268+资产负债表!AP12-资产负债表!AQ12-资产预测!U269+资产负债表!AP13-资产负债表!AQ13),"0",资产负债表!AP11-资产负债表!AQ11-资产预测!U268+资产负债表!AP12-资产负债表!AQ12-资产预测!U269+资产负债表!AP13-资产负债表!AQ13)</f>
        <v>0</v>
      </c>
      <c r="AR29" s="218">
        <f>IF(ISERROR(资产负债表!AQ11-资产负债表!AR11-资产预测!V268+资产负债表!AQ12-资产负债表!AR12-资产预测!V269+资产负债表!AQ13-资产负债表!AR13),"0",资产负债表!AQ11-资产负债表!AR11-资产预测!V268+资产负债表!AQ12-资产负债表!AR12-资产预测!V269+资产负债表!AQ13-资产负债表!AR13)</f>
        <v>0</v>
      </c>
      <c r="AS29" s="218">
        <f>IF(ISERROR(资产负债表!AR11-资产负债表!AS11-资产预测!W268+资产负债表!AR12-资产负债表!AS12-资产预测!W269+资产负债表!AR13-资产负债表!AS13),"0",资产负债表!AR11-资产负债表!AS11-资产预测!W268+资产负债表!AR12-资产负债表!AS12-资产预测!W269+资产负债表!AR13-资产负债表!AS13)</f>
        <v>0</v>
      </c>
      <c r="AT29" s="218">
        <f>IF(ISERROR(资产负债表!AS11-资产负债表!AT11-资产预测!X268+资产负债表!AS12-资产负债表!AT12-资产预测!X269+资产负债表!AS13-资产负债表!AT13),"0",资产负债表!AS11-资产负债表!AT11-资产预测!X268+资产负债表!AS12-资产负债表!AT12-资产预测!X269+资产负债表!AS13-资产负债表!AT13)</f>
        <v>0</v>
      </c>
      <c r="AU29" s="218">
        <f>IF(ISERROR(资产负债表!AT11-资产负债表!AU11-资产预测!Y268+资产负债表!AT12-资产负债表!AU12-资产预测!Y269+资产负债表!AT13-资产负债表!AU13),"0",资产负债表!AT11-资产负债表!AU11-资产预测!Y268+资产负债表!AT12-资产负债表!AU12-资产预测!Y269+资产负债表!AT13-资产负债表!AU13)</f>
        <v>0</v>
      </c>
      <c r="AV29" s="59"/>
      <c r="AW29" s="59"/>
      <c r="AX29" s="59"/>
    </row>
    <row r="30" spans="2:50" ht="13.75">
      <c r="C30" s="655" t="s">
        <v>1205</v>
      </c>
      <c r="D30" s="42"/>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f>IF(ISERROR(资产负债表!AG15-资产负债表!AL15-资产预测!P270),"—",资产负债表!AG15-资产负债表!AL15-资产预测!P270)</f>
        <v>0</v>
      </c>
      <c r="AM30" s="218">
        <f>IF(ISERROR(资产负债表!AL15-资产负债表!AM15-资产预测!Q270),"—",资产负债表!AL15-资产负债表!AM15-资产预测!Q270)</f>
        <v>0</v>
      </c>
      <c r="AN30" s="218">
        <f>IF(ISERROR(资产负债表!AM15-资产负债表!AN15-资产预测!R270),"—",资产负债表!AM15-资产负债表!AN15-资产预测!R270)</f>
        <v>0</v>
      </c>
      <c r="AO30" s="218">
        <f>IF(ISERROR(资产负债表!AN15-资产负债表!AO15-资产预测!S270),"—",资产负债表!AN15-资产负债表!AO15-资产预测!S270)</f>
        <v>0</v>
      </c>
      <c r="AP30" s="218">
        <f>IF(ISERROR(资产负债表!AO15-资产负债表!AP15-资产预测!T270),"—",资产负债表!AO15-资产负债表!AP15-资产预测!T270)</f>
        <v>0</v>
      </c>
      <c r="AQ30" s="218">
        <f>IF(ISERROR(资产负债表!AP15-资产负债表!AQ15-资产预测!U270),"—",资产负债表!AP15-资产负债表!AQ15-资产预测!U270)</f>
        <v>0</v>
      </c>
      <c r="AR30" s="218">
        <f>IF(ISERROR(资产负债表!AQ15-资产负债表!AR15-资产预测!V270),"—",资产负债表!AQ15-资产负债表!AR15-资产预测!V270)</f>
        <v>0</v>
      </c>
      <c r="AS30" s="218">
        <f>IF(ISERROR(资产负债表!AR15-资产负债表!AS15-资产预测!W270),"—",资产负债表!AR15-资产负债表!AS15-资产预测!W270)</f>
        <v>0</v>
      </c>
      <c r="AT30" s="218">
        <f>IF(ISERROR(资产负债表!AS15-资产负债表!AT15-资产预测!X270),"—",资产负债表!AS15-资产负债表!AT15-资产预测!X270)</f>
        <v>0</v>
      </c>
      <c r="AU30" s="218">
        <f>IF(ISERROR(资产负债表!AT15-资产负债表!AU15-资产预测!Y270),"—",资产负债表!AT15-资产负债表!AU15-资产预测!Y270)</f>
        <v>0</v>
      </c>
      <c r="AV30" s="59"/>
      <c r="AW30" s="59"/>
      <c r="AX30" s="59"/>
    </row>
    <row r="31" spans="2:50" ht="13.75">
      <c r="C31" s="1" t="s">
        <v>901</v>
      </c>
      <c r="D31" s="42"/>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c r="AL31" s="218">
        <f>IF(ISERROR(资产负债表!AG14-资产负债表!AL14),"—",资产负债表!AG14-资产负债表!AL14)</f>
        <v>0</v>
      </c>
      <c r="AM31" s="218">
        <f>IF(ISERROR(资产负债表!AL14-资产负债表!AM14),"—",资产负债表!AL14-资产负债表!AM14)</f>
        <v>0</v>
      </c>
      <c r="AN31" s="218">
        <f>IF(ISERROR(资产负债表!AM14-资产负债表!AN14),"—",资产负债表!AM14-资产负债表!AN14)</f>
        <v>0</v>
      </c>
      <c r="AO31" s="218">
        <f>IF(ISERROR(资产负债表!AN14-资产负债表!AO14),"—",资产负债表!AN14-资产负债表!AO14)</f>
        <v>0</v>
      </c>
      <c r="AP31" s="218">
        <f>IF(ISERROR(资产负债表!AO14-资产负债表!AP14),"—",资产负债表!AO14-资产负债表!AP14)</f>
        <v>0</v>
      </c>
      <c r="AQ31" s="218">
        <f>IF(ISERROR(资产负债表!AP14-资产负债表!AQ14),"—",资产负债表!AP14-资产负债表!AQ14)</f>
        <v>0</v>
      </c>
      <c r="AR31" s="218">
        <f>IF(ISERROR(资产负债表!AQ14-资产负债表!AR14),"—",资产负债表!AQ14-资产负债表!AR14)</f>
        <v>0</v>
      </c>
      <c r="AS31" s="218">
        <f>IF(ISERROR(资产负债表!AR14-资产负债表!AS14),"—",资产负债表!AR14-资产负债表!AS14)</f>
        <v>0</v>
      </c>
      <c r="AT31" s="218">
        <f>IF(ISERROR(资产负债表!AS14-资产负债表!AT14),"—",资产负债表!AS14-资产负债表!AT14)</f>
        <v>0</v>
      </c>
      <c r="AU31" s="218">
        <f>IF(ISERROR(资产负债表!AT14-资产负债表!AU14),"—",资产负债表!AT14-资产负债表!AU14)</f>
        <v>0</v>
      </c>
      <c r="AV31" s="59"/>
      <c r="AW31" s="59"/>
      <c r="AX31" s="59"/>
    </row>
    <row r="32" spans="2:50" ht="13.75">
      <c r="C32" s="42" t="s">
        <v>902</v>
      </c>
      <c r="D32" s="42"/>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f>IF(ISERROR(资产负债表!AG17-资产负债表!AL17),"—",资产负债表!AG17-资产负债表!AL17)</f>
        <v>0</v>
      </c>
      <c r="AM32" s="218">
        <f>IF(ISERROR(资产负债表!AL17-资产负债表!AM17),"—",资产负债表!AL17-资产负债表!AM17)</f>
        <v>0</v>
      </c>
      <c r="AN32" s="218">
        <f>IF(ISERROR(资产负债表!AM17-资产负债表!AN17),"—",资产负债表!AM17-资产负债表!AN17)</f>
        <v>0</v>
      </c>
      <c r="AO32" s="218">
        <f>IF(ISERROR(资产负债表!AN17-资产负债表!AO17),"—",资产负债表!AN17-资产负债表!AO17)</f>
        <v>0</v>
      </c>
      <c r="AP32" s="218">
        <f>IF(ISERROR(资产负债表!AO17-资产负债表!AP17),"—",资产负债表!AO17-资产负债表!AP17)</f>
        <v>0</v>
      </c>
      <c r="AQ32" s="218">
        <f>IF(ISERROR(资产负债表!AP17-资产负债表!AQ17),"—",资产负债表!AP17-资产负债表!AQ17)</f>
        <v>0</v>
      </c>
      <c r="AR32" s="218">
        <f>IF(ISERROR(资产负债表!AQ17-资产负债表!AR17),"—",资产负债表!AQ17-资产负债表!AR17)</f>
        <v>0</v>
      </c>
      <c r="AS32" s="218">
        <f>IF(ISERROR(资产负债表!AR17-资产负债表!AS17),"—",资产负债表!AR17-资产负债表!AS17)</f>
        <v>0</v>
      </c>
      <c r="AT32" s="218">
        <f>IF(ISERROR(资产负债表!AS17-资产负债表!AT17),"—",资产负债表!AS17-资产负债表!AT17)</f>
        <v>0</v>
      </c>
      <c r="AU32" s="218">
        <f>IF(ISERROR(资产负债表!AT17-资产负债表!AU17),"—",资产负债表!AT17-资产负债表!AU17)</f>
        <v>0</v>
      </c>
      <c r="AV32" s="59"/>
      <c r="AW32" s="59"/>
      <c r="AX32" s="59"/>
    </row>
    <row r="33" spans="2:50" ht="13.75">
      <c r="C33" s="42" t="s">
        <v>188</v>
      </c>
      <c r="D33" s="42"/>
      <c r="E33" s="218">
        <f>财务基础数据!J347*目录!$D$6</f>
        <v>0</v>
      </c>
      <c r="F33" s="218">
        <f>财务基础数据!K347*目录!$D$6</f>
        <v>0</v>
      </c>
      <c r="G33" s="218">
        <f>财务基础数据!L347*目录!$D$6</f>
        <v>0</v>
      </c>
      <c r="H33" s="218">
        <f>财务基础数据!M347*目录!$D$6</f>
        <v>0</v>
      </c>
      <c r="I33" s="218">
        <f>财务基础数据!N347*目录!$D$6</f>
        <v>0</v>
      </c>
      <c r="J33" s="218">
        <f>财务基础数据!O347*目录!$D$6</f>
        <v>0</v>
      </c>
      <c r="K33" s="218">
        <f>财务基础数据!P347*目录!$D$6</f>
        <v>0</v>
      </c>
      <c r="L33" s="218">
        <f>财务基础数据!Q347*目录!$D$6</f>
        <v>0</v>
      </c>
      <c r="M33" s="218">
        <f>财务基础数据!R347*目录!$D$6</f>
        <v>0</v>
      </c>
      <c r="N33" s="218">
        <f>财务基础数据!S347*目录!$D$6</f>
        <v>0</v>
      </c>
      <c r="O33" s="218">
        <f>财务基础数据!T347*目录!$D$6</f>
        <v>0</v>
      </c>
      <c r="P33" s="218">
        <f>财务基础数据!U347*目录!$D$6</f>
        <v>0</v>
      </c>
      <c r="Q33" s="218">
        <f>财务基础数据!V347*目录!$D$6</f>
        <v>0</v>
      </c>
      <c r="R33" s="218">
        <f>财务基础数据!W347*目录!$D$6</f>
        <v>0</v>
      </c>
      <c r="S33" s="218">
        <f>财务基础数据!X347*目录!$D$6</f>
        <v>0</v>
      </c>
      <c r="T33" s="218">
        <f>财务基础数据!Y347*目录!$D$6</f>
        <v>0</v>
      </c>
      <c r="U33" s="218">
        <f>财务基础数据!Z347*目录!$D$6</f>
        <v>0</v>
      </c>
      <c r="V33" s="218">
        <f>财务基础数据!AA347*目录!$D$6</f>
        <v>0</v>
      </c>
      <c r="W33" s="218">
        <f>财务基础数据!AB347*目录!$D$6</f>
        <v>0</v>
      </c>
      <c r="X33" s="218">
        <f>财务基础数据!AC347*目录!$D$6</f>
        <v>0</v>
      </c>
      <c r="Y33" s="218">
        <f>财务基础数据!AD347*目录!$D$6</f>
        <v>0</v>
      </c>
      <c r="Z33" s="218">
        <f>财务基础数据!AE347*目录!$D$6</f>
        <v>0</v>
      </c>
      <c r="AA33" s="218">
        <f>财务基础数据!AF347*目录!$D$6</f>
        <v>0</v>
      </c>
      <c r="AB33" s="218">
        <f>财务基础数据!AG347*目录!$D$6</f>
        <v>0</v>
      </c>
      <c r="AC33" s="218">
        <f>财务基础数据!AH347*目录!$D$6</f>
        <v>0</v>
      </c>
      <c r="AD33" s="218">
        <f>财务基础数据!AI347*目录!$D$6</f>
        <v>0</v>
      </c>
      <c r="AE33" s="218">
        <f>财务基础数据!AJ347*目录!$D$6</f>
        <v>0</v>
      </c>
      <c r="AF33" s="218">
        <f>财务基础数据!AK347*目录!$D$6</f>
        <v>0</v>
      </c>
      <c r="AG33" s="218">
        <f>财务基础数据!AL347*目录!$D$6</f>
        <v>0</v>
      </c>
      <c r="AH33" s="218">
        <f>财务基础数据!AM347*目录!$D$6</f>
        <v>0</v>
      </c>
      <c r="AI33" s="218">
        <f>财务基础数据!AN347*目录!$D$6</f>
        <v>0</v>
      </c>
      <c r="AJ33" s="218">
        <f>财务基础数据!AO347*目录!$D$6</f>
        <v>0</v>
      </c>
      <c r="AK33" s="218">
        <f>财务基础数据!AP347*目录!$D$6</f>
        <v>0</v>
      </c>
      <c r="AL33" s="218">
        <f>IF(ISERROR(AL34+AL35+AL36+AL37+AL38+AL39),"—",AL34+AL35+AL36+AL37+AL38+AL39)</f>
        <v>0</v>
      </c>
      <c r="AM33" s="218">
        <f t="shared" ref="AM33:AU33" si="8">IF(ISERROR(AM34+AM35+AM36+AM37+AM38+AM39),"—",AM34+AM35+AM36+AM37+AM38+AM39)</f>
        <v>0</v>
      </c>
      <c r="AN33" s="218">
        <f t="shared" si="8"/>
        <v>0</v>
      </c>
      <c r="AO33" s="218">
        <f t="shared" si="8"/>
        <v>0</v>
      </c>
      <c r="AP33" s="218">
        <f t="shared" si="8"/>
        <v>0</v>
      </c>
      <c r="AQ33" s="218">
        <f t="shared" si="8"/>
        <v>0</v>
      </c>
      <c r="AR33" s="218">
        <f t="shared" si="8"/>
        <v>0</v>
      </c>
      <c r="AS33" s="218">
        <f t="shared" si="8"/>
        <v>0</v>
      </c>
      <c r="AT33" s="218">
        <f t="shared" si="8"/>
        <v>0</v>
      </c>
      <c r="AU33" s="218">
        <f t="shared" si="8"/>
        <v>0</v>
      </c>
      <c r="AV33" s="59"/>
      <c r="AW33" s="59"/>
      <c r="AX33" s="59"/>
    </row>
    <row r="34" spans="2:50" ht="13.75">
      <c r="B34" s="97"/>
      <c r="C34" s="42" t="s">
        <v>957</v>
      </c>
      <c r="D34" s="42"/>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f>IF(ISERROR(资产负债表!AL52-资产负债表!AG52+资产负债表!AL53-资产负债表!AG53),"—",资产负债表!AL52-资产负债表!AG52+资产负债表!AL53-资产负债表!AG53)</f>
        <v>0</v>
      </c>
      <c r="AM34" s="218">
        <f>IF(ISERROR(资产负债表!AM52-资产负债表!AL52+资产负债表!AM53-资产负债表!AL53),"—",资产负债表!AM52-资产负债表!AL52+资产负债表!AM53-资产负债表!AL53)</f>
        <v>0</v>
      </c>
      <c r="AN34" s="218">
        <f>IF(ISERROR(资产负债表!AN52-资产负债表!AM52+资产负债表!AN53-资产负债表!AM53),"—",资产负债表!AN52-资产负债表!AM52+资产负债表!AN53-资产负债表!AM53)</f>
        <v>0</v>
      </c>
      <c r="AO34" s="218">
        <f>IF(ISERROR(资产负债表!AO52-资产负债表!AN52+资产负债表!AO53-资产负债表!AN53),"—",资产负债表!AO52-资产负债表!AN52+资产负债表!AO53-资产负债表!AN53)</f>
        <v>0</v>
      </c>
      <c r="AP34" s="218">
        <f>IF(ISERROR(资产负债表!AP52-资产负债表!AO52+资产负债表!AP53-资产负债表!AO53),"—",资产负债表!AP52-资产负债表!AO52+资产负债表!AP53-资产负债表!AO53)</f>
        <v>0</v>
      </c>
      <c r="AQ34" s="218">
        <f>IF(ISERROR(资产负债表!AQ52-资产负债表!AP52+资产负债表!AQ53-资产负债表!AP53),"—",资产负债表!AQ52-资产负债表!AP52+资产负债表!AQ53-资产负债表!AP53)</f>
        <v>0</v>
      </c>
      <c r="AR34" s="218">
        <f>IF(ISERROR(资产负债表!AR52-资产负债表!AQ52+资产负债表!AR53-资产负债表!AQ53),"—",资产负债表!AR52-资产负债表!AQ52+资产负债表!AR53-资产负债表!AQ53)</f>
        <v>0</v>
      </c>
      <c r="AS34" s="218">
        <f>IF(ISERROR(资产负债表!AS52-资产负债表!AR52+资产负债表!AS53-资产负债表!AR53),"—",资产负债表!AS52-资产负债表!AR52+资产负债表!AS53-资产负债表!AR53)</f>
        <v>0</v>
      </c>
      <c r="AT34" s="218">
        <f>IF(ISERROR(资产负债表!AT52-资产负债表!AS52+资产负债表!AT53-资产负债表!AS53),"—",资产负债表!AT52-资产负债表!AS52+资产负债表!AT53-资产负债表!AS53)</f>
        <v>0</v>
      </c>
      <c r="AU34" s="218">
        <f>IF(ISERROR(资产负债表!AU52-资产负债表!AT52+资产负债表!AU53-资产负债表!AT53),"—",资产负债表!AU52-资产负债表!AT52+资产负债表!AU53-资产负债表!AT53)</f>
        <v>0</v>
      </c>
      <c r="AV34" s="59"/>
      <c r="AW34" s="59"/>
      <c r="AX34" s="59"/>
    </row>
    <row r="35" spans="2:50" ht="13.75">
      <c r="B35" s="42"/>
      <c r="C35" s="655" t="s">
        <v>1206</v>
      </c>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f>IF(ISERROR(资产负债表!AL58-资产负债表!AG58),"—",资产负债表!AL58-资产负债表!AG58)</f>
        <v>0</v>
      </c>
      <c r="AM35" s="218">
        <f>IF(ISERROR(资产负债表!AM58-资产负债表!AL58),"—",资产负债表!AM58-资产负债表!AL58)</f>
        <v>0</v>
      </c>
      <c r="AN35" s="218">
        <f>IF(ISERROR(资产负债表!AN58-资产负债表!AM58),"—",资产负债表!AN58-资产负债表!AM58)</f>
        <v>0</v>
      </c>
      <c r="AO35" s="218">
        <f>IF(ISERROR(资产负债表!AO58-资产负债表!AN58),"—",资产负债表!AO58-资产负债表!AN58)</f>
        <v>0</v>
      </c>
      <c r="AP35" s="218">
        <f>IF(ISERROR(资产负债表!AP58-资产负债表!AO58),"—",资产负债表!AP58-资产负债表!AO58)</f>
        <v>0</v>
      </c>
      <c r="AQ35" s="218">
        <f>IF(ISERROR(资产负债表!AQ58-资产负债表!AP58),"—",资产负债表!AQ58-资产负债表!AP58)</f>
        <v>0</v>
      </c>
      <c r="AR35" s="218">
        <f>IF(ISERROR(资产负债表!AR58-资产负债表!AQ58),"—",资产负债表!AR58-资产负债表!AQ58)</f>
        <v>0</v>
      </c>
      <c r="AS35" s="218">
        <f>IF(ISERROR(资产负债表!AS58-资产负债表!AR58),"—",资产负债表!AS58-资产负债表!AR58)</f>
        <v>0</v>
      </c>
      <c r="AT35" s="218">
        <f>IF(ISERROR(资产负债表!AT58-资产负债表!AS58),"—",资产负债表!AT58-资产负债表!AS58)</f>
        <v>0</v>
      </c>
      <c r="AU35" s="218">
        <f>IF(ISERROR(资产负债表!AU58-资产负债表!AT58),"—",资产负债表!AU58-资产负债表!AT58)</f>
        <v>0</v>
      </c>
      <c r="AV35" s="59"/>
      <c r="AW35" s="59"/>
      <c r="AX35" s="59"/>
    </row>
    <row r="36" spans="2:50" ht="13.75">
      <c r="C36" s="655" t="s">
        <v>1207</v>
      </c>
      <c r="E36" s="218"/>
      <c r="F36" s="218"/>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f>IF(ISERROR(资产负债表!AL54-资产负债表!AG54),"—",资产负债表!AL54-资产负债表!AG54)</f>
        <v>0</v>
      </c>
      <c r="AM36" s="218">
        <f>IF(ISERROR(资产负债表!AM54-资产负债表!AL54),"—",资产负债表!AM54-资产负债表!AL54)</f>
        <v>0</v>
      </c>
      <c r="AN36" s="218">
        <f>IF(ISERROR(资产负债表!AN54-资产负债表!AM54),"—",资产负债表!AN54-资产负债表!AM54)</f>
        <v>0</v>
      </c>
      <c r="AO36" s="218">
        <f>IF(ISERROR(资产负债表!AO54-资产负债表!AN54),"—",资产负债表!AO54-资产负债表!AN54)</f>
        <v>0</v>
      </c>
      <c r="AP36" s="218">
        <f>IF(ISERROR(资产负债表!AP54-资产负债表!AO54),"—",资产负债表!AP54-资产负债表!AO54)</f>
        <v>0</v>
      </c>
      <c r="AQ36" s="218">
        <f>IF(ISERROR(资产负债表!AQ54-资产负债表!AP54),"—",资产负债表!AQ54-资产负债表!AP54)</f>
        <v>0</v>
      </c>
      <c r="AR36" s="218">
        <f>IF(ISERROR(资产负债表!AR54-资产负债表!AQ54),"—",资产负债表!AR54-资产负债表!AQ54)</f>
        <v>0</v>
      </c>
      <c r="AS36" s="218">
        <f>IF(ISERROR(资产负债表!AS54-资产负债表!AR54),"—",资产负债表!AS54-资产负债表!AR54)</f>
        <v>0</v>
      </c>
      <c r="AT36" s="218">
        <f>IF(ISERROR(资产负债表!AT54-资产负债表!AS54),"—",资产负债表!AT54-资产负债表!AS54)</f>
        <v>0</v>
      </c>
      <c r="AU36" s="218">
        <f>IF(ISERROR(资产负债表!AU54-资产负债表!AT54),"—",资产负债表!AU54-资产负债表!AT54)</f>
        <v>0</v>
      </c>
      <c r="AV36" s="59"/>
      <c r="AW36" s="59"/>
      <c r="AX36" s="59"/>
    </row>
    <row r="37" spans="2:50" ht="13.75">
      <c r="C37" s="655" t="s">
        <v>1208</v>
      </c>
      <c r="D37" s="42"/>
      <c r="E37" s="218"/>
      <c r="F37" s="218"/>
      <c r="G37" s="218"/>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f>IF(ISERROR(资产负债表!AL56-资产负债表!AG56),"—",资产负债表!AL56-资产负债表!AG56)</f>
        <v>0</v>
      </c>
      <c r="AM37" s="218">
        <f>IF(ISERROR(资产负债表!AM56-资产负债表!AL56),"—",资产负债表!AM56-资产负债表!AL56)</f>
        <v>0</v>
      </c>
      <c r="AN37" s="218">
        <f>IF(ISERROR(资产负债表!AN56-资产负债表!AM56),"—",资产负债表!AN56-资产负债表!AM56)</f>
        <v>0</v>
      </c>
      <c r="AO37" s="218">
        <f>IF(ISERROR(资产负债表!AO56-资产负债表!AN56),"—",资产负债表!AO56-资产负债表!AN56)</f>
        <v>0</v>
      </c>
      <c r="AP37" s="218">
        <f>IF(ISERROR(资产负债表!AP56-资产负债表!AO56),"—",资产负债表!AP56-资产负债表!AO56)</f>
        <v>0</v>
      </c>
      <c r="AQ37" s="218">
        <f>IF(ISERROR(资产负债表!AQ56-资产负债表!AP56),"—",资产负债表!AQ56-资产负债表!AP56)</f>
        <v>0</v>
      </c>
      <c r="AR37" s="218">
        <f>IF(ISERROR(资产负债表!AR56-资产负债表!AQ56),"—",资产负债表!AR56-资产负债表!AQ56)</f>
        <v>0</v>
      </c>
      <c r="AS37" s="218">
        <f>IF(ISERROR(资产负债表!AS56-资产负债表!AR56),"—",资产负债表!AS56-资产负债表!AR56)</f>
        <v>0</v>
      </c>
      <c r="AT37" s="218">
        <f>IF(ISERROR(资产负债表!AT56-资产负债表!AS56),"—",资产负债表!AT56-资产负债表!AS56)</f>
        <v>0</v>
      </c>
      <c r="AU37" s="218">
        <f>IF(ISERROR(资产负债表!AU56-资产负债表!AT56),"—",资产负债表!AU56-资产负债表!AT56)</f>
        <v>0</v>
      </c>
      <c r="AV37" s="59"/>
      <c r="AW37" s="59"/>
      <c r="AX37" s="59"/>
    </row>
    <row r="38" spans="2:50" ht="13.75">
      <c r="C38" s="655" t="s">
        <v>1209</v>
      </c>
      <c r="D38" s="42"/>
      <c r="E38" s="218"/>
      <c r="F38" s="218"/>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f>IF(ISERROR(资产负债表!AL57-资产负债表!AG57),"—",资产负债表!AL57-资产负债表!AG57)</f>
        <v>0</v>
      </c>
      <c r="AM38" s="218">
        <f>IF(ISERROR(资产负债表!AM57-资产负债表!AL57),"—",资产负债表!AM57-资产负债表!AL57)</f>
        <v>0</v>
      </c>
      <c r="AN38" s="218">
        <f>IF(ISERROR(资产负债表!AN57-资产负债表!AM57),"—",资产负债表!AN57-资产负债表!AM57)</f>
        <v>0</v>
      </c>
      <c r="AO38" s="218">
        <f>IF(ISERROR(资产负债表!AO57-资产负债表!AN57),"—",资产负债表!AO57-资产负债表!AN57)</f>
        <v>0</v>
      </c>
      <c r="AP38" s="218">
        <f>IF(ISERROR(资产负债表!AP57-资产负债表!AO57),"—",资产负债表!AP57-资产负债表!AO57)</f>
        <v>0</v>
      </c>
      <c r="AQ38" s="218">
        <f>IF(ISERROR(资产负债表!AQ57-资产负债表!AP57),"—",资产负债表!AQ57-资产负债表!AP57)</f>
        <v>0</v>
      </c>
      <c r="AR38" s="218">
        <f>IF(ISERROR(资产负债表!AR57-资产负债表!AQ57),"—",资产负债表!AR57-资产负债表!AQ57)</f>
        <v>0</v>
      </c>
      <c r="AS38" s="218">
        <f>IF(ISERROR(资产负债表!AS57-资产负债表!AR57),"—",资产负债表!AS57-资产负债表!AR57)</f>
        <v>0</v>
      </c>
      <c r="AT38" s="218">
        <f>IF(ISERROR(资产负债表!AT57-资产负债表!AS57),"—",资产负债表!AT57-资产负债表!AS57)</f>
        <v>0</v>
      </c>
      <c r="AU38" s="218">
        <f>IF(ISERROR(资产负债表!AU57-资产负债表!AT57),"—",资产负债表!AU57-资产负债表!AT57)</f>
        <v>0</v>
      </c>
      <c r="AV38" s="59"/>
      <c r="AW38" s="59"/>
      <c r="AX38" s="59"/>
    </row>
    <row r="39" spans="2:50" ht="13.75">
      <c r="C39" s="1" t="s">
        <v>903</v>
      </c>
      <c r="D39" s="42"/>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f>IF(ISERROR(资产负债表!AL55-资产负债表!AG55),"—",资产负债表!AL55-资产负债表!AG55)</f>
        <v>0</v>
      </c>
      <c r="AM39" s="218">
        <f>IF(ISERROR(资产负债表!AM55-资产负债表!AL55),"—",资产负债表!AM55-资产负债表!AL55)</f>
        <v>0</v>
      </c>
      <c r="AN39" s="218">
        <f>IF(ISERROR(资产负债表!AN55-资产负债表!AM55),"—",资产负债表!AN55-资产负债表!AM55)</f>
        <v>0</v>
      </c>
      <c r="AO39" s="218">
        <f>IF(ISERROR(资产负债表!AO55-资产负债表!AN55),"—",资产负债表!AO55-资产负债表!AN55)</f>
        <v>0</v>
      </c>
      <c r="AP39" s="218">
        <f>IF(ISERROR(资产负债表!AP55-资产负债表!AO55),"—",资产负债表!AP55-资产负债表!AO55)</f>
        <v>0</v>
      </c>
      <c r="AQ39" s="218">
        <f>IF(ISERROR(资产负债表!AQ55-资产负债表!AP55),"—",资产负债表!AQ55-资产负债表!AP55)</f>
        <v>0</v>
      </c>
      <c r="AR39" s="218">
        <f>IF(ISERROR(资产负债表!AR55-资产负债表!AQ55),"—",资产负债表!AR55-资产负债表!AQ55)</f>
        <v>0</v>
      </c>
      <c r="AS39" s="218">
        <f>IF(ISERROR(资产负债表!AS55-资产负债表!AR55),"—",资产负债表!AS55-资产负债表!AR55)</f>
        <v>0</v>
      </c>
      <c r="AT39" s="218">
        <f>IF(ISERROR(资产负债表!AT55-资产负债表!AS55),"—",资产负债表!AT55-资产负债表!AS55)</f>
        <v>0</v>
      </c>
      <c r="AU39" s="218">
        <f>IF(ISERROR(资产负债表!AU55-资产负债表!AT55),"—",资产负债表!AU55-资产负债表!AT55)</f>
        <v>0</v>
      </c>
      <c r="AV39" s="59"/>
      <c r="AW39" s="59"/>
      <c r="AX39" s="59"/>
    </row>
    <row r="40" spans="2:50" ht="14.15">
      <c r="B40" s="39"/>
      <c r="C40" s="42" t="s">
        <v>432</v>
      </c>
      <c r="D40" s="42"/>
      <c r="E40" s="218">
        <f>财务基础数据!J349*目录!$D$6</f>
        <v>0</v>
      </c>
      <c r="F40" s="218">
        <f>财务基础数据!K349*目录!$D$6</f>
        <v>0</v>
      </c>
      <c r="G40" s="218">
        <f>财务基础数据!L349*目录!$D$6</f>
        <v>0</v>
      </c>
      <c r="H40" s="218">
        <f>财务基础数据!M349*目录!$D$6</f>
        <v>0</v>
      </c>
      <c r="I40" s="218">
        <f>财务基础数据!N349*目录!$D$6</f>
        <v>0</v>
      </c>
      <c r="J40" s="218">
        <f>财务基础数据!O349*目录!$D$6</f>
        <v>0</v>
      </c>
      <c r="K40" s="218">
        <f>财务基础数据!P349*目录!$D$6</f>
        <v>0</v>
      </c>
      <c r="L40" s="218">
        <f>财务基础数据!Q349*目录!$D$6</f>
        <v>0</v>
      </c>
      <c r="M40" s="218">
        <f>财务基础数据!R349*目录!$D$6</f>
        <v>0</v>
      </c>
      <c r="N40" s="218">
        <f>财务基础数据!S349*目录!$D$6</f>
        <v>0</v>
      </c>
      <c r="O40" s="218">
        <f>财务基础数据!T349*目录!$D$6</f>
        <v>0</v>
      </c>
      <c r="P40" s="218">
        <f>财务基础数据!U349*目录!$D$6</f>
        <v>0</v>
      </c>
      <c r="Q40" s="218">
        <f>财务基础数据!V349*目录!$D$6</f>
        <v>0</v>
      </c>
      <c r="R40" s="218">
        <f>财务基础数据!W349*目录!$D$6</f>
        <v>0</v>
      </c>
      <c r="S40" s="218">
        <f>财务基础数据!X349*目录!$D$6</f>
        <v>0</v>
      </c>
      <c r="T40" s="218">
        <f>财务基础数据!Y349*目录!$D$6</f>
        <v>0</v>
      </c>
      <c r="U40" s="218">
        <f>财务基础数据!Z349*目录!$D$6</f>
        <v>0</v>
      </c>
      <c r="V40" s="218">
        <f>财务基础数据!AA349*目录!$D$6</f>
        <v>0</v>
      </c>
      <c r="W40" s="218">
        <f>财务基础数据!AB349*目录!$D$6</f>
        <v>0</v>
      </c>
      <c r="X40" s="218">
        <f>财务基础数据!AC349*目录!$D$6</f>
        <v>0</v>
      </c>
      <c r="Y40" s="218">
        <f>财务基础数据!AD349*目录!$D$6</f>
        <v>0</v>
      </c>
      <c r="Z40" s="218">
        <f>财务基础数据!AE349*目录!$D$6</f>
        <v>0</v>
      </c>
      <c r="AA40" s="218">
        <f>财务基础数据!AF349*目录!$D$6</f>
        <v>0</v>
      </c>
      <c r="AB40" s="218">
        <f>财务基础数据!AG349*目录!$D$6</f>
        <v>0</v>
      </c>
      <c r="AC40" s="218">
        <f>财务基础数据!AH349*目录!$D$6</f>
        <v>0</v>
      </c>
      <c r="AD40" s="218">
        <f>财务基础数据!AI349*目录!$D$6</f>
        <v>0</v>
      </c>
      <c r="AE40" s="218">
        <f>财务基础数据!AJ349*目录!$D$6</f>
        <v>0</v>
      </c>
      <c r="AF40" s="218">
        <f>财务基础数据!AK349*目录!$D$6</f>
        <v>0</v>
      </c>
      <c r="AG40" s="218">
        <f>财务基础数据!AL349*目录!$D$6</f>
        <v>0</v>
      </c>
      <c r="AH40" s="218">
        <f>财务基础数据!AM349*目录!$D$6</f>
        <v>0</v>
      </c>
      <c r="AI40" s="218">
        <f>财务基础数据!AN349*目录!$D$6</f>
        <v>0</v>
      </c>
      <c r="AJ40" s="218">
        <f>财务基础数据!AO349*目录!$D$6</f>
        <v>0</v>
      </c>
      <c r="AK40" s="218">
        <f>财务基础数据!AP349*目录!$D$6</f>
        <v>0</v>
      </c>
      <c r="AL40" s="486">
        <f>IF(ISERROR(资产负债表!AG18-资产负债表!AL18+资产负债表!AL59-资产负债表!AG59-资产预测!P77+资产预测!P78+资产预测!P89-资产预测!P90),"—",资产负债表!AG18-资产负债表!AL18+资产负债表!AL59-资产负债表!AG59-资产预测!P77+资产预测!P78+资产预测!P89-资产预测!P90)</f>
        <v>0</v>
      </c>
      <c r="AM40" s="218">
        <f>IF(ISERROR(资产负债表!AL18-资产负债表!AM18+资产负债表!AM59-资产负债表!AL59-资产预测!Q77+资产预测!Q78+资产预测!Q89-资产预测!Q90),"—",资产负债表!AL18-资产负债表!AM18+资产负债表!AM59-资产负债表!AL59-资产预测!Q77+资产预测!Q78+资产预测!Q89-资产预测!Q90)</f>
        <v>0</v>
      </c>
      <c r="AN40" s="218">
        <f>IF(ISERROR(资产负债表!AM18-资产负债表!AN18+资产负债表!AN59-资产负债表!AM59-资产预测!R77+资产预测!R78+资产预测!R89-资产预测!R90),"—",资产负债表!AM18-资产负债表!AN18+资产负债表!AN59-资产负债表!AM59-资产预测!R77+资产预测!R78+资产预测!R89-资产预测!R90)</f>
        <v>0</v>
      </c>
      <c r="AO40" s="218">
        <f>IF(ISERROR(资产负债表!AN18-资产负债表!AO18+资产负债表!AO59-资产负债表!AN59-资产预测!S77+资产预测!S78+资产预测!S89-资产预测!S90),"—",资产负债表!AN18-资产负债表!AO18+资产负债表!AO59-资产负债表!AN59-资产预测!S77+资产预测!S78+资产预测!S89-资产预测!S90)</f>
        <v>0</v>
      </c>
      <c r="AP40" s="218">
        <f>IF(ISERROR(资产负债表!AO18-资产负债表!AP18+资产负债表!AP59-资产负债表!AO59-资产预测!T77+资产预测!T78+资产预测!T89-资产预测!T90),"—",资产负债表!AO18-资产负债表!AP18+资产负债表!AP59-资产负债表!AO59-资产预测!T77+资产预测!T78+资产预测!T89-资产预测!T90)</f>
        <v>0</v>
      </c>
      <c r="AQ40" s="218">
        <f>IF(ISERROR(资产负债表!AP18-资产负债表!AQ18+资产负债表!AQ59-资产负债表!AP59-资产预测!U77+资产预测!U78+资产预测!U89-资产预测!U90),"—",资产负债表!AP18-资产负债表!AQ18+资产负债表!AQ59-资产负债表!AP59-资产预测!U77+资产预测!U78+资产预测!U89-资产预测!U90)</f>
        <v>0</v>
      </c>
      <c r="AR40" s="218">
        <f>IF(ISERROR(资产负债表!AQ18-资产负债表!AR18+资产负债表!AR59-资产负债表!AQ59-资产预测!V77+资产预测!V78+资产预测!V89-资产预测!V90),"—",资产负债表!AQ18-资产负债表!AR18+资产负债表!AR59-资产负债表!AQ59-资产预测!V77+资产预测!V78+资产预测!V89-资产预测!V90)</f>
        <v>0</v>
      </c>
      <c r="AS40" s="218">
        <f>IF(ISERROR(资产负债表!AR18-资产负债表!AS18+资产负债表!AS59-资产负债表!AR59-资产预测!W77+资产预测!W78+资产预测!W89-资产预测!W90),"—",资产负债表!AR18-资产负债表!AS18+资产负债表!AS59-资产负债表!AR59-资产预测!W77+资产预测!W78+资产预测!W89-资产预测!W90)</f>
        <v>0</v>
      </c>
      <c r="AT40" s="218">
        <f>IF(ISERROR(资产负债表!AS18-资产负债表!AT18+资产负债表!AT59-资产负债表!AS59-资产预测!X77+资产预测!X78+资产预测!X89-资产预测!X90),"—",资产负债表!AS18-资产负债表!AT18+资产负债表!AT59-资产负债表!AS59-资产预测!X77+资产预测!X78+资产预测!X89-资产预测!X90)</f>
        <v>0</v>
      </c>
      <c r="AU40" s="218">
        <f>IF(ISERROR(资产负债表!AT18-资产负债表!AU18+资产负债表!AU59-资产负债表!AT59-资产预测!Y77+资产预测!Y78+资产预测!Y89-资产预测!Y90),"—",资产负债表!AT18-资产负债表!AU18+资产负债表!AU59-资产负债表!AT59-资产预测!Y77+资产预测!Y78+资产预测!Y89-资产预测!Y90)</f>
        <v>0</v>
      </c>
      <c r="AV40" s="59"/>
      <c r="AW40" s="59"/>
      <c r="AX40" s="59"/>
    </row>
    <row r="41" spans="2:50" ht="13.75">
      <c r="B41" s="43" t="s">
        <v>433</v>
      </c>
      <c r="C41" s="44"/>
      <c r="D41" s="44"/>
      <c r="E41" s="223">
        <f>IF(ISERROR(E7+E9-E10+E12+E19+E26),"—",E7+E9-E10+E12+E19+E26)</f>
        <v>0</v>
      </c>
      <c r="F41" s="223"/>
      <c r="G41" s="223">
        <f>IF(ISERROR(G7+G9-G10+G12+G19+G26),"—",G7+G9-G10+G12+G19+G26)</f>
        <v>0</v>
      </c>
      <c r="H41" s="223"/>
      <c r="I41" s="223">
        <f>IF(ISERROR(I7+I9-I10+I12+I19+I26),"—",I7+I9-I10+I12+I19+I26)</f>
        <v>0</v>
      </c>
      <c r="J41" s="223"/>
      <c r="K41" s="223">
        <f>IF(ISERROR(K7+K9-K10+K12+K19+K26),"—",K7+K9-K10+K12+K19+K26)</f>
        <v>0</v>
      </c>
      <c r="L41" s="223"/>
      <c r="M41" s="223">
        <f>IF(ISERROR(M7+M9-M10+M12+M19+M26),"—",M7+M9-M10+M12+M19+M26)</f>
        <v>0</v>
      </c>
      <c r="N41" s="223"/>
      <c r="O41" s="223">
        <f t="shared" ref="O41:AK41" si="9">IF(ISERROR(O7+O9-O10+O12+O19+O26),"—",O7+O9-O10+O12+O19+O26)</f>
        <v>0</v>
      </c>
      <c r="P41" s="223">
        <f t="shared" si="9"/>
        <v>0</v>
      </c>
      <c r="Q41" s="223">
        <f t="shared" si="9"/>
        <v>0</v>
      </c>
      <c r="R41" s="223">
        <f t="shared" si="9"/>
        <v>0</v>
      </c>
      <c r="S41" s="223">
        <f t="shared" si="9"/>
        <v>0</v>
      </c>
      <c r="T41" s="223">
        <f t="shared" si="9"/>
        <v>0</v>
      </c>
      <c r="U41" s="223">
        <f t="shared" si="9"/>
        <v>0</v>
      </c>
      <c r="V41" s="223">
        <f t="shared" si="9"/>
        <v>0</v>
      </c>
      <c r="W41" s="223">
        <f t="shared" si="9"/>
        <v>0</v>
      </c>
      <c r="X41" s="223">
        <f t="shared" si="9"/>
        <v>0</v>
      </c>
      <c r="Y41" s="223">
        <f t="shared" si="9"/>
        <v>0</v>
      </c>
      <c r="Z41" s="223">
        <f t="shared" si="9"/>
        <v>0</v>
      </c>
      <c r="AA41" s="223">
        <f t="shared" si="9"/>
        <v>0</v>
      </c>
      <c r="AB41" s="223">
        <f t="shared" si="9"/>
        <v>0</v>
      </c>
      <c r="AC41" s="223">
        <f t="shared" si="9"/>
        <v>0</v>
      </c>
      <c r="AD41" s="223">
        <f t="shared" si="9"/>
        <v>0</v>
      </c>
      <c r="AE41" s="223">
        <f t="shared" si="9"/>
        <v>0</v>
      </c>
      <c r="AF41" s="223">
        <f t="shared" si="9"/>
        <v>0</v>
      </c>
      <c r="AG41" s="223">
        <f t="shared" si="9"/>
        <v>0</v>
      </c>
      <c r="AH41" s="223">
        <f t="shared" si="9"/>
        <v>0</v>
      </c>
      <c r="AI41" s="223">
        <f t="shared" si="9"/>
        <v>0</v>
      </c>
      <c r="AJ41" s="223">
        <f t="shared" si="9"/>
        <v>0</v>
      </c>
      <c r="AK41" s="223" t="str">
        <f t="shared" si="9"/>
        <v>—</v>
      </c>
      <c r="AL41" s="223" t="str">
        <f t="shared" ref="AL41:AU41" si="10">IF(ISERROR(AL7+AL8+AL12+AL19+AL26),"—",AL7+AL8+AL12+AL19+AL26)</f>
        <v>—</v>
      </c>
      <c r="AM41" s="223" t="str">
        <f t="shared" si="10"/>
        <v>—</v>
      </c>
      <c r="AN41" s="223" t="str">
        <f t="shared" si="10"/>
        <v>—</v>
      </c>
      <c r="AO41" s="223">
        <f t="shared" si="10"/>
        <v>0</v>
      </c>
      <c r="AP41" s="223">
        <f t="shared" si="10"/>
        <v>0</v>
      </c>
      <c r="AQ41" s="223">
        <f t="shared" si="10"/>
        <v>0</v>
      </c>
      <c r="AR41" s="223">
        <f t="shared" si="10"/>
        <v>0</v>
      </c>
      <c r="AS41" s="223">
        <f t="shared" si="10"/>
        <v>0</v>
      </c>
      <c r="AT41" s="223">
        <f t="shared" si="10"/>
        <v>0</v>
      </c>
      <c r="AU41" s="223">
        <f t="shared" si="10"/>
        <v>0</v>
      </c>
      <c r="AV41" s="59"/>
      <c r="AW41" s="59"/>
      <c r="AX41" s="59"/>
    </row>
    <row r="42" spans="2:50" s="48" customFormat="1" ht="14.15">
      <c r="C42" s="39"/>
      <c r="D42" s="54"/>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219"/>
      <c r="AP42" s="46"/>
      <c r="AQ42" s="46"/>
      <c r="AR42" s="46"/>
      <c r="AS42" s="46"/>
      <c r="AT42" s="46"/>
      <c r="AU42" s="46"/>
      <c r="AV42" s="111"/>
      <c r="AW42" s="111"/>
      <c r="AX42" s="111"/>
    </row>
    <row r="43" spans="2:50">
      <c r="B43" s="1" t="s">
        <v>434</v>
      </c>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218"/>
      <c r="AP43" s="41"/>
      <c r="AQ43" s="41"/>
      <c r="AR43" s="41"/>
      <c r="AS43" s="41"/>
      <c r="AT43" s="41"/>
      <c r="AU43" s="41"/>
      <c r="AV43" s="59"/>
      <c r="AW43" s="59"/>
      <c r="AX43" s="59"/>
    </row>
    <row r="44" spans="2:50" ht="13.75">
      <c r="B44" s="54"/>
      <c r="C44" s="3" t="s">
        <v>435</v>
      </c>
      <c r="E44" s="218">
        <f>(财务基础数据!J274+财务基础数据!J279-财务基础数据!J283-财务基础数据!J284-财务基础数据!J285-财务基础数据!J286)*目录!$D$6</f>
        <v>0</v>
      </c>
      <c r="F44" s="218">
        <f>(财务基础数据!K274+财务基础数据!K279-财务基础数据!K283-财务基础数据!K284-财务基础数据!K285-财务基础数据!K286)*目录!$D$6</f>
        <v>0</v>
      </c>
      <c r="G44" s="218">
        <f>(财务基础数据!L274+财务基础数据!L279-财务基础数据!L283-财务基础数据!L284-财务基础数据!L285-财务基础数据!L286)*目录!$D$6</f>
        <v>0</v>
      </c>
      <c r="H44" s="218">
        <f>(财务基础数据!M274+财务基础数据!M279-财务基础数据!M283-财务基础数据!M284-财务基础数据!M285-财务基础数据!M286)*目录!$D$6</f>
        <v>0</v>
      </c>
      <c r="I44" s="218">
        <f>(财务基础数据!N274+财务基础数据!N279-财务基础数据!N283-财务基础数据!N284-财务基础数据!N285-财务基础数据!N286)*目录!$D$6</f>
        <v>0</v>
      </c>
      <c r="J44" s="218">
        <f>(财务基础数据!O274+财务基础数据!O279-财务基础数据!O283-财务基础数据!O284-财务基础数据!O285-财务基础数据!O286)*目录!$D$6</f>
        <v>0</v>
      </c>
      <c r="K44" s="218">
        <f>(财务基础数据!P274+财务基础数据!P279-财务基础数据!P283-财务基础数据!P284-财务基础数据!P285-财务基础数据!P286)*目录!$D$6</f>
        <v>0</v>
      </c>
      <c r="L44" s="218">
        <f>(财务基础数据!Q274+财务基础数据!Q279-财务基础数据!Q283-财务基础数据!Q284-财务基础数据!Q285-财务基础数据!Q286)*目录!$D$6</f>
        <v>0</v>
      </c>
      <c r="M44" s="218">
        <f>(财务基础数据!R274+财务基础数据!R279-财务基础数据!R283-财务基础数据!R284-财务基础数据!R285-财务基础数据!R286)*目录!$D$6</f>
        <v>0</v>
      </c>
      <c r="N44" s="218">
        <f>(财务基础数据!S274+财务基础数据!S279-财务基础数据!S283-财务基础数据!S284-财务基础数据!S285-财务基础数据!S286)*目录!$D$6</f>
        <v>0</v>
      </c>
      <c r="O44" s="218">
        <f>(财务基础数据!T274+财务基础数据!T279-财务基础数据!T283-财务基础数据!T284-财务基础数据!T285-财务基础数据!T286)*目录!$D$6</f>
        <v>0</v>
      </c>
      <c r="P44" s="218">
        <f>(财务基础数据!U274+财务基础数据!U279-财务基础数据!U283-财务基础数据!U284-财务基础数据!U285-财务基础数据!U286)*目录!$D$6</f>
        <v>0</v>
      </c>
      <c r="Q44" s="218">
        <f>(财务基础数据!V274+财务基础数据!V279-财务基础数据!V283-财务基础数据!V284-财务基础数据!V285-财务基础数据!V286)*目录!$D$6</f>
        <v>0</v>
      </c>
      <c r="R44" s="218">
        <f>(财务基础数据!W274+财务基础数据!W279-财务基础数据!W283-财务基础数据!W284-财务基础数据!W285-财务基础数据!W286)*目录!$D$6</f>
        <v>0</v>
      </c>
      <c r="S44" s="218">
        <f>(财务基础数据!X274+财务基础数据!X279-财务基础数据!X283-财务基础数据!X284-财务基础数据!X285-财务基础数据!X286)*目录!$D$6</f>
        <v>0</v>
      </c>
      <c r="T44" s="218">
        <f>(财务基础数据!Y274+财务基础数据!Y279-财务基础数据!Y283-财务基础数据!Y284-财务基础数据!Y285-财务基础数据!Y286)*目录!$D$6</f>
        <v>0</v>
      </c>
      <c r="U44" s="218">
        <f>(财务基础数据!Z274+财务基础数据!Z279-财务基础数据!Z283-财务基础数据!Z284-财务基础数据!Z285-财务基础数据!Z286)*目录!$D$6</f>
        <v>0</v>
      </c>
      <c r="V44" s="218">
        <f>(财务基础数据!AA274+财务基础数据!AA279-财务基础数据!AA283-财务基础数据!AA284-财务基础数据!AA285-财务基础数据!AA286)*目录!$D$6</f>
        <v>0</v>
      </c>
      <c r="W44" s="218">
        <f>(财务基础数据!AB274+财务基础数据!AB279-财务基础数据!AB283-财务基础数据!AB284-财务基础数据!AB285-财务基础数据!AB286)*目录!$D$6</f>
        <v>0</v>
      </c>
      <c r="X44" s="218">
        <f>(财务基础数据!AC274+财务基础数据!AC279-财务基础数据!AC283-财务基础数据!AC284-财务基础数据!AC285-财务基础数据!AC286)*目录!$D$6</f>
        <v>0</v>
      </c>
      <c r="Y44" s="218">
        <f>(财务基础数据!AD274+财务基础数据!AD279-财务基础数据!AD283-财务基础数据!AD284-财务基础数据!AD285-财务基础数据!AD286)*目录!$D$6</f>
        <v>0</v>
      </c>
      <c r="Z44" s="218">
        <f>(财务基础数据!AE274+财务基础数据!AE279-财务基础数据!AE283-财务基础数据!AE284-财务基础数据!AE285-财务基础数据!AE286)*目录!$D$6</f>
        <v>0</v>
      </c>
      <c r="AA44" s="218">
        <f>(财务基础数据!AF274+财务基础数据!AF279-财务基础数据!AF283-财务基础数据!AF284-财务基础数据!AF285-财务基础数据!AF286)*目录!$D$6</f>
        <v>0</v>
      </c>
      <c r="AB44" s="218">
        <f>(财务基础数据!AG274+财务基础数据!AG279-财务基础数据!AG283-财务基础数据!AG284-财务基础数据!AG285-财务基础数据!AG286)*目录!$D$6</f>
        <v>0</v>
      </c>
      <c r="AC44" s="218">
        <f>(财务基础数据!AH274+财务基础数据!AH279-财务基础数据!AH283-财务基础数据!AH284-财务基础数据!AH285-财务基础数据!AH286)*目录!$D$6</f>
        <v>0</v>
      </c>
      <c r="AD44" s="218">
        <f>(财务基础数据!AI274+财务基础数据!AI279-财务基础数据!AI283-财务基础数据!AI284-财务基础数据!AI285-财务基础数据!AI286)*目录!$D$6</f>
        <v>0</v>
      </c>
      <c r="AE44" s="218">
        <f>(财务基础数据!AJ274+财务基础数据!AJ279-财务基础数据!AJ283-财务基础数据!AJ284-财务基础数据!AJ285-财务基础数据!AJ286)*目录!$D$6</f>
        <v>0</v>
      </c>
      <c r="AF44" s="218">
        <f>(财务基础数据!AK274+财务基础数据!AK279-财务基础数据!AK283-财务基础数据!AK284-财务基础数据!AK285-财务基础数据!AK286)*目录!$D$6</f>
        <v>0</v>
      </c>
      <c r="AG44" s="218">
        <f>(财务基础数据!AL274+财务基础数据!AL279-财务基础数据!AL283-财务基础数据!AL284-财务基础数据!AL285-财务基础数据!AL286)*目录!$D$6</f>
        <v>0</v>
      </c>
      <c r="AH44" s="218">
        <f>(财务基础数据!AM274+财务基础数据!AM279-财务基础数据!AM283-财务基础数据!AM284-财务基础数据!AM285-财务基础数据!AM286)*目录!$D$6</f>
        <v>0</v>
      </c>
      <c r="AI44" s="218">
        <f>(财务基础数据!AN274+财务基础数据!AN279-财务基础数据!AN283-财务基础数据!AN284-财务基础数据!AN285-财务基础数据!AN286)*目录!$D$6</f>
        <v>0</v>
      </c>
      <c r="AJ44" s="218">
        <f>(财务基础数据!AO274+财务基础数据!AO279-财务基础数据!AO283-财务基础数据!AO284-财务基础数据!AO285-财务基础数据!AO286)*目录!$D$6</f>
        <v>0</v>
      </c>
      <c r="AK44" s="218">
        <f>(财务基础数据!AP274+财务基础数据!AP279-财务基础数据!AP283-财务基础数据!AP284-财务基础数据!AP285-财务基础数据!AP286)*目录!$D$6</f>
        <v>0</v>
      </c>
      <c r="AL44" s="224">
        <f>IF(ISERROR(AL45+AL46+AL47+AL48+AL49+AL50+AL51+AL52),"—",AL45+AL46+AL47+AL48+AL49+AL50+AL51+AL52)</f>
        <v>0</v>
      </c>
      <c r="AM44" s="224">
        <f t="shared" ref="AM44:AU44" si="11">IF(ISERROR(AM45+AM46+AM47+AM48+AM49+AM50+AM51+AM52),"—",AM45+AM46+AM47+AM48+AM49+AM50+AM51+AM52)</f>
        <v>0</v>
      </c>
      <c r="AN44" s="224">
        <f t="shared" si="11"/>
        <v>0</v>
      </c>
      <c r="AO44" s="224">
        <f t="shared" si="11"/>
        <v>0</v>
      </c>
      <c r="AP44" s="224">
        <f t="shared" si="11"/>
        <v>0</v>
      </c>
      <c r="AQ44" s="224">
        <f t="shared" si="11"/>
        <v>0</v>
      </c>
      <c r="AR44" s="224">
        <f t="shared" si="11"/>
        <v>0</v>
      </c>
      <c r="AS44" s="224">
        <f t="shared" si="11"/>
        <v>0</v>
      </c>
      <c r="AT44" s="224">
        <f t="shared" si="11"/>
        <v>0</v>
      </c>
      <c r="AU44" s="224">
        <f t="shared" si="11"/>
        <v>0</v>
      </c>
      <c r="AV44" s="59"/>
      <c r="AW44" s="59"/>
      <c r="AX44" s="59"/>
    </row>
    <row r="45" spans="2:50" ht="13.75">
      <c r="C45" s="654" t="s">
        <v>1213</v>
      </c>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24">
        <f>IF(ISERROR(-(资产预测!P69+资产预测!P70+资产预测!P73+资产预测!P74)),"—",-(资产预测!P69+资产预测!P70+资产预测!P73+资产预测!P74))</f>
        <v>0</v>
      </c>
      <c r="AM45" s="224">
        <f>IF(ISERROR(-(资产预测!Q69+资产预测!Q70+资产预测!Q73+资产预测!Q74)),"—",-(资产预测!Q69+资产预测!Q70+资产预测!Q73+资产预测!Q74))</f>
        <v>0</v>
      </c>
      <c r="AN45" s="224">
        <f>IF(ISERROR(-(资产预测!R69+资产预测!R70+资产预测!R73+资产预测!R74)),"—",-(资产预测!R69+资产预测!R70+资产预测!R73+资产预测!R74))</f>
        <v>0</v>
      </c>
      <c r="AO45" s="224">
        <f>IF(ISERROR(-(资产预测!S69+资产预测!S70+资产预测!S73+资产预测!S74)),"—",-(资产预测!S69+资产预测!S70+资产预测!S73+资产预测!S74))</f>
        <v>0</v>
      </c>
      <c r="AP45" s="224">
        <f>IF(ISERROR(-(资产预测!T69+资产预测!T70+资产预测!T73+资产预测!T74)),"—",-(资产预测!T69+资产预测!T70+资产预测!T73+资产预测!T74))</f>
        <v>0</v>
      </c>
      <c r="AQ45" s="224">
        <f>IF(ISERROR(-(资产预测!U69+资产预测!U70+资产预测!U73+资产预测!U74)),"—",-(资产预测!U69+资产预测!U70+资产预测!U73+资产预测!U74))</f>
        <v>0</v>
      </c>
      <c r="AR45" s="224">
        <f>IF(ISERROR(-(资产预测!V69+资产预测!V70+资产预测!V73+资产预测!V74)),"—",-(资产预测!V69+资产预测!V70+资产预测!V73+资产预测!V74))</f>
        <v>0</v>
      </c>
      <c r="AS45" s="224">
        <f>IF(ISERROR(-(资产预测!W69+资产预测!W70+资产预测!W73+资产预测!W74)),"—",-(资产预测!W69+资产预测!W70+资产预测!W73+资产预测!W74))</f>
        <v>0</v>
      </c>
      <c r="AT45" s="224">
        <f>IF(ISERROR(-(资产预测!X69+资产预测!X70+资产预测!X73+资产预测!X74)),"—",-(资产预测!X69+资产预测!X70+资产预测!X73+资产预测!X74))</f>
        <v>0</v>
      </c>
      <c r="AU45" s="224">
        <f>IF(ISERROR(-(资产预测!Y69+资产预测!Y70+资产预测!Y73+资产预测!Y74)),"—",-(资产预测!Y69+资产预测!Y70+资产预测!Y73+资产预测!Y74))</f>
        <v>0</v>
      </c>
      <c r="AV45" s="59"/>
      <c r="AW45" s="59"/>
      <c r="AX45" s="59"/>
    </row>
    <row r="46" spans="2:50" ht="13.75" hidden="1">
      <c r="C46" s="99"/>
      <c r="D46" s="3"/>
      <c r="E46" s="218"/>
      <c r="F46" s="218"/>
      <c r="G46" s="218"/>
      <c r="H46" s="218"/>
      <c r="I46" s="218"/>
      <c r="J46" s="218"/>
      <c r="K46" s="218"/>
      <c r="L46" s="218"/>
      <c r="M46" s="218"/>
      <c r="N46" s="218"/>
      <c r="O46" s="218"/>
      <c r="P46" s="218"/>
      <c r="Q46" s="218"/>
      <c r="R46" s="218"/>
      <c r="S46" s="218"/>
      <c r="T46" s="218"/>
      <c r="U46" s="218"/>
      <c r="V46" s="218"/>
      <c r="W46" s="218"/>
      <c r="X46" s="218"/>
      <c r="Y46" s="218"/>
      <c r="Z46" s="218"/>
      <c r="AA46" s="218"/>
      <c r="AB46" s="218"/>
      <c r="AC46" s="218"/>
      <c r="AD46" s="218"/>
      <c r="AE46" s="218"/>
      <c r="AF46" s="218"/>
      <c r="AG46" s="218"/>
      <c r="AH46" s="218"/>
      <c r="AI46" s="218"/>
      <c r="AJ46" s="218"/>
      <c r="AK46" s="218"/>
      <c r="AL46" s="218"/>
      <c r="AM46" s="218"/>
      <c r="AN46" s="218"/>
      <c r="AO46" s="218"/>
      <c r="AP46" s="218"/>
      <c r="AQ46" s="218"/>
      <c r="AR46" s="218"/>
      <c r="AS46" s="218"/>
      <c r="AT46" s="218"/>
      <c r="AU46" s="218"/>
      <c r="AV46" s="59"/>
      <c r="AW46" s="59"/>
      <c r="AX46" s="59"/>
    </row>
    <row r="47" spans="2:50" ht="14.15">
      <c r="C47" s="99" t="s">
        <v>1201</v>
      </c>
      <c r="D47" s="42"/>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486">
        <f>IF(ISERROR(资产负债表!AG25-资产负债表!AL25-资产预测!P273),"—",资产负债表!AG25-资产负债表!AL25-资产预测!P273)</f>
        <v>0</v>
      </c>
      <c r="AM47" s="486">
        <f>IF(ISERROR(资产负债表!AL25-资产负债表!AM25-资产预测!Q273),"—",资产负债表!AL25-资产负债表!AM25-资产预测!Q273)</f>
        <v>0</v>
      </c>
      <c r="AN47" s="486">
        <f>IF(ISERROR(资产负债表!AM25-资产负债表!AN25-资产预测!R273),"—",资产负债表!AM25-资产负债表!AN25-资产预测!R273)</f>
        <v>0</v>
      </c>
      <c r="AO47" s="486">
        <f>IF(ISERROR(资产负债表!AN25-资产负债表!AO25-资产预测!S273),"—",资产负债表!AN25-资产负债表!AO25-资产预测!S273)</f>
        <v>0</v>
      </c>
      <c r="AP47" s="486">
        <f>IF(ISERROR(资产负债表!AO25-资产负债表!AP25-资产预测!T273),"—",资产负债表!AO25-资产负债表!AP25-资产预测!T273)</f>
        <v>0</v>
      </c>
      <c r="AQ47" s="486">
        <f>IF(ISERROR(资产负债表!AP25-资产负债表!AQ25-资产预测!U273),"—",资产负债表!AP25-资产负债表!AQ25-资产预测!U273)</f>
        <v>0</v>
      </c>
      <c r="AR47" s="486">
        <f>IF(ISERROR(资产负债表!AQ25-资产负债表!AR25-资产预测!V273),"—",资产负债表!AQ25-资产负债表!AR25-资产预测!V273)</f>
        <v>0</v>
      </c>
      <c r="AS47" s="486">
        <f>IF(ISERROR(资产负债表!AR25-资产负债表!AS25-资产预测!W273),"—",资产负债表!AR25-资产负债表!AS25-资产预测!W273)</f>
        <v>0</v>
      </c>
      <c r="AT47" s="486">
        <f>IF(ISERROR(资产负债表!AS25-资产负债表!AT25-资产预测!X273),"—",资产负债表!AS25-资产负债表!AT25-资产预测!X273)</f>
        <v>0</v>
      </c>
      <c r="AU47" s="486">
        <f>IF(ISERROR(资产负债表!AT25-资产负债表!AU25-资产预测!Y273),"—",资产负债表!AT25-资产负债表!AU25-资产预测!Y273)</f>
        <v>0</v>
      </c>
      <c r="AV47" s="59"/>
      <c r="AW47" s="59"/>
      <c r="AX47" s="59"/>
    </row>
    <row r="48" spans="2:50" ht="14.15">
      <c r="C48" s="99" t="s">
        <v>436</v>
      </c>
      <c r="D48" s="42"/>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486">
        <f>IF(ISERROR(资产负债表!AG26-资产负债表!AL26-资产预测!P274),"—",资产负债表!AG26-资产负债表!AL26-资产预测!P274)</f>
        <v>0</v>
      </c>
      <c r="AM48" s="486">
        <f>IF(ISERROR(资产负债表!AL26-资产负债表!AM26-资产预测!Q274),"—",资产负债表!AL26-资产负债表!AM26-资产预测!Q274)</f>
        <v>0</v>
      </c>
      <c r="AN48" s="486">
        <f>IF(ISERROR(资产负债表!AM26-资产负债表!AN26-资产预测!R274),"—",资产负债表!AM26-资产负债表!AN26-资产预测!R274)</f>
        <v>0</v>
      </c>
      <c r="AO48" s="486">
        <f>IF(ISERROR(资产负债表!AN26-资产负债表!AO26-资产预测!S274),"—",资产负债表!AN26-资产负债表!AO26-资产预测!S274)</f>
        <v>0</v>
      </c>
      <c r="AP48" s="486">
        <f>IF(ISERROR(资产负债表!AO26-资产负债表!AP26-资产预测!T274),"—",资产负债表!AO26-资产负债表!AP26-资产预测!T274)</f>
        <v>0</v>
      </c>
      <c r="AQ48" s="486">
        <f>IF(ISERROR(资产负债表!AP26-资产负债表!AQ26-资产预测!U274),"—",资产负债表!AP26-资产负债表!AQ26-资产预测!U274)</f>
        <v>0</v>
      </c>
      <c r="AR48" s="486">
        <f>IF(ISERROR(资产负债表!AQ26-资产负债表!AR26-资产预测!V274),"—",资产负债表!AQ26-资产负债表!AR26-资产预测!V274)</f>
        <v>0</v>
      </c>
      <c r="AS48" s="486">
        <f>IF(ISERROR(资产负债表!AR26-资产负债表!AS26-资产预测!W274),"—",资产负债表!AR26-资产负债表!AS26-资产预测!W274)</f>
        <v>0</v>
      </c>
      <c r="AT48" s="486">
        <f>IF(ISERROR(资产负债表!AS26-资产负债表!AT26-资产预测!X274),"—",资产负债表!AS26-资产负债表!AT26-资产预测!X274)</f>
        <v>0</v>
      </c>
      <c r="AU48" s="486">
        <f>IF(ISERROR(资产负债表!AT26-资产负债表!AU26-资产预测!Y274),"—",资产负债表!AT26-资产负债表!AU26-资产预测!Y274)</f>
        <v>0</v>
      </c>
      <c r="AV48" s="59"/>
      <c r="AW48" s="59"/>
      <c r="AX48" s="59"/>
    </row>
    <row r="49" spans="2:51" ht="14.15">
      <c r="C49" s="99" t="s">
        <v>904</v>
      </c>
      <c r="D49" s="42"/>
      <c r="E49" s="218"/>
      <c r="F49" s="218"/>
      <c r="G49" s="218"/>
      <c r="H49" s="218"/>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486">
        <f>IF(ISERROR(资产负债表!AG27-资产负债表!AL27-资产预测!P275),"—",资产负债表!AG27-资产负债表!AL27-资产预测!P275)</f>
        <v>0</v>
      </c>
      <c r="AM49" s="486">
        <f>IF(ISERROR(资产负债表!AL27-资产负债表!AM27-资产预测!Q275),"—",资产负债表!AL27-资产负债表!AM27-资产预测!Q275)</f>
        <v>0</v>
      </c>
      <c r="AN49" s="486">
        <f>IF(ISERROR(资产负债表!AM27-资产负债表!AN27-资产预测!R275),"—",资产负债表!AM27-资产负债表!AN27-资产预测!R275)</f>
        <v>0</v>
      </c>
      <c r="AO49" s="486">
        <f>IF(ISERROR(资产负债表!AN27-资产负债表!AO27-资产预测!S275),"—",资产负债表!AN27-资产负债表!AO27-资产预测!S275)</f>
        <v>0</v>
      </c>
      <c r="AP49" s="486">
        <f>IF(ISERROR(资产负债表!AO27-资产负债表!AP27-资产预测!T275),"—",资产负债表!AO27-资产负债表!AP27-资产预测!T275)</f>
        <v>0</v>
      </c>
      <c r="AQ49" s="486">
        <f>IF(ISERROR(资产负债表!AP27-资产负债表!AQ27-资产预测!U275),"—",资产负债表!AP27-资产负债表!AQ27-资产预测!U275)</f>
        <v>0</v>
      </c>
      <c r="AR49" s="486">
        <f>IF(ISERROR(资产负债表!AQ27-资产负债表!AR27-资产预测!V275),"—",资产负债表!AQ27-资产负债表!AR27-资产预测!V275)</f>
        <v>0</v>
      </c>
      <c r="AS49" s="486">
        <f>IF(ISERROR(资产负债表!AR27-资产负债表!AS27-资产预测!W275),"—",资产负债表!AR27-资产负债表!AS27-资产预测!W275)</f>
        <v>0</v>
      </c>
      <c r="AT49" s="486">
        <f>IF(ISERROR(资产负债表!AS27-资产负债表!AT27-资产预测!X275),"—",资产负债表!AS27-资产负债表!AT27-资产预测!X275)</f>
        <v>0</v>
      </c>
      <c r="AU49" s="486">
        <f>IF(ISERROR(资产负债表!AT27-资产负债表!AU27-资产预测!Y275),"—",资产负债表!AT27-资产负债表!AU27-资产预测!Y275)</f>
        <v>0</v>
      </c>
      <c r="AV49" s="59"/>
      <c r="AW49" s="59"/>
      <c r="AX49" s="59"/>
    </row>
    <row r="50" spans="2:51" ht="14.15">
      <c r="C50" s="99" t="s">
        <v>905</v>
      </c>
      <c r="D50" s="3"/>
      <c r="E50" s="218"/>
      <c r="F50" s="218"/>
      <c r="G50" s="218"/>
      <c r="H50" s="218"/>
      <c r="I50" s="218"/>
      <c r="J50" s="218"/>
      <c r="K50" s="218"/>
      <c r="L50" s="218"/>
      <c r="M50" s="218"/>
      <c r="N50" s="218"/>
      <c r="O50" s="218"/>
      <c r="P50" s="218"/>
      <c r="Q50" s="218"/>
      <c r="R50" s="218"/>
      <c r="S50" s="218"/>
      <c r="T50" s="218"/>
      <c r="U50" s="218"/>
      <c r="V50" s="218"/>
      <c r="W50" s="218"/>
      <c r="X50" s="218"/>
      <c r="Y50" s="218"/>
      <c r="Z50" s="218"/>
      <c r="AA50" s="218"/>
      <c r="AB50" s="218"/>
      <c r="AC50" s="218"/>
      <c r="AD50" s="218"/>
      <c r="AE50" s="218"/>
      <c r="AF50" s="218"/>
      <c r="AG50" s="218"/>
      <c r="AH50" s="218"/>
      <c r="AI50" s="218"/>
      <c r="AJ50" s="218"/>
      <c r="AK50" s="218"/>
      <c r="AL50" s="486">
        <f>IF(ISERROR(-资产预测!P163-资产预测!P164-资产预测!P167),"—",-资产预测!P163-资产预测!P164-资产预测!P167)</f>
        <v>0</v>
      </c>
      <c r="AM50" s="486">
        <f>IF(ISERROR(-资产预测!Q163-资产预测!Q164-资产预测!Q167),"—",-资产预测!Q163-资产预测!Q164-资产预测!Q167)</f>
        <v>0</v>
      </c>
      <c r="AN50" s="486">
        <f>IF(ISERROR(-资产预测!R163-资产预测!R164-资产预测!R167),"—",-资产预测!R163-资产预测!R164-资产预测!R167)</f>
        <v>0</v>
      </c>
      <c r="AO50" s="486">
        <f>IF(ISERROR(-资产预测!S163-资产预测!S164-资产预测!S167),"—",-资产预测!S163-资产预测!S164-资产预测!S167)</f>
        <v>0</v>
      </c>
      <c r="AP50" s="486">
        <f>IF(ISERROR(-资产预测!T163-资产预测!T164-资产预测!T167),"—",-资产预测!T163-资产预测!T164-资产预测!T167)</f>
        <v>0</v>
      </c>
      <c r="AQ50" s="486">
        <f>IF(ISERROR(-资产预测!U163-资产预测!U164-资产预测!U167),"—",-资产预测!U163-资产预测!U164-资产预测!U167)</f>
        <v>0</v>
      </c>
      <c r="AR50" s="486">
        <f>IF(ISERROR(-资产预测!V163-资产预测!V164-资产预测!V167),"—",-资产预测!V163-资产预测!V164-资产预测!V167)</f>
        <v>0</v>
      </c>
      <c r="AS50" s="486">
        <f>IF(ISERROR(-资产预测!W163-资产预测!W164-资产预测!W167),"—",-资产预测!W163-资产预测!W164-资产预测!W167)</f>
        <v>0</v>
      </c>
      <c r="AT50" s="486">
        <f>IF(ISERROR(-资产预测!X163-资产预测!X164-资产预测!X167),"—",-资产预测!X163-资产预测!X164-资产预测!X167)</f>
        <v>0</v>
      </c>
      <c r="AU50" s="486">
        <f>IF(ISERROR(-资产预测!Y163-资产预测!Y164-资产预测!Y167),"—",-资产预测!Y163-资产预测!Y164-资产预测!Y167)</f>
        <v>0</v>
      </c>
      <c r="AV50" s="59"/>
      <c r="AW50" s="59"/>
      <c r="AX50" s="59"/>
    </row>
    <row r="51" spans="2:51" ht="14.15">
      <c r="C51" s="99" t="s">
        <v>906</v>
      </c>
      <c r="D51" s="3"/>
      <c r="E51" s="218"/>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c r="AI51" s="218"/>
      <c r="AJ51" s="218"/>
      <c r="AK51" s="218"/>
      <c r="AL51" s="486">
        <f>IF(ISERROR(资产负债表!AG24-资产负债表!AL24-资产预测!P272),"—",资产负债表!AG24-资产负债表!AL24-资产预测!P272)</f>
        <v>0</v>
      </c>
      <c r="AM51" s="486">
        <f>IF(ISERROR(资产负债表!AL24-资产负债表!AM24-资产预测!Q272),"—",资产负债表!AL24-资产负债表!AM24-资产预测!Q272)</f>
        <v>0</v>
      </c>
      <c r="AN51" s="486">
        <f>IF(ISERROR(资产负债表!AM24-资产负债表!AN24-资产预测!R272),"—",资产负债表!AM24-资产负债表!AN24-资产预测!R272)</f>
        <v>0</v>
      </c>
      <c r="AO51" s="486">
        <f>IF(ISERROR(资产负债表!AN24-资产负债表!AO24-资产预测!S272),"—",资产负债表!AN24-资产负债表!AO24-资产预测!S272)</f>
        <v>0</v>
      </c>
      <c r="AP51" s="486">
        <f>IF(ISERROR(资产负债表!AO24-资产负债表!AP24-资产预测!T272),"—",资产负债表!AO24-资产负债表!AP24-资产预测!T272)</f>
        <v>0</v>
      </c>
      <c r="AQ51" s="486">
        <f>IF(ISERROR(资产负债表!AP24-资产负债表!AQ24-资产预测!U272),"—",资产负债表!AP24-资产负债表!AQ24-资产预测!U272)</f>
        <v>0</v>
      </c>
      <c r="AR51" s="486">
        <f>IF(ISERROR(资产负债表!AQ24-资产负债表!AR24-资产预测!V272),"—",资产负债表!AQ24-资产负债表!AR24-资产预测!V272)</f>
        <v>0</v>
      </c>
      <c r="AS51" s="486">
        <f>IF(ISERROR(资产负债表!AR24-资产负债表!AS24-资产预测!W272),"—",资产负债表!AR24-资产负债表!AS24-资产预测!W272)</f>
        <v>0</v>
      </c>
      <c r="AT51" s="486">
        <f>IF(ISERROR(资产负债表!AS24-资产负债表!AT24-资产预测!X272),"—",资产负债表!AS24-资产负债表!AT24-资产预测!X272)</f>
        <v>0</v>
      </c>
      <c r="AU51" s="486">
        <f>IF(ISERROR(资产负债表!AT24-资产负债表!AU24-资产预测!Y272),"—",资产负债表!AT24-资产负债表!AU24-资产预测!Y272)</f>
        <v>0</v>
      </c>
      <c r="AV51" s="59"/>
      <c r="AW51" s="59"/>
      <c r="AX51" s="59"/>
    </row>
    <row r="52" spans="2:51" ht="14.15">
      <c r="C52" s="99" t="s">
        <v>907</v>
      </c>
      <c r="D52" s="3"/>
      <c r="E52" s="218"/>
      <c r="F52" s="218"/>
      <c r="G52" s="218"/>
      <c r="H52" s="218"/>
      <c r="I52" s="218"/>
      <c r="J52" s="218"/>
      <c r="K52" s="218"/>
      <c r="L52" s="218"/>
      <c r="M52" s="218"/>
      <c r="N52" s="218"/>
      <c r="O52" s="218"/>
      <c r="P52" s="218"/>
      <c r="Q52" s="218"/>
      <c r="R52" s="218"/>
      <c r="S52" s="218"/>
      <c r="T52" s="218"/>
      <c r="U52" s="218"/>
      <c r="V52" s="218"/>
      <c r="W52" s="218"/>
      <c r="X52" s="218"/>
      <c r="Y52" s="218"/>
      <c r="Z52" s="218"/>
      <c r="AA52" s="218"/>
      <c r="AB52" s="218"/>
      <c r="AC52" s="218"/>
      <c r="AD52" s="218"/>
      <c r="AE52" s="218"/>
      <c r="AF52" s="218"/>
      <c r="AG52" s="218"/>
      <c r="AH52" s="218"/>
      <c r="AI52" s="218"/>
      <c r="AJ52" s="218"/>
      <c r="AK52" s="218"/>
      <c r="AL52" s="486">
        <f>IF(ISERROR(-资产预测!P106),"—",-资产预测!P106)</f>
        <v>0</v>
      </c>
      <c r="AM52" s="486">
        <f>IF(ISERROR(-资产预测!Q106),"—",-资产预测!Q106)</f>
        <v>0</v>
      </c>
      <c r="AN52" s="486">
        <f>IF(ISERROR(-资产预测!R106),"—",-资产预测!R106)</f>
        <v>0</v>
      </c>
      <c r="AO52" s="486">
        <f>IF(ISERROR(-资产预测!S106),"—",-资产预测!S106)</f>
        <v>0</v>
      </c>
      <c r="AP52" s="486">
        <f>IF(ISERROR(-资产预测!T106),"—",-资产预测!T106)</f>
        <v>0</v>
      </c>
      <c r="AQ52" s="486">
        <f>IF(ISERROR(-资产预测!U106),"—",-资产预测!U106)</f>
        <v>0</v>
      </c>
      <c r="AR52" s="486">
        <f>IF(ISERROR(-资产预测!V106),"—",-资产预测!V106)</f>
        <v>0</v>
      </c>
      <c r="AS52" s="486">
        <f>IF(ISERROR(-资产预测!W106),"—",-资产预测!W106)</f>
        <v>0</v>
      </c>
      <c r="AT52" s="486">
        <f>IF(ISERROR(-资产预测!X106),"—",-资产预测!X106)</f>
        <v>0</v>
      </c>
      <c r="AU52" s="486">
        <f>IF(ISERROR(-资产预测!Y106),"—",-资产预测!Y106)</f>
        <v>0</v>
      </c>
      <c r="AV52" s="59"/>
      <c r="AW52" s="59"/>
      <c r="AX52" s="59"/>
    </row>
    <row r="53" spans="2:51" ht="13.75">
      <c r="C53" s="275" t="s">
        <v>437</v>
      </c>
      <c r="D53" s="3"/>
      <c r="E53" s="218">
        <f>(财务基础数据!J278-财务基础数据!J282)*目录!$D$6</f>
        <v>0</v>
      </c>
      <c r="F53" s="218">
        <f>(财务基础数据!K278-财务基础数据!K282)*目录!$D$6</f>
        <v>0</v>
      </c>
      <c r="G53" s="218">
        <f>(财务基础数据!L278-财务基础数据!L282)*目录!$D$6</f>
        <v>0</v>
      </c>
      <c r="H53" s="218">
        <f>(财务基础数据!M278-财务基础数据!M282)*目录!$D$6</f>
        <v>0</v>
      </c>
      <c r="I53" s="218">
        <f>(财务基础数据!N278-财务基础数据!N282)*目录!$D$6</f>
        <v>0</v>
      </c>
      <c r="J53" s="218">
        <f>(财务基础数据!O278-财务基础数据!O282)*目录!$D$6</f>
        <v>0</v>
      </c>
      <c r="K53" s="218">
        <f>(财务基础数据!P278-财务基础数据!P282)*目录!$D$6</f>
        <v>0</v>
      </c>
      <c r="L53" s="218">
        <f>(财务基础数据!Q278-财务基础数据!Q282)*目录!$D$6</f>
        <v>0</v>
      </c>
      <c r="M53" s="218">
        <f>(财务基础数据!R278-财务基础数据!R282)*目录!$D$6</f>
        <v>0</v>
      </c>
      <c r="N53" s="218">
        <f>(财务基础数据!S278-财务基础数据!S282)*目录!$D$6</f>
        <v>0</v>
      </c>
      <c r="O53" s="218">
        <f>(财务基础数据!T278-财务基础数据!T282)*目录!$D$6</f>
        <v>0</v>
      </c>
      <c r="P53" s="218">
        <f>(财务基础数据!U278-财务基础数据!U282)*目录!$D$6</f>
        <v>0</v>
      </c>
      <c r="Q53" s="218">
        <f>(财务基础数据!V278-财务基础数据!V282)*目录!$D$6</f>
        <v>0</v>
      </c>
      <c r="R53" s="218">
        <f>(财务基础数据!W278-财务基础数据!W282)*目录!$D$6</f>
        <v>0</v>
      </c>
      <c r="S53" s="218">
        <f>(财务基础数据!X278-财务基础数据!X282)*目录!$D$6</f>
        <v>0</v>
      </c>
      <c r="T53" s="218">
        <f>(财务基础数据!Y278-财务基础数据!Y282)*目录!$D$6</f>
        <v>0</v>
      </c>
      <c r="U53" s="218">
        <f>(财务基础数据!Z278-财务基础数据!Z282)*目录!$D$6</f>
        <v>0</v>
      </c>
      <c r="V53" s="218">
        <f>(财务基础数据!AA278-财务基础数据!AA282)*目录!$D$6</f>
        <v>0</v>
      </c>
      <c r="W53" s="218">
        <f>(财务基础数据!AB278-财务基础数据!AB282)*目录!$D$6</f>
        <v>0</v>
      </c>
      <c r="X53" s="218">
        <f>(财务基础数据!AC278-财务基础数据!AC282)*目录!$D$6</f>
        <v>0</v>
      </c>
      <c r="Y53" s="218">
        <f>(财务基础数据!AD278-财务基础数据!AD282)*目录!$D$6</f>
        <v>0</v>
      </c>
      <c r="Z53" s="218">
        <f>(财务基础数据!AE278-财务基础数据!AE282)*目录!$D$6</f>
        <v>0</v>
      </c>
      <c r="AA53" s="218">
        <f>(财务基础数据!AF278-财务基础数据!AF282)*目录!$D$6</f>
        <v>0</v>
      </c>
      <c r="AB53" s="218">
        <f>(财务基础数据!AG278-财务基础数据!AG282)*目录!$D$6</f>
        <v>0</v>
      </c>
      <c r="AC53" s="218">
        <f>(财务基础数据!AH278-财务基础数据!AH282)*目录!$D$6</f>
        <v>0</v>
      </c>
      <c r="AD53" s="218">
        <f>(财务基础数据!AI278-财务基础数据!AI282)*目录!$D$6</f>
        <v>0</v>
      </c>
      <c r="AE53" s="218">
        <f>(财务基础数据!AJ278-财务基础数据!AJ282)*目录!$D$6</f>
        <v>0</v>
      </c>
      <c r="AF53" s="218">
        <f>(财务基础数据!AK278-财务基础数据!AK282)*目录!$D$6</f>
        <v>0</v>
      </c>
      <c r="AG53" s="218">
        <f>(财务基础数据!AL278-财务基础数据!AL282)*目录!$D$6</f>
        <v>0</v>
      </c>
      <c r="AH53" s="218">
        <f>(财务基础数据!AM278-财务基础数据!AM282)*目录!$D$6</f>
        <v>0</v>
      </c>
      <c r="AI53" s="218">
        <f>(财务基础数据!AN278-财务基础数据!AN282)*目录!$D$6</f>
        <v>0</v>
      </c>
      <c r="AJ53" s="218">
        <f>(财务基础数据!AO278-财务基础数据!AO282)*目录!$D$6</f>
        <v>0</v>
      </c>
      <c r="AK53" s="218">
        <f>(财务基础数据!AP278-财务基础数据!AP282)*目录!$D$6</f>
        <v>0</v>
      </c>
      <c r="AL53" s="218" t="str">
        <f>IF(ISERROR(AL54+AL55+AL56+AL57+AL58+AL59+AL60),"—",AL54+AL55+AL56+AL57+AL58+AL59+AL60)</f>
        <v>—</v>
      </c>
      <c r="AM53" s="218" t="str">
        <f t="shared" ref="AM53:AU53" si="12">IF(ISERROR(AM54+AM55+AM56+AM57+AM58+AM59+AM60),"—",AM54+AM55+AM56+AM57+AM58+AM59+AM60)</f>
        <v>—</v>
      </c>
      <c r="AN53" s="218" t="str">
        <f t="shared" si="12"/>
        <v>—</v>
      </c>
      <c r="AO53" s="218">
        <f t="shared" si="12"/>
        <v>0</v>
      </c>
      <c r="AP53" s="218">
        <f t="shared" si="12"/>
        <v>0</v>
      </c>
      <c r="AQ53" s="218">
        <f t="shared" si="12"/>
        <v>0</v>
      </c>
      <c r="AR53" s="218">
        <f t="shared" si="12"/>
        <v>0</v>
      </c>
      <c r="AS53" s="218">
        <f t="shared" si="12"/>
        <v>0</v>
      </c>
      <c r="AT53" s="218">
        <f t="shared" si="12"/>
        <v>0</v>
      </c>
      <c r="AU53" s="218">
        <f t="shared" si="12"/>
        <v>0</v>
      </c>
      <c r="AV53" s="218"/>
      <c r="AW53" s="218"/>
      <c r="AX53" s="218"/>
      <c r="AY53" s="218"/>
    </row>
    <row r="54" spans="2:51" ht="13.75">
      <c r="C54" s="275" t="s">
        <v>438</v>
      </c>
      <c r="D54" s="3"/>
      <c r="E54" s="218"/>
      <c r="F54" s="218"/>
      <c r="G54" s="218"/>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486">
        <f>IF(ISERROR(-资产预测!P115-资产预测!P125),"—",-资产预测!P115-资产预测!P125)</f>
        <v>0</v>
      </c>
      <c r="AM54" s="486">
        <f>IF(ISERROR(-资产预测!Q115-资产预测!Q125),"—",-资产预测!Q115-资产预测!Q125)</f>
        <v>0</v>
      </c>
      <c r="AN54" s="486">
        <f>IF(ISERROR(-资产预测!R115-资产预测!R125),"—",-资产预测!R115-资产预测!R125)</f>
        <v>0</v>
      </c>
      <c r="AO54" s="486">
        <f>IF(ISERROR(-资产预测!S115-资产预测!S125),"—",-资产预测!S115-资产预测!S125)</f>
        <v>0</v>
      </c>
      <c r="AP54" s="486">
        <f>IF(ISERROR(-资产预测!T115-资产预测!T125),"—",-资产预测!T115-资产预测!T125)</f>
        <v>0</v>
      </c>
      <c r="AQ54" s="486">
        <f>IF(ISERROR(-资产预测!U115-资产预测!U125),"—",-资产预测!U115-资产预测!U125)</f>
        <v>0</v>
      </c>
      <c r="AR54" s="486">
        <f>IF(ISERROR(-资产预测!V115-资产预测!V125),"—",-资产预测!V115-资产预测!V125)</f>
        <v>0</v>
      </c>
      <c r="AS54" s="486">
        <f>IF(ISERROR(-资产预测!W115-资产预测!W125),"—",-资产预测!W115-资产预测!W125)</f>
        <v>0</v>
      </c>
      <c r="AT54" s="486">
        <f>IF(ISERROR(-资产预测!X115-资产预测!X125),"—",-资产预测!X115-资产预测!X125)</f>
        <v>0</v>
      </c>
      <c r="AU54" s="486">
        <f>IF(ISERROR(-资产预测!Y115-资产预测!Y125),"—",-资产预测!Y115-资产预测!Y125)</f>
        <v>0</v>
      </c>
      <c r="AV54" s="59"/>
      <c r="AW54" s="59"/>
      <c r="AX54" s="59"/>
    </row>
    <row r="55" spans="2:51" ht="13.75">
      <c r="C55" s="99" t="s">
        <v>439</v>
      </c>
      <c r="D55" s="3"/>
      <c r="E55" s="218"/>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486">
        <f>IF(ISERROR(-资产预测!P132),"—",-资产预测!P132)</f>
        <v>0</v>
      </c>
      <c r="AM55" s="486">
        <f>IF(ISERROR(-资产预测!Q132),"—",-资产预测!Q132)</f>
        <v>0</v>
      </c>
      <c r="AN55" s="486">
        <f>IF(ISERROR(-资产预测!R132),"—",-资产预测!R132)</f>
        <v>0</v>
      </c>
      <c r="AO55" s="486">
        <f>IF(ISERROR(-资产预测!S132),"—",-资产预测!S132)</f>
        <v>0</v>
      </c>
      <c r="AP55" s="486">
        <f>IF(ISERROR(-资产预测!T132),"—",-资产预测!T132)</f>
        <v>0</v>
      </c>
      <c r="AQ55" s="486">
        <f>IF(ISERROR(-资产预测!U132),"—",-资产预测!U132)</f>
        <v>0</v>
      </c>
      <c r="AR55" s="486">
        <f>IF(ISERROR(-资产预测!V132),"—",-资产预测!V132)</f>
        <v>0</v>
      </c>
      <c r="AS55" s="486">
        <f>IF(ISERROR(-资产预测!W132),"—",-资产预测!W132)</f>
        <v>0</v>
      </c>
      <c r="AT55" s="486">
        <f>IF(ISERROR(-资产预测!X132),"—",-资产预测!X132)</f>
        <v>0</v>
      </c>
      <c r="AU55" s="486">
        <f>IF(ISERROR(-资产预测!Y132),"—",-资产预测!Y132)</f>
        <v>0</v>
      </c>
      <c r="AV55" s="59"/>
      <c r="AW55" s="59"/>
      <c r="AX55" s="59"/>
    </row>
    <row r="56" spans="2:51" ht="14.15">
      <c r="C56" s="99" t="s">
        <v>1216</v>
      </c>
      <c r="D56" s="3"/>
      <c r="E56" s="218"/>
      <c r="F56" s="218"/>
      <c r="G56" s="218"/>
      <c r="H56" s="218"/>
      <c r="I56" s="218"/>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486">
        <f>IF(ISERROR(资产负债表!AG33+资产负债表!AG34-资产负债表!AL33-资产负债表!AL34),"—",资产负债表!AG33+资产负债表!AG34-资产负债表!AL33-资产负债表!AL34)</f>
        <v>0</v>
      </c>
      <c r="AM56" s="224">
        <f>IF(ISERROR(资产负债表!AL33+资产负债表!AL34-资产负债表!AM33-资产负债表!AM34),"—",资产负债表!AL33+资产负债表!AL34-资产负债表!AM33-资产负债表!AM34)</f>
        <v>0</v>
      </c>
      <c r="AN56" s="224">
        <f>IF(ISERROR(资产负债表!AM33+资产负债表!AM34-资产负债表!AN33-资产负债表!AN34),"—",资产负债表!AM33+资产负债表!AM34-资产负债表!AN33-资产负债表!AN34)</f>
        <v>0</v>
      </c>
      <c r="AO56" s="224">
        <f>IF(ISERROR(资产负债表!AN33+资产负债表!AN34-资产负债表!AO33-资产负债表!AO34),"—",资产负债表!AN33+资产负债表!AN34-资产负债表!AO33-资产负债表!AO34)</f>
        <v>0</v>
      </c>
      <c r="AP56" s="224">
        <f>IF(ISERROR(资产负债表!AO33+资产负债表!AO34-资产负债表!AP33-资产负债表!AP34),"—",资产负债表!AO33+资产负债表!AO34-资产负债表!AP33-资产负债表!AP34)</f>
        <v>0</v>
      </c>
      <c r="AQ56" s="224">
        <f>IF(ISERROR(资产负债表!AP33+资产负债表!AP34-资产负债表!AQ33-资产负债表!AQ34),"—",资产负债表!AP33+资产负债表!AP34-资产负债表!AQ33-资产负债表!AQ34)</f>
        <v>0</v>
      </c>
      <c r="AR56" s="224">
        <f>IF(ISERROR(资产负债表!AQ33+资产负债表!AQ34-资产负债表!AR33-资产负债表!AR34),"—",资产负债表!AQ33+资产负债表!AQ34-资产负债表!AR33-资产负债表!AR34)</f>
        <v>0</v>
      </c>
      <c r="AS56" s="224">
        <f>IF(ISERROR(资产负债表!AR33+资产负债表!AR34-资产负债表!AS33-资产负债表!AS34),"—",资产负债表!AR33+资产负债表!AR34-资产负债表!AS33-资产负债表!AS34)</f>
        <v>0</v>
      </c>
      <c r="AT56" s="224">
        <f>IF(ISERROR(资产负债表!AS33+资产负债表!AS34-资产负债表!AT33-资产负债表!AT34),"—",资产负债表!AS33+资产负债表!AS34-资产负债表!AT33-资产负债表!AT34)</f>
        <v>0</v>
      </c>
      <c r="AU56" s="224">
        <f>IF(ISERROR(资产负债表!AT33+资产负债表!AT34-资产负债表!AU33-资产负债表!AU34),"—",资产负债表!AT33+资产负债表!AT34-资产负债表!AU33-资产负债表!AU34)</f>
        <v>0</v>
      </c>
      <c r="AV56" s="59"/>
      <c r="AW56" s="59"/>
      <c r="AX56" s="59"/>
    </row>
    <row r="57" spans="2:51" ht="14.15">
      <c r="C57" s="99" t="s">
        <v>693</v>
      </c>
      <c r="D57" s="3"/>
      <c r="E57" s="218"/>
      <c r="F57" s="218"/>
      <c r="G57" s="218"/>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24">
        <f>IF(ISERROR(-资产预测!P140),"—",-资产预测!P140)</f>
        <v>0</v>
      </c>
      <c r="AM57" s="224">
        <f>IF(ISERROR(-资产预测!Q140),"—",-资产预测!Q140)</f>
        <v>0</v>
      </c>
      <c r="AN57" s="224">
        <f>IF(ISERROR(-资产预测!R140),"—",-资产预测!R140)</f>
        <v>0</v>
      </c>
      <c r="AO57" s="224">
        <f>IF(ISERROR(-资产预测!S140),"—",-资产预测!S140)</f>
        <v>0</v>
      </c>
      <c r="AP57" s="224">
        <f>IF(ISERROR(-资产预测!T140),"—",-资产预测!T140)</f>
        <v>0</v>
      </c>
      <c r="AQ57" s="224">
        <f>IF(ISERROR(-资产预测!U140),"—",-资产预测!U140)</f>
        <v>0</v>
      </c>
      <c r="AR57" s="224">
        <f>IF(ISERROR(-资产预测!V140),"—",-资产预测!V140)</f>
        <v>0</v>
      </c>
      <c r="AS57" s="224">
        <f>IF(ISERROR(-资产预测!W140),"—",-资产预测!W140)</f>
        <v>0</v>
      </c>
      <c r="AT57" s="224">
        <f>IF(ISERROR(-资产预测!X140),"—",-资产预测!X140)</f>
        <v>0</v>
      </c>
      <c r="AU57" s="224">
        <f>IF(ISERROR(-资产预测!Y140),"—",-资产预测!Y140)</f>
        <v>0</v>
      </c>
      <c r="AV57" s="59"/>
      <c r="AW57" s="59"/>
      <c r="AX57" s="59"/>
    </row>
    <row r="58" spans="2:51" ht="13.75">
      <c r="C58" s="99" t="s">
        <v>440</v>
      </c>
      <c r="D58" s="3"/>
      <c r="E58" s="218"/>
      <c r="F58" s="218"/>
      <c r="G58" s="218"/>
      <c r="H58" s="218"/>
      <c r="I58" s="218"/>
      <c r="J58" s="218"/>
      <c r="K58" s="218"/>
      <c r="L58" s="218"/>
      <c r="M58" s="218"/>
      <c r="N58" s="218"/>
      <c r="O58" s="218"/>
      <c r="P58" s="218"/>
      <c r="Q58" s="218"/>
      <c r="R58" s="218"/>
      <c r="S58" s="218"/>
      <c r="T58" s="218"/>
      <c r="U58" s="218"/>
      <c r="V58" s="218"/>
      <c r="W58" s="218"/>
      <c r="X58" s="218"/>
      <c r="Y58" s="218"/>
      <c r="Z58" s="218"/>
      <c r="AA58" s="218"/>
      <c r="AB58" s="218"/>
      <c r="AC58" s="218"/>
      <c r="AD58" s="218"/>
      <c r="AE58" s="218"/>
      <c r="AF58" s="218"/>
      <c r="AG58" s="218"/>
      <c r="AH58" s="218"/>
      <c r="AI58" s="218"/>
      <c r="AJ58" s="218"/>
      <c r="AK58" s="218"/>
      <c r="AL58" s="224">
        <f>IF(ISERROR(资产负债表!AG37-资产负债表!AL37),"—",资产负债表!AG37-资产负债表!AL37)</f>
        <v>0</v>
      </c>
      <c r="AM58" s="224">
        <f>IF(ISERROR(资产负债表!AL37-资产负债表!AM37),"—",资产负债表!AL37-资产负债表!AM37)</f>
        <v>0</v>
      </c>
      <c r="AN58" s="224">
        <f>IF(ISERROR(资产负债表!AM37-资产负债表!AN37),"—",资产负债表!AM37-资产负债表!AN37)</f>
        <v>0</v>
      </c>
      <c r="AO58" s="224">
        <f>IF(ISERROR(资产负债表!AN37-资产负债表!AO37),"—",资产负债表!AN37-资产负债表!AO37)</f>
        <v>0</v>
      </c>
      <c r="AP58" s="224">
        <f>IF(ISERROR(资产负债表!AO37-资产负债表!AP37),"—",资产负债表!AO37-资产负债表!AP37)</f>
        <v>0</v>
      </c>
      <c r="AQ58" s="224">
        <f>IF(ISERROR(资产负债表!AP37-资产负债表!AQ37),"—",资产负债表!AP37-资产负债表!AQ37)</f>
        <v>0</v>
      </c>
      <c r="AR58" s="224">
        <f>IF(ISERROR(资产负债表!AQ37-资产负债表!AR37),"—",资产负债表!AQ37-资产负债表!AR37)</f>
        <v>0</v>
      </c>
      <c r="AS58" s="224">
        <f>IF(ISERROR(资产负债表!AR37-资产负债表!AS37),"—",资产负债表!AR37-资产负债表!AS37)</f>
        <v>0</v>
      </c>
      <c r="AT58" s="224">
        <f>IF(ISERROR(资产负债表!AS37-资产负债表!AT37),"—",资产负债表!AS37-资产负债表!AT37)</f>
        <v>0</v>
      </c>
      <c r="AU58" s="224">
        <f>IF(ISERROR(资产负债表!AT37-资产负债表!AU37),"—",资产负债表!AT37-资产负债表!AU37)</f>
        <v>0</v>
      </c>
      <c r="AV58" s="59"/>
      <c r="AW58" s="59"/>
      <c r="AX58" s="59"/>
    </row>
    <row r="59" spans="2:51" ht="13.75">
      <c r="C59" s="99" t="s">
        <v>441</v>
      </c>
      <c r="D59" s="3"/>
      <c r="E59" s="218">
        <f>(财务基础数据!J151-财务基础数据!F151)*目录!$D$6</f>
        <v>0</v>
      </c>
      <c r="F59" s="218">
        <f>(财务基础数据!K151-财务基础数据!G151)*目录!$D$6</f>
        <v>0</v>
      </c>
      <c r="G59" s="218">
        <f>(财务基础数据!L151-财务基础数据!H151)*目录!$D$6</f>
        <v>0</v>
      </c>
      <c r="H59" s="218">
        <f>(财务基础数据!M151-财务基础数据!I151)*目录!$D$6</f>
        <v>0</v>
      </c>
      <c r="I59" s="218">
        <f>(财务基础数据!N151-财务基础数据!J151)*目录!$D$6</f>
        <v>0</v>
      </c>
      <c r="J59" s="218">
        <f>(财务基础数据!O151-财务基础数据!K151)*目录!$D$6</f>
        <v>0</v>
      </c>
      <c r="K59" s="218">
        <f>(财务基础数据!P151-财务基础数据!L151)*目录!$D$6</f>
        <v>0</v>
      </c>
      <c r="L59" s="218">
        <f>(财务基础数据!Q151-财务基础数据!M151)*目录!$D$6</f>
        <v>0</v>
      </c>
      <c r="M59" s="218">
        <f>(财务基础数据!R151-财务基础数据!N151)*目录!$D$6</f>
        <v>0</v>
      </c>
      <c r="N59" s="218">
        <f>(财务基础数据!S151-财务基础数据!O151)*目录!$D$6</f>
        <v>0</v>
      </c>
      <c r="O59" s="218">
        <f>(财务基础数据!T151-财务基础数据!P151)*目录!$D$6</f>
        <v>0</v>
      </c>
      <c r="P59" s="218">
        <f>(财务基础数据!U151-财务基础数据!Q151)*目录!$D$6</f>
        <v>0</v>
      </c>
      <c r="Q59" s="218">
        <f>(财务基础数据!V151-财务基础数据!R151)*目录!$D$6</f>
        <v>0</v>
      </c>
      <c r="R59" s="218">
        <f>(财务基础数据!W151-财务基础数据!S151)*目录!$D$6</f>
        <v>0</v>
      </c>
      <c r="S59" s="218">
        <f>(财务基础数据!X151-财务基础数据!T151)*目录!$D$6</f>
        <v>0</v>
      </c>
      <c r="T59" s="218">
        <f>(财务基础数据!Y151-财务基础数据!U151)*目录!$D$6</f>
        <v>0</v>
      </c>
      <c r="U59" s="218">
        <f>(财务基础数据!Z151-财务基础数据!V151)*目录!$D$6</f>
        <v>0</v>
      </c>
      <c r="V59" s="218">
        <f>(财务基础数据!AA151-财务基础数据!W151)*目录!$D$6</f>
        <v>0</v>
      </c>
      <c r="W59" s="218">
        <f>(财务基础数据!AB151-财务基础数据!X151)*目录!$D$6</f>
        <v>0</v>
      </c>
      <c r="X59" s="218">
        <f>(财务基础数据!AC151-财务基础数据!Y151)*目录!$D$6</f>
        <v>0</v>
      </c>
      <c r="Y59" s="218">
        <f>(财务基础数据!AD151-财务基础数据!Z151)*目录!$D$6</f>
        <v>0</v>
      </c>
      <c r="Z59" s="218">
        <f>(财务基础数据!AE151-财务基础数据!AA151)*目录!$D$6</f>
        <v>0</v>
      </c>
      <c r="AA59" s="218">
        <f>(财务基础数据!AF151-财务基础数据!AB151)*目录!$D$6</f>
        <v>0</v>
      </c>
      <c r="AB59" s="218">
        <f>(财务基础数据!AG151-财务基础数据!AC151)*目录!$D$6</f>
        <v>0</v>
      </c>
      <c r="AC59" s="218">
        <f>(财务基础数据!AH151-财务基础数据!AD151)*目录!$D$6</f>
        <v>0</v>
      </c>
      <c r="AD59" s="218">
        <f>(财务基础数据!AI151-财务基础数据!AE151)*目录!$D$6</f>
        <v>0</v>
      </c>
      <c r="AE59" s="218">
        <f>(财务基础数据!AJ151-财务基础数据!AF151)*目录!$D$6</f>
        <v>0</v>
      </c>
      <c r="AF59" s="218">
        <f>(财务基础数据!AK151-财务基础数据!AG151)*目录!$D$6</f>
        <v>0</v>
      </c>
      <c r="AG59" s="218">
        <f>(财务基础数据!AL151-财务基础数据!AH151)*目录!$D$6</f>
        <v>0</v>
      </c>
      <c r="AH59" s="218">
        <f>(财务基础数据!AM151-财务基础数据!AI151)*目录!$D$6</f>
        <v>0</v>
      </c>
      <c r="AI59" s="218">
        <f>(财务基础数据!AN151-财务基础数据!AJ151)*目录!$D$6</f>
        <v>0</v>
      </c>
      <c r="AJ59" s="218">
        <f>(财务基础数据!AO151-财务基础数据!AK151)*目录!$D$6</f>
        <v>0</v>
      </c>
      <c r="AK59" s="218">
        <f>(财务基础数据!AP151-财务基础数据!AL151)*目录!$D$6</f>
        <v>0</v>
      </c>
      <c r="AL59" s="218">
        <f>IF(ISERROR(-资产预测!P156),"—",-资产预测!P156)</f>
        <v>0</v>
      </c>
      <c r="AM59" s="218">
        <f>IF(ISERROR(-资产预测!Q156),"—",-资产预测!Q156)</f>
        <v>0</v>
      </c>
      <c r="AN59" s="218">
        <f>IF(ISERROR(-资产预测!R156),"—",-资产预测!R156)</f>
        <v>0</v>
      </c>
      <c r="AO59" s="218">
        <f>IF(ISERROR(-资产预测!S156),"—",-资产预测!S156)</f>
        <v>0</v>
      </c>
      <c r="AP59" s="218">
        <f>IF(ISERROR(-资产预测!T156),"—",-资产预测!T156)</f>
        <v>0</v>
      </c>
      <c r="AQ59" s="218">
        <f>IF(ISERROR(-资产预测!U156),"—",-资产预测!U156)</f>
        <v>0</v>
      </c>
      <c r="AR59" s="218">
        <f>IF(ISERROR(-资产预测!V156),"—",-资产预测!V156)</f>
        <v>0</v>
      </c>
      <c r="AS59" s="218">
        <f>IF(ISERROR(-资产预测!W156),"—",-资产预测!W156)</f>
        <v>0</v>
      </c>
      <c r="AT59" s="218">
        <f>IF(ISERROR(-资产预测!X156),"—",-资产预测!X156)</f>
        <v>0</v>
      </c>
      <c r="AU59" s="218">
        <f>IF(ISERROR(-资产预测!Y156),"—",-资产预测!Y156)</f>
        <v>0</v>
      </c>
      <c r="AV59" s="59"/>
      <c r="AW59" s="59"/>
      <c r="AX59" s="59"/>
    </row>
    <row r="60" spans="2:51" ht="13.75">
      <c r="C60" s="99" t="s">
        <v>442</v>
      </c>
      <c r="D60" s="3"/>
      <c r="E60" s="218"/>
      <c r="F60" s="218"/>
      <c r="G60" s="218"/>
      <c r="H60" s="218"/>
      <c r="I60" s="218"/>
      <c r="J60" s="218"/>
      <c r="K60" s="218"/>
      <c r="L60" s="218"/>
      <c r="M60" s="218"/>
      <c r="N60" s="218"/>
      <c r="O60" s="218"/>
      <c r="P60" s="218"/>
      <c r="Q60" s="218"/>
      <c r="R60" s="218"/>
      <c r="S60" s="218"/>
      <c r="T60" s="218"/>
      <c r="U60" s="218"/>
      <c r="V60" s="218"/>
      <c r="W60" s="218"/>
      <c r="X60" s="218"/>
      <c r="Y60" s="218"/>
      <c r="Z60" s="218"/>
      <c r="AA60" s="218"/>
      <c r="AB60" s="218"/>
      <c r="AC60" s="218"/>
      <c r="AD60" s="218"/>
      <c r="AE60" s="218"/>
      <c r="AF60" s="218"/>
      <c r="AG60" s="218"/>
      <c r="AH60" s="218"/>
      <c r="AI60" s="218"/>
      <c r="AJ60" s="218"/>
      <c r="AK60" s="218"/>
      <c r="AL60" s="486" t="str">
        <f>IF(ISERROR(利润表!AL61+利润表!AL71),"—",利润表!AL61+利润表!AL71)</f>
        <v>—</v>
      </c>
      <c r="AM60" s="218" t="str">
        <f>IF(ISERROR(利润表!AM61+利润表!AM71),"—",利润表!AM61+利润表!AM71)</f>
        <v>—</v>
      </c>
      <c r="AN60" s="218" t="str">
        <f>IF(ISERROR(利润表!AN61+利润表!AN71),"—",利润表!AN61+利润表!AN71)</f>
        <v>—</v>
      </c>
      <c r="AO60" s="218">
        <f>IF(ISERROR(利润表!AO61+利润表!AO71),"—",利润表!AO61+利润表!AO71)</f>
        <v>0</v>
      </c>
      <c r="AP60" s="218">
        <f>IF(ISERROR(利润表!AP61+利润表!AP71),"—",利润表!AP61+利润表!AP71)</f>
        <v>0</v>
      </c>
      <c r="AQ60" s="218">
        <f>IF(ISERROR(利润表!AQ61+利润表!AQ71),"—",利润表!AQ61+利润表!AQ71)</f>
        <v>0</v>
      </c>
      <c r="AR60" s="218">
        <f>IF(ISERROR(利润表!AR61+利润表!AR71),"—",利润表!AR61+利润表!AR71)</f>
        <v>0</v>
      </c>
      <c r="AS60" s="218">
        <f>IF(ISERROR(利润表!AS61+利润表!AS71),"—",利润表!AS61+利润表!AS71)</f>
        <v>0</v>
      </c>
      <c r="AT60" s="218">
        <f>IF(ISERROR(利润表!AT61+利润表!AT71),"—",利润表!AT61+利润表!AT71)</f>
        <v>0</v>
      </c>
      <c r="AU60" s="218">
        <f>IF(ISERROR(利润表!AU61+利润表!AU71),"—",利润表!AU61+利润表!AU71)</f>
        <v>0</v>
      </c>
      <c r="AV60" s="59"/>
      <c r="AW60" s="59"/>
      <c r="AX60" s="59"/>
    </row>
    <row r="61" spans="2:51" ht="13.75">
      <c r="C61" s="654" t="s">
        <v>1210</v>
      </c>
      <c r="D61" s="42"/>
      <c r="E61" s="218">
        <f>(财务基础数据!J275+财务基础数据!J276+财务基础数据!J277+财务基础数据!J280-财务基础数据!J287)*目录!$D$6</f>
        <v>0</v>
      </c>
      <c r="F61" s="218">
        <f>(财务基础数据!K275+财务基础数据!K276+财务基础数据!K277+财务基础数据!K280-财务基础数据!K287)*目录!$D$6</f>
        <v>0</v>
      </c>
      <c r="G61" s="218">
        <f>(财务基础数据!L275+财务基础数据!L276+财务基础数据!L277+财务基础数据!L280-财务基础数据!L287)*目录!$D$6</f>
        <v>0</v>
      </c>
      <c r="H61" s="218">
        <f>(财务基础数据!M275+财务基础数据!M276+财务基础数据!M277+财务基础数据!M280-财务基础数据!M287)*目录!$D$6</f>
        <v>0</v>
      </c>
      <c r="I61" s="218">
        <f>(财务基础数据!N275+财务基础数据!N276+财务基础数据!N277+财务基础数据!N280-财务基础数据!N287)*目录!$D$6</f>
        <v>0</v>
      </c>
      <c r="J61" s="218">
        <f>(财务基础数据!O275+财务基础数据!O276+财务基础数据!O277+财务基础数据!O280-财务基础数据!O287)*目录!$D$6</f>
        <v>0</v>
      </c>
      <c r="K61" s="218">
        <f>(财务基础数据!P275+财务基础数据!P276+财务基础数据!P277+财务基础数据!P280-财务基础数据!P287)*目录!$D$6</f>
        <v>0</v>
      </c>
      <c r="L61" s="218">
        <f>(财务基础数据!Q275+财务基础数据!Q276+财务基础数据!Q277+财务基础数据!Q280-财务基础数据!Q287)*目录!$D$6</f>
        <v>0</v>
      </c>
      <c r="M61" s="218">
        <f>(财务基础数据!R275+财务基础数据!R276+财务基础数据!R277+财务基础数据!R280-财务基础数据!R287)*目录!$D$6</f>
        <v>0</v>
      </c>
      <c r="N61" s="218">
        <f>(财务基础数据!S275+财务基础数据!S276+财务基础数据!S277+财务基础数据!S280-财务基础数据!S287)*目录!$D$6</f>
        <v>0</v>
      </c>
      <c r="O61" s="218">
        <f>(财务基础数据!T275+财务基础数据!T276+财务基础数据!T277+财务基础数据!T280-财务基础数据!T287)*目录!$D$6</f>
        <v>0</v>
      </c>
      <c r="P61" s="218">
        <f>(财务基础数据!U275+财务基础数据!U276+财务基础数据!U277+财务基础数据!U280-财务基础数据!U287)*目录!$D$6</f>
        <v>0</v>
      </c>
      <c r="Q61" s="218">
        <f>(财务基础数据!V275+财务基础数据!V276+财务基础数据!V277+财务基础数据!V280-财务基础数据!V287)*目录!$D$6</f>
        <v>0</v>
      </c>
      <c r="R61" s="218">
        <f>(财务基础数据!W275+财务基础数据!W276+财务基础数据!W277+财务基础数据!W280-财务基础数据!W287)*目录!$D$6</f>
        <v>0</v>
      </c>
      <c r="S61" s="218">
        <f>(财务基础数据!X275+财务基础数据!X276+财务基础数据!X277+财务基础数据!X280-财务基础数据!X287)*目录!$D$6</f>
        <v>0</v>
      </c>
      <c r="T61" s="218">
        <f>(财务基础数据!Y275+财务基础数据!Y276+财务基础数据!Y277+财务基础数据!Y280-财务基础数据!Y287)*目录!$D$6</f>
        <v>0</v>
      </c>
      <c r="U61" s="218">
        <f>(财务基础数据!Z275+财务基础数据!Z276+财务基础数据!Z277+财务基础数据!Z280-财务基础数据!Z287)*目录!$D$6</f>
        <v>0</v>
      </c>
      <c r="V61" s="218">
        <f>(财务基础数据!AA275+财务基础数据!AA276+财务基础数据!AA277+财务基础数据!AA280-财务基础数据!AA287)*目录!$D$6</f>
        <v>0</v>
      </c>
      <c r="W61" s="218">
        <f>(财务基础数据!AB275+财务基础数据!AB276+财务基础数据!AB277+财务基础数据!AB280-财务基础数据!AB287)*目录!$D$6</f>
        <v>0</v>
      </c>
      <c r="X61" s="218">
        <f>(财务基础数据!AC275+财务基础数据!AC276+财务基础数据!AC277+财务基础数据!AC280-财务基础数据!AC287)*目录!$D$6</f>
        <v>0</v>
      </c>
      <c r="Y61" s="218">
        <f>(财务基础数据!AD275+财务基础数据!AD276+财务基础数据!AD277+财务基础数据!AD280-财务基础数据!AD287)*目录!$D$6</f>
        <v>0</v>
      </c>
      <c r="Z61" s="218">
        <f>(财务基础数据!AE275+财务基础数据!AE276+财务基础数据!AE277+财务基础数据!AE280-财务基础数据!AE287)*目录!$D$6</f>
        <v>0</v>
      </c>
      <c r="AA61" s="218">
        <f>(财务基础数据!AF275+财务基础数据!AF276+财务基础数据!AF277+财务基础数据!AF280-财务基础数据!AF287)*目录!$D$6</f>
        <v>0</v>
      </c>
      <c r="AB61" s="218">
        <f>(财务基础数据!AG275+财务基础数据!AG276+财务基础数据!AG277+财务基础数据!AG280-财务基础数据!AG287)*目录!$D$6</f>
        <v>0</v>
      </c>
      <c r="AC61" s="218">
        <f>(财务基础数据!AH275+财务基础数据!AH276+财务基础数据!AH277+财务基础数据!AH280-财务基础数据!AH287)*目录!$D$6</f>
        <v>0</v>
      </c>
      <c r="AD61" s="218">
        <f>(财务基础数据!AI275+财务基础数据!AI276+财务基础数据!AI277+财务基础数据!AI280-财务基础数据!AI287)*目录!$D$6</f>
        <v>0</v>
      </c>
      <c r="AE61" s="218">
        <f>(财务基础数据!AJ275+财务基础数据!AJ276+财务基础数据!AJ277+财务基础数据!AJ280-财务基础数据!AJ287)*目录!$D$6</f>
        <v>0</v>
      </c>
      <c r="AF61" s="218">
        <f>(财务基础数据!AK275+财务基础数据!AK276+财务基础数据!AK277+财务基础数据!AK280-财务基础数据!AK287)*目录!$D$6</f>
        <v>0</v>
      </c>
      <c r="AG61" s="218">
        <f>(财务基础数据!AL275+财务基础数据!AL276+财务基础数据!AL277+财务基础数据!AL280-财务基础数据!AL287)*目录!$D$6</f>
        <v>0</v>
      </c>
      <c r="AH61" s="218">
        <f>(财务基础数据!AM275+财务基础数据!AM276+财务基础数据!AM277+财务基础数据!AM280-财务基础数据!AM287)*目录!$D$6</f>
        <v>0</v>
      </c>
      <c r="AI61" s="218">
        <f>(财务基础数据!AN275+财务基础数据!AN276+财务基础数据!AN277+财务基础数据!AN280-财务基础数据!AN287)*目录!$D$6</f>
        <v>0</v>
      </c>
      <c r="AJ61" s="218">
        <f>(财务基础数据!AO275+财务基础数据!AO276+财务基础数据!AO277+财务基础数据!AO280-财务基础数据!AO287)*目录!$D$6</f>
        <v>0</v>
      </c>
      <c r="AK61" s="218">
        <f>(财务基础数据!AP275+财务基础数据!AP276+财务基础数据!AP277+财务基础数据!AP280-财务基础数据!AP287)*目录!$D$6</f>
        <v>0</v>
      </c>
      <c r="AL61" s="224" t="str">
        <f t="shared" ref="AL61:AU61" si="13">IF(ISERROR(AL62),"—",AL62)</f>
        <v>—</v>
      </c>
      <c r="AM61" s="224" t="str">
        <f t="shared" si="13"/>
        <v>—</v>
      </c>
      <c r="AN61" s="224" t="str">
        <f t="shared" si="13"/>
        <v>—</v>
      </c>
      <c r="AO61" s="224">
        <f t="shared" si="13"/>
        <v>0</v>
      </c>
      <c r="AP61" s="224">
        <f t="shared" si="13"/>
        <v>0</v>
      </c>
      <c r="AQ61" s="224">
        <f t="shared" si="13"/>
        <v>0</v>
      </c>
      <c r="AR61" s="224">
        <f t="shared" si="13"/>
        <v>0</v>
      </c>
      <c r="AS61" s="224">
        <f t="shared" si="13"/>
        <v>0</v>
      </c>
      <c r="AT61" s="224">
        <f t="shared" si="13"/>
        <v>0</v>
      </c>
      <c r="AU61" s="224">
        <f t="shared" si="13"/>
        <v>0</v>
      </c>
      <c r="AV61" s="59"/>
      <c r="AW61" s="59"/>
      <c r="AX61" s="59"/>
    </row>
    <row r="62" spans="2:51" ht="13.75">
      <c r="C62" s="99" t="s">
        <v>443</v>
      </c>
      <c r="D62" s="2"/>
      <c r="E62" s="218">
        <f>财务基础数据!J277*目录!$D$6</f>
        <v>0</v>
      </c>
      <c r="F62" s="218">
        <f>财务基础数据!K277*目录!$D$6</f>
        <v>0</v>
      </c>
      <c r="G62" s="218">
        <f>财务基础数据!L277*目录!$D$6</f>
        <v>0</v>
      </c>
      <c r="H62" s="218">
        <f>财务基础数据!M277*目录!$D$6</f>
        <v>0</v>
      </c>
      <c r="I62" s="218">
        <f>财务基础数据!N277*目录!$D$6</f>
        <v>0</v>
      </c>
      <c r="J62" s="218">
        <f>财务基础数据!O277*目录!$D$6</f>
        <v>0</v>
      </c>
      <c r="K62" s="218">
        <f>财务基础数据!P277*目录!$D$6</f>
        <v>0</v>
      </c>
      <c r="L62" s="218">
        <f>财务基础数据!Q277*目录!$D$6</f>
        <v>0</v>
      </c>
      <c r="M62" s="218">
        <f>财务基础数据!R277*目录!$D$6</f>
        <v>0</v>
      </c>
      <c r="N62" s="218">
        <f>财务基础数据!S277*目录!$D$6</f>
        <v>0</v>
      </c>
      <c r="O62" s="218">
        <f>财务基础数据!T277*目录!$D$6</f>
        <v>0</v>
      </c>
      <c r="P62" s="218">
        <f>财务基础数据!U277*目录!$D$6</f>
        <v>0</v>
      </c>
      <c r="Q62" s="218">
        <f>财务基础数据!V277*目录!$D$6</f>
        <v>0</v>
      </c>
      <c r="R62" s="218">
        <f>财务基础数据!W277*目录!$D$6</f>
        <v>0</v>
      </c>
      <c r="S62" s="218">
        <f>财务基础数据!X277*目录!$D$6</f>
        <v>0</v>
      </c>
      <c r="T62" s="218">
        <f>财务基础数据!Y277*目录!$D$6</f>
        <v>0</v>
      </c>
      <c r="U62" s="218">
        <f>财务基础数据!Z277*目录!$D$6</f>
        <v>0</v>
      </c>
      <c r="V62" s="218">
        <f>财务基础数据!AA277*目录!$D$6</f>
        <v>0</v>
      </c>
      <c r="W62" s="218">
        <f>财务基础数据!AB277*目录!$D$6</f>
        <v>0</v>
      </c>
      <c r="X62" s="218">
        <f>财务基础数据!AC277*目录!$D$6</f>
        <v>0</v>
      </c>
      <c r="Y62" s="218">
        <f>财务基础数据!AD277*目录!$D$6</f>
        <v>0</v>
      </c>
      <c r="Z62" s="218">
        <f>财务基础数据!AE277*目录!$D$6</f>
        <v>0</v>
      </c>
      <c r="AA62" s="218">
        <f>财务基础数据!AF277*目录!$D$6</f>
        <v>0</v>
      </c>
      <c r="AB62" s="218">
        <f>财务基础数据!AG277*目录!$D$6</f>
        <v>0</v>
      </c>
      <c r="AC62" s="218">
        <f>财务基础数据!AH277*目录!$D$6</f>
        <v>0</v>
      </c>
      <c r="AD62" s="218">
        <f>财务基础数据!AI277*目录!$D$6</f>
        <v>0</v>
      </c>
      <c r="AE62" s="218">
        <f>财务基础数据!AJ277*目录!$D$6</f>
        <v>0</v>
      </c>
      <c r="AF62" s="218">
        <f>财务基础数据!AK277*目录!$D$6</f>
        <v>0</v>
      </c>
      <c r="AG62" s="218">
        <f>财务基础数据!AL277*目录!$D$6</f>
        <v>0</v>
      </c>
      <c r="AH62" s="218">
        <f>财务基础数据!AM277*目录!$D$6</f>
        <v>0</v>
      </c>
      <c r="AI62" s="218">
        <f>财务基础数据!AN277*目录!$D$6</f>
        <v>0</v>
      </c>
      <c r="AJ62" s="218">
        <f>财务基础数据!AO277*目录!$D$6</f>
        <v>0</v>
      </c>
      <c r="AK62" s="218">
        <f>财务基础数据!AP277*目录!$D$6</f>
        <v>0</v>
      </c>
      <c r="AL62" s="224" t="str">
        <f>IF(ISERROR(利润表!AL44),"—",利润表!AL44)</f>
        <v>—</v>
      </c>
      <c r="AM62" s="224" t="str">
        <f>IF(ISERROR(利润表!AM44),"—",利润表!AM44)</f>
        <v>—</v>
      </c>
      <c r="AN62" s="224" t="str">
        <f>IF(ISERROR(利润表!AN44),"—",利润表!AN44)</f>
        <v>—</v>
      </c>
      <c r="AO62" s="224">
        <f>IF(ISERROR(利润表!AO44),"—",利润表!AO44)</f>
        <v>0</v>
      </c>
      <c r="AP62" s="218">
        <f>IF(ISERROR(利润表!AP44),"0",利润表!AP44)</f>
        <v>0</v>
      </c>
      <c r="AQ62" s="218">
        <f>IF(ISERROR(利润表!AQ44),"0",利润表!AQ44)</f>
        <v>0</v>
      </c>
      <c r="AR62" s="218">
        <f>IF(ISERROR(利润表!AR44),"0",利润表!AR44)</f>
        <v>0</v>
      </c>
      <c r="AS62" s="218">
        <f>IF(ISERROR(利润表!AS44),"0",利润表!AS44)</f>
        <v>0</v>
      </c>
      <c r="AT62" s="218">
        <f>IF(ISERROR(利润表!AT44),"0",利润表!AT44)</f>
        <v>0</v>
      </c>
      <c r="AU62" s="218">
        <f>IF(ISERROR(利润表!AU44),"0",利润表!AU44)</f>
        <v>0</v>
      </c>
      <c r="AV62" s="59"/>
      <c r="AW62" s="59"/>
      <c r="AX62" s="59"/>
    </row>
    <row r="63" spans="2:51" s="260" customFormat="1" ht="13.75">
      <c r="B63" s="262"/>
      <c r="C63" s="656" t="s">
        <v>1211</v>
      </c>
      <c r="D63" s="325"/>
      <c r="E63" s="486"/>
      <c r="F63" s="486"/>
      <c r="G63" s="486"/>
      <c r="H63" s="486"/>
      <c r="I63" s="486"/>
      <c r="J63" s="486"/>
      <c r="K63" s="486"/>
      <c r="L63" s="486"/>
      <c r="M63" s="486"/>
      <c r="N63" s="486"/>
      <c r="O63" s="486"/>
      <c r="P63" s="486"/>
      <c r="Q63" s="486"/>
      <c r="R63" s="486"/>
      <c r="S63" s="486"/>
      <c r="T63" s="486"/>
      <c r="U63" s="486"/>
      <c r="V63" s="486"/>
      <c r="W63" s="486"/>
      <c r="X63" s="486"/>
      <c r="Y63" s="486"/>
      <c r="Z63" s="486"/>
      <c r="AA63" s="486"/>
      <c r="AB63" s="486"/>
      <c r="AC63" s="486"/>
      <c r="AD63" s="486"/>
      <c r="AE63" s="486"/>
      <c r="AF63" s="486"/>
      <c r="AG63" s="486"/>
      <c r="AH63" s="486"/>
      <c r="AI63" s="486"/>
      <c r="AJ63" s="486"/>
      <c r="AK63" s="486"/>
      <c r="AL63" s="486">
        <f>IF(ISERROR(-资产预测!P109+资产负债表!AG41-资产负债表!AL41+利润表!AL52+资产负债表!AG19-资产负债表!AL19+资产负债表!AG29-资产负债表!AL29-资产预测!P174-资产预测!P78+资产预测!P90),"—",-资产预测!P109+资产负债表!AG41-资产负债表!AL41+利润表!AL52+资产负债表!AG19-资产负债表!AL19+资产负债表!AG29-资产负债表!AL29-资产预测!P174-资产预测!P78+资产预测!P90)</f>
        <v>0</v>
      </c>
      <c r="AM63" s="486">
        <f>IF(ISERROR(-资产预测!Q109+资产负债表!AL41-资产负债表!AM41+利润表!AM52+资产负债表!AL19-资产负债表!AM19+资产负债表!AL29-资产负债表!AM29-资产预测!Q174-资产预测!Q78+资产预测!Q90),"—",-资产预测!Q109+资产负债表!AL41-资产负债表!AM41+利润表!AM52+资产负债表!AL19-资产负债表!AM19+资产负债表!AL29-资产负债表!AM29-资产预测!Q174-资产预测!Q78+资产预测!Q90)</f>
        <v>0</v>
      </c>
      <c r="AN63" s="486">
        <f>IF(ISERROR(-资产预测!R109+资产负债表!AM41-资产负债表!AN41+利润表!AN52+资产负债表!AM19-资产负债表!AN19+资产负债表!AM29-资产负债表!AN29-资产预测!R174-资产预测!R78+资产预测!R90),"—",-资产预测!R109+资产负债表!AM41-资产负债表!AN41+利润表!AN52+资产负债表!AM19-资产负债表!AN19+资产负债表!AM29-资产负债表!AN29-资产预测!R174-资产预测!R78+资产预测!R90)</f>
        <v>0</v>
      </c>
      <c r="AO63" s="486">
        <f>IF(ISERROR(-资产预测!S109+资产负债表!AN41-资产负债表!AO41+利润表!AO52+资产负债表!AN19-资产负债表!AO19+资产负债表!AN29-资产负债表!AO29-资产预测!S174-资产预测!S78+资产预测!S90),"—",-资产预测!S109+资产负债表!AN41-资产负债表!AO41+利润表!AO52+资产负债表!AN19-资产负债表!AO19+资产负债表!AN29-资产负债表!AO29-资产预测!S174-资产预测!S78+资产预测!S90)</f>
        <v>0</v>
      </c>
      <c r="AP63" s="486">
        <f>IF(ISERROR(-资产预测!T109+资产负债表!AO41-资产负债表!AP41+利润表!AP52+资产负债表!AO19-资产负债表!AP19+资产负债表!AO29-资产负债表!AP29-资产预测!T174-资产预测!T78+资产预测!T90),"—",-资产预测!T109+资产负债表!AO41-资产负债表!AP41+利润表!AP52+资产负债表!AO19-资产负债表!AP19+资产负债表!AO29-资产负债表!AP29-资产预测!T174-资产预测!T78+资产预测!T90)</f>
        <v>0</v>
      </c>
      <c r="AQ63" s="486">
        <f>IF(ISERROR(-资产预测!U109+资产负债表!AP41-资产负债表!AQ41+利润表!AQ52+资产负债表!AP19-资产负债表!AQ19+资产负债表!AP29-资产负债表!AQ29-资产预测!U174-资产预测!U78+资产预测!U90),"—",-资产预测!U109+资产负债表!AP41-资产负债表!AQ41+利润表!AQ52+资产负债表!AP19-资产负债表!AQ19+资产负债表!AP29-资产负债表!AQ29-资产预测!U174-资产预测!U78+资产预测!U90)</f>
        <v>0</v>
      </c>
      <c r="AR63" s="486">
        <f>IF(ISERROR(-资产预测!V109+资产负债表!AQ41-资产负债表!AR41+利润表!AR52+资产负债表!AQ19-资产负债表!AR19+资产负债表!AQ29-资产负债表!AR29-资产预测!V174-资产预测!V78+资产预测!V90),"—",-资产预测!V109+资产负债表!AQ41-资产负债表!AR41+利润表!AR52+资产负债表!AQ19-资产负债表!AR19+资产负债表!AQ29-资产负债表!AR29-资产预测!V174-资产预测!V78+资产预测!V90)</f>
        <v>0</v>
      </c>
      <c r="AS63" s="486">
        <f>IF(ISERROR(-资产预测!W109+资产负债表!AR41-资产负债表!AS41+利润表!AS52+资产负债表!AR19-资产负债表!AS19+资产负债表!AR29-资产负债表!AS29-资产预测!W174-资产预测!W78+资产预测!W90),"—",-资产预测!W109+资产负债表!AR41-资产负债表!AS41+利润表!AS52+资产负债表!AR19-资产负债表!AS19+资产负债表!AR29-资产负债表!AS29-资产预测!W174-资产预测!W78+资产预测!W90)</f>
        <v>0</v>
      </c>
      <c r="AT63" s="486">
        <f>IF(ISERROR(-资产预测!X109+资产负债表!AS41-资产负债表!AT41+利润表!AT52+资产负债表!AS19-资产负债表!AT19+资产负债表!AS29-资产负债表!AT29-资产预测!X174-资产预测!X78+资产预测!X90),"—",-资产预测!X109+资产负债表!AS41-资产负债表!AT41+利润表!AT52+资产负债表!AS19-资产负债表!AT19+资产负债表!AS29-资产负债表!AT29-资产预测!X174-资产预测!X78+资产预测!X90)</f>
        <v>0</v>
      </c>
      <c r="AU63" s="486">
        <f>IF(ISERROR(-资产预测!Y109+资产负债表!AT41-资产负债表!AU41+利润表!AU52+资产负债表!AT19-资产负债表!AU19+资产负债表!AT29-资产负债表!AU29-资产预测!Y174-资产预测!Y78+资产预测!Y90),"—",-资产预测!Y109+资产负债表!AT41-资产负债表!AU41+利润表!AU52+资产负债表!AT19-资产负债表!AU19+资产负债表!AT29-资产负债表!AU29-资产预测!Y174-资产预测!Y78+资产预测!Y90)</f>
        <v>0</v>
      </c>
      <c r="AV63" s="304"/>
      <c r="AW63" s="304"/>
      <c r="AX63" s="304"/>
    </row>
    <row r="64" spans="2:51" ht="13.75">
      <c r="B64" s="43" t="s">
        <v>158</v>
      </c>
      <c r="C64" s="44"/>
      <c r="D64" s="44"/>
      <c r="E64" s="626">
        <f>(财务基础数据!J289)*目录!$D$6</f>
        <v>0</v>
      </c>
      <c r="F64" s="626">
        <f>(财务基础数据!K289)*目录!$D$6</f>
        <v>0</v>
      </c>
      <c r="G64" s="626">
        <f>(财务基础数据!L289)*目录!$D$6</f>
        <v>0</v>
      </c>
      <c r="H64" s="626">
        <f>(财务基础数据!M289)*目录!$D$6</f>
        <v>0</v>
      </c>
      <c r="I64" s="626">
        <f>(财务基础数据!N289)*目录!$D$6</f>
        <v>0</v>
      </c>
      <c r="J64" s="626">
        <f>(财务基础数据!O289)*目录!$D$6</f>
        <v>0</v>
      </c>
      <c r="K64" s="626">
        <f>(财务基础数据!P289)*目录!$D$6</f>
        <v>0</v>
      </c>
      <c r="L64" s="626">
        <f>(财务基础数据!Q289)*目录!$D$6</f>
        <v>0</v>
      </c>
      <c r="M64" s="626">
        <f>(财务基础数据!R289)*目录!$D$6</f>
        <v>0</v>
      </c>
      <c r="N64" s="626">
        <f>(财务基础数据!S289)*目录!$D$6</f>
        <v>0</v>
      </c>
      <c r="O64" s="626">
        <f>(财务基础数据!T289)*目录!$D$6</f>
        <v>0</v>
      </c>
      <c r="P64" s="626">
        <f>(财务基础数据!U289)*目录!$D$6</f>
        <v>0</v>
      </c>
      <c r="Q64" s="626">
        <f>(财务基础数据!V289)*目录!$D$6</f>
        <v>0</v>
      </c>
      <c r="R64" s="626">
        <f>(财务基础数据!W289)*目录!$D$6</f>
        <v>0</v>
      </c>
      <c r="S64" s="626">
        <f>(财务基础数据!X289)*目录!$D$6</f>
        <v>0</v>
      </c>
      <c r="T64" s="626">
        <f>(财务基础数据!Y289)*目录!$D$6</f>
        <v>0</v>
      </c>
      <c r="U64" s="626">
        <f>(财务基础数据!Z289)*目录!$D$6</f>
        <v>0</v>
      </c>
      <c r="V64" s="626">
        <f>(财务基础数据!AA289)*目录!$D$6</f>
        <v>0</v>
      </c>
      <c r="W64" s="626">
        <f>(财务基础数据!AB289)*目录!$D$6</f>
        <v>0</v>
      </c>
      <c r="X64" s="626">
        <f>(财务基础数据!AC289)*目录!$D$6</f>
        <v>0</v>
      </c>
      <c r="Y64" s="626">
        <f>(财务基础数据!AD289)*目录!$D$6</f>
        <v>0</v>
      </c>
      <c r="Z64" s="626">
        <f>(财务基础数据!AE289)*目录!$D$6</f>
        <v>0</v>
      </c>
      <c r="AA64" s="626">
        <f>(财务基础数据!AF289)*目录!$D$6</f>
        <v>0</v>
      </c>
      <c r="AB64" s="626">
        <f>(财务基础数据!AG289)*目录!$D$6</f>
        <v>0</v>
      </c>
      <c r="AC64" s="626">
        <f>(财务基础数据!AH289)*目录!$D$6</f>
        <v>0</v>
      </c>
      <c r="AD64" s="626">
        <f>(财务基础数据!AI289)*目录!$D$6</f>
        <v>0</v>
      </c>
      <c r="AE64" s="626">
        <f>(财务基础数据!AJ289)*目录!$D$6</f>
        <v>0</v>
      </c>
      <c r="AF64" s="626">
        <f>(财务基础数据!AK289)*目录!$D$6</f>
        <v>0</v>
      </c>
      <c r="AG64" s="626">
        <f>(财务基础数据!AL289)*目录!$D$6</f>
        <v>0</v>
      </c>
      <c r="AH64" s="626">
        <f>(财务基础数据!AM289)*目录!$D$6</f>
        <v>0</v>
      </c>
      <c r="AI64" s="626">
        <f>(财务基础数据!AN289)*目录!$D$6</f>
        <v>0</v>
      </c>
      <c r="AJ64" s="626">
        <f>(财务基础数据!AO289)*目录!$D$6</f>
        <v>0</v>
      </c>
      <c r="AK64" s="626">
        <f>(财务基础数据!AP289)*目录!$D$6</f>
        <v>0</v>
      </c>
      <c r="AL64" s="225" t="str">
        <f>IF(ISERROR(AL44+AL53+AL61+AL63),"—",AL44+AL53+AL61+AL63)</f>
        <v>—</v>
      </c>
      <c r="AM64" s="225" t="str">
        <f t="shared" ref="AM64:AU64" si="14">IF(ISERROR(AM44+AM53+AM61+AM63),"—",AM44+AM53+AM61+AM63)</f>
        <v>—</v>
      </c>
      <c r="AN64" s="225" t="str">
        <f t="shared" si="14"/>
        <v>—</v>
      </c>
      <c r="AO64" s="225">
        <f t="shared" si="14"/>
        <v>0</v>
      </c>
      <c r="AP64" s="225">
        <f t="shared" si="14"/>
        <v>0</v>
      </c>
      <c r="AQ64" s="225">
        <f t="shared" si="14"/>
        <v>0</v>
      </c>
      <c r="AR64" s="225">
        <f t="shared" si="14"/>
        <v>0</v>
      </c>
      <c r="AS64" s="225">
        <f t="shared" si="14"/>
        <v>0</v>
      </c>
      <c r="AT64" s="225">
        <f t="shared" si="14"/>
        <v>0</v>
      </c>
      <c r="AU64" s="225">
        <f t="shared" si="14"/>
        <v>0</v>
      </c>
      <c r="AV64" s="59"/>
      <c r="AW64" s="59"/>
      <c r="AX64" s="59"/>
    </row>
    <row r="65" spans="2:50" s="260" customFormat="1">
      <c r="B65" s="262"/>
      <c r="C65" s="262"/>
      <c r="D65" s="262"/>
      <c r="E65" s="489"/>
      <c r="F65" s="489"/>
      <c r="G65" s="489"/>
      <c r="H65" s="489"/>
      <c r="I65" s="489"/>
      <c r="J65" s="489"/>
      <c r="K65" s="489"/>
      <c r="L65" s="489"/>
      <c r="M65" s="489"/>
      <c r="N65" s="489"/>
      <c r="O65" s="489"/>
      <c r="P65" s="489"/>
      <c r="Q65" s="489"/>
      <c r="R65" s="489"/>
      <c r="S65" s="489"/>
      <c r="T65" s="489"/>
      <c r="U65" s="489"/>
      <c r="V65" s="489"/>
      <c r="W65" s="489"/>
      <c r="X65" s="489"/>
      <c r="Y65" s="489"/>
      <c r="Z65" s="489"/>
      <c r="AA65" s="489"/>
      <c r="AB65" s="489"/>
      <c r="AC65" s="489"/>
      <c r="AD65" s="489"/>
      <c r="AE65" s="489"/>
      <c r="AF65" s="489"/>
      <c r="AG65" s="489"/>
      <c r="AH65" s="489"/>
      <c r="AI65" s="489"/>
      <c r="AJ65" s="489"/>
      <c r="AK65" s="489"/>
      <c r="AL65" s="489"/>
      <c r="AM65" s="489"/>
      <c r="AN65" s="489"/>
      <c r="AO65" s="486"/>
      <c r="AP65" s="489"/>
      <c r="AQ65" s="489"/>
      <c r="AR65" s="489"/>
      <c r="AS65" s="489"/>
      <c r="AT65" s="489"/>
      <c r="AU65" s="489"/>
      <c r="AV65" s="304"/>
      <c r="AW65" s="304"/>
      <c r="AX65" s="304"/>
    </row>
    <row r="66" spans="2:50">
      <c r="B66" s="1" t="s">
        <v>159</v>
      </c>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218"/>
      <c r="AP66" s="41"/>
      <c r="AQ66" s="41"/>
      <c r="AR66" s="41"/>
      <c r="AS66" s="41"/>
      <c r="AT66" s="41"/>
      <c r="AU66" s="41"/>
      <c r="AV66" s="59"/>
      <c r="AW66" s="59"/>
      <c r="AX66" s="59"/>
    </row>
    <row r="67" spans="2:50" ht="13.75">
      <c r="C67" s="42" t="s">
        <v>160</v>
      </c>
      <c r="E67" s="218">
        <f>(财务基础数据!J291+财务基础数据!J293-财务基础数据!J300-财务基础数据!J306)*目录!$D$6</f>
        <v>0</v>
      </c>
      <c r="F67" s="218">
        <f>(财务基础数据!K291+财务基础数据!K293-财务基础数据!K300-财务基础数据!K306)*目录!$D$6</f>
        <v>0</v>
      </c>
      <c r="G67" s="218">
        <f>(财务基础数据!L291+财务基础数据!L293-财务基础数据!L300-财务基础数据!L306)*目录!$D$6</f>
        <v>0</v>
      </c>
      <c r="H67" s="218">
        <f>(财务基础数据!M291+财务基础数据!M293-财务基础数据!M300-财务基础数据!M306)*目录!$D$6</f>
        <v>0</v>
      </c>
      <c r="I67" s="218">
        <f>(财务基础数据!N291+财务基础数据!N293-财务基础数据!N300-财务基础数据!N306)*目录!$D$6</f>
        <v>0</v>
      </c>
      <c r="J67" s="218">
        <f>(财务基础数据!O291+财务基础数据!O293-财务基础数据!O300-财务基础数据!O306)*目录!$D$6</f>
        <v>0</v>
      </c>
      <c r="K67" s="218">
        <f>(财务基础数据!P291+财务基础数据!P293-财务基础数据!P300-财务基础数据!P306)*目录!$D$6</f>
        <v>0</v>
      </c>
      <c r="L67" s="218">
        <f>(财务基础数据!Q291+财务基础数据!Q293-财务基础数据!Q300-财务基础数据!Q306)*目录!$D$6</f>
        <v>0</v>
      </c>
      <c r="M67" s="218">
        <f>(财务基础数据!R291+财务基础数据!R293-财务基础数据!R300-财务基础数据!R306)*目录!$D$6</f>
        <v>0</v>
      </c>
      <c r="N67" s="218">
        <f>(财务基础数据!S291+财务基础数据!S293-财务基础数据!S300-财务基础数据!S306)*目录!$D$6</f>
        <v>0</v>
      </c>
      <c r="O67" s="218">
        <f>(财务基础数据!T291+财务基础数据!T293-财务基础数据!T300-财务基础数据!T306)*目录!$D$6</f>
        <v>0</v>
      </c>
      <c r="P67" s="218">
        <f>(财务基础数据!U291+财务基础数据!U293-财务基础数据!U300-财务基础数据!U306)*目录!$D$6</f>
        <v>0</v>
      </c>
      <c r="Q67" s="218">
        <f>(财务基础数据!V291+财务基础数据!V293-财务基础数据!V300-财务基础数据!V306)*目录!$D$6</f>
        <v>0</v>
      </c>
      <c r="R67" s="218">
        <f>(财务基础数据!W291+财务基础数据!W293-财务基础数据!W300-财务基础数据!W306)*目录!$D$6</f>
        <v>0</v>
      </c>
      <c r="S67" s="218">
        <f>(财务基础数据!X291+财务基础数据!X293-财务基础数据!X300-财务基础数据!X306)*目录!$D$6</f>
        <v>0</v>
      </c>
      <c r="T67" s="218">
        <f>(财务基础数据!Y291+财务基础数据!Y293-财务基础数据!Y300-财务基础数据!Y306)*目录!$D$6</f>
        <v>0</v>
      </c>
      <c r="U67" s="218">
        <f>(财务基础数据!Z291+财务基础数据!Z293-财务基础数据!Z300-财务基础数据!Z306)*目录!$D$6</f>
        <v>0</v>
      </c>
      <c r="V67" s="218">
        <f>(财务基础数据!AA291+财务基础数据!AA293-财务基础数据!AA300-财务基础数据!AA306)*目录!$D$6</f>
        <v>0</v>
      </c>
      <c r="W67" s="218">
        <f>(财务基础数据!AB291+财务基础数据!AB293-财务基础数据!AB300-财务基础数据!AB306)*目录!$D$6</f>
        <v>0</v>
      </c>
      <c r="X67" s="218">
        <f>(财务基础数据!AC291+财务基础数据!AC293-财务基础数据!AC300-财务基础数据!AC306)*目录!$D$6</f>
        <v>0</v>
      </c>
      <c r="Y67" s="218">
        <f>(财务基础数据!AD291+财务基础数据!AD293-财务基础数据!AD300-财务基础数据!AD306)*目录!$D$6</f>
        <v>0</v>
      </c>
      <c r="Z67" s="218">
        <f>(财务基础数据!AE291+财务基础数据!AE293-财务基础数据!AE300-财务基础数据!AE306)*目录!$D$6</f>
        <v>0</v>
      </c>
      <c r="AA67" s="218">
        <f>(财务基础数据!AF291+财务基础数据!AF293-财务基础数据!AF300-财务基础数据!AF306)*目录!$D$6</f>
        <v>0</v>
      </c>
      <c r="AB67" s="218">
        <f>(财务基础数据!AG291+财务基础数据!AG293-财务基础数据!AG300-财务基础数据!AG306)*目录!$D$6</f>
        <v>0</v>
      </c>
      <c r="AC67" s="218">
        <f>(财务基础数据!AH291+财务基础数据!AH293-财务基础数据!AH300-财务基础数据!AH306)*目录!$D$6</f>
        <v>0</v>
      </c>
      <c r="AD67" s="218">
        <f>(财务基础数据!AI291+财务基础数据!AI293-财务基础数据!AI300-财务基础数据!AI306)*目录!$D$6</f>
        <v>0</v>
      </c>
      <c r="AE67" s="218">
        <f>(财务基础数据!AJ291+财务基础数据!AJ293-财务基础数据!AJ300-财务基础数据!AJ306)*目录!$D$6</f>
        <v>0</v>
      </c>
      <c r="AF67" s="218">
        <f>(财务基础数据!AK291+财务基础数据!AK293-财务基础数据!AK300-财务基础数据!AK306)*目录!$D$6</f>
        <v>0</v>
      </c>
      <c r="AG67" s="218">
        <f>(财务基础数据!AL291+财务基础数据!AL293-财务基础数据!AL300-财务基础数据!AL306)*目录!$D$6</f>
        <v>0</v>
      </c>
      <c r="AH67" s="218">
        <f>(财务基础数据!AM291+财务基础数据!AM293-财务基础数据!AM300-财务基础数据!AM306)*目录!$D$6</f>
        <v>0</v>
      </c>
      <c r="AI67" s="218">
        <f>(财务基础数据!AN291+财务基础数据!AN293-财务基础数据!AN300-财务基础数据!AN306)*目录!$D$6</f>
        <v>0</v>
      </c>
      <c r="AJ67" s="218">
        <f>(财务基础数据!AO291+财务基础数据!AO293-财务基础数据!AO300-财务基础数据!AO306)*目录!$D$6</f>
        <v>0</v>
      </c>
      <c r="AK67" s="218">
        <f>(财务基础数据!AP291+财务基础数据!AP293-财务基础数据!AP300-财务基础数据!AP306)*目录!$D$6</f>
        <v>0</v>
      </c>
      <c r="AL67" s="218">
        <f>IF(ISERROR(资产负债表!AL78-资产负债表!AG78),"—",资产负债表!AL78-资产负债表!AG78)</f>
        <v>0</v>
      </c>
      <c r="AM67" s="218">
        <f>IF(ISERROR(资产负债表!AM78-资产负债表!AL78),"—",资产负债表!AM78-资产负债表!AL78)</f>
        <v>0</v>
      </c>
      <c r="AN67" s="218">
        <f>IF(ISERROR(资产负债表!AN78-资产负债表!AM78),"—",资产负债表!AN78-资产负债表!AM78)</f>
        <v>0</v>
      </c>
      <c r="AO67" s="218">
        <f>IF(ISERROR(资产负债表!AO78-资产负债表!AN78),"—",资产负债表!AO78-资产负债表!AN78)</f>
        <v>0</v>
      </c>
      <c r="AP67" s="218">
        <f>IF(ISERROR(资产负债表!AP78-资产负债表!AO78),"—",资产负债表!AP78-资产负债表!AO78)</f>
        <v>0</v>
      </c>
      <c r="AQ67" s="218">
        <f>IF(ISERROR(资产负债表!AQ78-资产负债表!AP78),"—",资产负债表!AQ78-资产负债表!AP78)</f>
        <v>0</v>
      </c>
      <c r="AR67" s="218">
        <f>IF(ISERROR(资产负债表!AR78-资产负债表!AQ78),"—",资产负债表!AR78-资产负债表!AQ78)</f>
        <v>0</v>
      </c>
      <c r="AS67" s="218">
        <f>IF(ISERROR(资产负债表!AS78-资产负债表!AR78),"—",资产负债表!AS78-资产负债表!AR78)</f>
        <v>0</v>
      </c>
      <c r="AT67" s="218">
        <f>IF(ISERROR(资产负债表!AT78-资产负债表!AS78),"—",资产负债表!AT78-资产负债表!AS78)</f>
        <v>0</v>
      </c>
      <c r="AU67" s="218">
        <f>IF(ISERROR(资产负债表!AU78-资产负债表!AT78),"—",资产负债表!AU78-资产负债表!AT78)</f>
        <v>0</v>
      </c>
      <c r="AV67" s="59"/>
      <c r="AW67" s="59"/>
      <c r="AX67" s="59"/>
    </row>
    <row r="68" spans="2:50" ht="13.75">
      <c r="C68" s="275" t="s">
        <v>161</v>
      </c>
      <c r="E68" s="218">
        <f>(财务基础数据!J296+财务基础数据!J295-财务基础数据!J299-财务基础数据!J305)*目录!$D$6</f>
        <v>0</v>
      </c>
      <c r="F68" s="218">
        <f>(财务基础数据!K296+财务基础数据!K295-财务基础数据!K299-财务基础数据!K305)*目录!$D$6</f>
        <v>0</v>
      </c>
      <c r="G68" s="218">
        <f>(财务基础数据!L296+财务基础数据!L295-财务基础数据!L299-财务基础数据!L305)*目录!$D$6</f>
        <v>0</v>
      </c>
      <c r="H68" s="218">
        <f>(财务基础数据!M296+财务基础数据!M295-财务基础数据!M299-财务基础数据!M305)*目录!$D$6</f>
        <v>0</v>
      </c>
      <c r="I68" s="218">
        <f>(财务基础数据!N296+财务基础数据!N295-财务基础数据!N299-财务基础数据!N305)*目录!$D$6</f>
        <v>0</v>
      </c>
      <c r="J68" s="218">
        <f>(财务基础数据!O296+财务基础数据!O295-财务基础数据!O299-财务基础数据!O305)*目录!$D$6</f>
        <v>0</v>
      </c>
      <c r="K68" s="218">
        <f>(财务基础数据!P296+财务基础数据!P295-财务基础数据!P299-财务基础数据!P305)*目录!$D$6</f>
        <v>0</v>
      </c>
      <c r="L68" s="218">
        <f>(财务基础数据!Q296+财务基础数据!Q295-财务基础数据!Q299-财务基础数据!Q305)*目录!$D$6</f>
        <v>0</v>
      </c>
      <c r="M68" s="218">
        <f>(财务基础数据!R296+财务基础数据!R295-财务基础数据!R299-财务基础数据!R305)*目录!$D$6</f>
        <v>0</v>
      </c>
      <c r="N68" s="218">
        <f>(财务基础数据!S296+财务基础数据!S295-财务基础数据!S299-财务基础数据!S305)*目录!$D$6</f>
        <v>0</v>
      </c>
      <c r="O68" s="218">
        <f>(财务基础数据!T296+财务基础数据!T295-财务基础数据!T299-财务基础数据!T305)*目录!$D$6</f>
        <v>0</v>
      </c>
      <c r="P68" s="218">
        <f>(财务基础数据!U296+财务基础数据!U295-财务基础数据!U299-财务基础数据!U305)*目录!$D$6</f>
        <v>0</v>
      </c>
      <c r="Q68" s="218">
        <f>(财务基础数据!V296+财务基础数据!V295-财务基础数据!V299-财务基础数据!V305)*目录!$D$6</f>
        <v>0</v>
      </c>
      <c r="R68" s="218">
        <f>(财务基础数据!W296+财务基础数据!W295-财务基础数据!W299-财务基础数据!W305)*目录!$D$6</f>
        <v>0</v>
      </c>
      <c r="S68" s="218">
        <f>(财务基础数据!X296+财务基础数据!X295-财务基础数据!X299-财务基础数据!X305)*目录!$D$6</f>
        <v>0</v>
      </c>
      <c r="T68" s="218">
        <f>(财务基础数据!Y296+财务基础数据!Y295-财务基础数据!Y299-财务基础数据!Y305)*目录!$D$6</f>
        <v>0</v>
      </c>
      <c r="U68" s="218">
        <f>(财务基础数据!Z296+财务基础数据!Z295-财务基础数据!Z299-财务基础数据!Z305)*目录!$D$6</f>
        <v>0</v>
      </c>
      <c r="V68" s="218">
        <f>(财务基础数据!AA296+财务基础数据!AA295-财务基础数据!AA299-财务基础数据!AA305)*目录!$D$6</f>
        <v>0</v>
      </c>
      <c r="W68" s="218">
        <f>(财务基础数据!AB296+财务基础数据!AB295-财务基础数据!AB299-财务基础数据!AB305)*目录!$D$6</f>
        <v>0</v>
      </c>
      <c r="X68" s="218">
        <f>(财务基础数据!AC296+财务基础数据!AC295-财务基础数据!AC299-财务基础数据!AC305)*目录!$D$6</f>
        <v>0</v>
      </c>
      <c r="Y68" s="218">
        <f>(财务基础数据!AD296+财务基础数据!AD295-财务基础数据!AD299-财务基础数据!AD305)*目录!$D$6</f>
        <v>0</v>
      </c>
      <c r="Z68" s="218">
        <f>(财务基础数据!AE296+财务基础数据!AE295-财务基础数据!AE299-财务基础数据!AE305)*目录!$D$6</f>
        <v>0</v>
      </c>
      <c r="AA68" s="218">
        <f>(财务基础数据!AF296+财务基础数据!AF295-财务基础数据!AF299-财务基础数据!AF305)*目录!$D$6</f>
        <v>0</v>
      </c>
      <c r="AB68" s="218">
        <f>(财务基础数据!AG296+财务基础数据!AG295-财务基础数据!AG299-财务基础数据!AG305)*目录!$D$6</f>
        <v>0</v>
      </c>
      <c r="AC68" s="218">
        <f>(财务基础数据!AH296+财务基础数据!AH295-财务基础数据!AH299-财务基础数据!AH305)*目录!$D$6</f>
        <v>0</v>
      </c>
      <c r="AD68" s="218">
        <f>(财务基础数据!AI296+财务基础数据!AI295-财务基础数据!AI299-财务基础数据!AI305)*目录!$D$6</f>
        <v>0</v>
      </c>
      <c r="AE68" s="218">
        <f>(财务基础数据!AJ296+财务基础数据!AJ295-财务基础数据!AJ299-财务基础数据!AJ305)*目录!$D$6</f>
        <v>0</v>
      </c>
      <c r="AF68" s="218">
        <f>(财务基础数据!AK296+财务基础数据!AK295-财务基础数据!AK299-财务基础数据!AK305)*目录!$D$6</f>
        <v>0</v>
      </c>
      <c r="AG68" s="218">
        <f>(财务基础数据!AL296+财务基础数据!AL295-财务基础数据!AL299-财务基础数据!AL305)*目录!$D$6</f>
        <v>0</v>
      </c>
      <c r="AH68" s="218">
        <f>(财务基础数据!AM296+财务基础数据!AM295-财务基础数据!AM299-财务基础数据!AM305)*目录!$D$6</f>
        <v>0</v>
      </c>
      <c r="AI68" s="218">
        <f>(财务基础数据!AN296+财务基础数据!AN295-财务基础数据!AN299-财务基础数据!AN305)*目录!$D$6</f>
        <v>0</v>
      </c>
      <c r="AJ68" s="218">
        <f>(财务基础数据!AO296+财务基础数据!AO295-财务基础数据!AO299-财务基础数据!AO305)*目录!$D$6</f>
        <v>0</v>
      </c>
      <c r="AK68" s="218">
        <f>(财务基础数据!AP296+财务基础数据!AP295-财务基础数据!AP299-财务基础数据!AP305)*目录!$D$6</f>
        <v>0</v>
      </c>
      <c r="AL68" s="218">
        <f>SUM(AL69:AL73)</f>
        <v>0</v>
      </c>
      <c r="AM68" s="218">
        <f t="shared" ref="AM68:AU68" si="15">SUM(AM69:AM73)</f>
        <v>0</v>
      </c>
      <c r="AN68" s="218">
        <f t="shared" si="15"/>
        <v>0</v>
      </c>
      <c r="AO68" s="218">
        <f t="shared" si="15"/>
        <v>0</v>
      </c>
      <c r="AP68" s="218">
        <f t="shared" si="15"/>
        <v>0</v>
      </c>
      <c r="AQ68" s="218">
        <f t="shared" si="15"/>
        <v>0</v>
      </c>
      <c r="AR68" s="218">
        <f t="shared" si="15"/>
        <v>0</v>
      </c>
      <c r="AS68" s="218">
        <f t="shared" si="15"/>
        <v>0</v>
      </c>
      <c r="AT68" s="218">
        <f t="shared" si="15"/>
        <v>0</v>
      </c>
      <c r="AU68" s="218">
        <f t="shared" si="15"/>
        <v>0</v>
      </c>
      <c r="AV68" s="59"/>
      <c r="AW68" s="59"/>
      <c r="AX68" s="59"/>
    </row>
    <row r="69" spans="2:50" ht="13.75">
      <c r="C69" s="654" t="s">
        <v>1214</v>
      </c>
      <c r="E69" s="218"/>
      <c r="F69" s="218"/>
      <c r="G69" s="218"/>
      <c r="H69" s="218"/>
      <c r="I69" s="218"/>
      <c r="J69" s="218"/>
      <c r="K69" s="218"/>
      <c r="L69" s="218"/>
      <c r="M69" s="218"/>
      <c r="N69" s="218"/>
      <c r="O69" s="218"/>
      <c r="P69" s="218"/>
      <c r="Q69" s="218"/>
      <c r="R69" s="218"/>
      <c r="S69" s="218"/>
      <c r="T69" s="218"/>
      <c r="U69" s="218"/>
      <c r="V69" s="218"/>
      <c r="W69" s="218"/>
      <c r="X69" s="218"/>
      <c r="Y69" s="218"/>
      <c r="Z69" s="218"/>
      <c r="AA69" s="218"/>
      <c r="AB69" s="218"/>
      <c r="AC69" s="218"/>
      <c r="AD69" s="218"/>
      <c r="AE69" s="218"/>
      <c r="AF69" s="218"/>
      <c r="AG69" s="218"/>
      <c r="AH69" s="218"/>
      <c r="AI69" s="218"/>
      <c r="AJ69" s="218"/>
      <c r="AK69" s="218"/>
      <c r="AL69" s="218">
        <f>IF(ISERROR(资产预测!P81+资产预测!P82+资产预测!P85+资产预测!P86),"—",资产预测!P81+资产预测!P82+资产预测!P85+资产预测!P86)</f>
        <v>0</v>
      </c>
      <c r="AM69" s="218">
        <f>IF(ISERROR(资产预测!Q81+资产预测!Q82+资产预测!Q85+资产预测!Q86),"—",资产预测!Q81+资产预测!Q82+资产预测!Q85+资产预测!Q86)</f>
        <v>0</v>
      </c>
      <c r="AN69" s="218">
        <f>IF(ISERROR(资产预测!R81+资产预测!R82+资产预测!R85+资产预测!R86),"—",资产预测!R81+资产预测!R82+资产预测!R85+资产预测!R86)</f>
        <v>0</v>
      </c>
      <c r="AO69" s="218">
        <f>IF(ISERROR(资产预测!S81+资产预测!S82+资产预测!S85+资产预测!S86),"—",资产预测!S81+资产预测!S82+资产预测!S85+资产预测!S86)</f>
        <v>0</v>
      </c>
      <c r="AP69" s="218">
        <f>IF(ISERROR(资产预测!T81+资产预测!T82+资产预测!T85+资产预测!T86),"—",资产预测!T81+资产预测!T82+资产预测!T85+资产预测!T86)</f>
        <v>0</v>
      </c>
      <c r="AQ69" s="218">
        <f>IF(ISERROR(资产预测!U81+资产预测!U82+资产预测!U85+资产预测!U86),"—",资产预测!U81+资产预测!U82+资产预测!U85+资产预测!U86)</f>
        <v>0</v>
      </c>
      <c r="AR69" s="218">
        <f>IF(ISERROR(资产预测!V81+资产预测!V82+资产预测!V85+资产预测!V86),"—",资产预测!V81+资产预测!V82+资产预测!V85+资产预测!V86)</f>
        <v>0</v>
      </c>
      <c r="AS69" s="218">
        <f>IF(ISERROR(资产预测!W81+资产预测!W82+资产预测!W85+资产预测!W86),"—",资产预测!W81+资产预测!W82+资产预测!W85+资产预测!W86)</f>
        <v>0</v>
      </c>
      <c r="AT69" s="218">
        <f>IF(ISERROR(资产预测!X81+资产预测!X82+资产预测!X85+资产预测!X86),"—",资产预测!X81+资产预测!X82+资产预测!X85+资产预测!X86)</f>
        <v>0</v>
      </c>
      <c r="AU69" s="218">
        <f>IF(ISERROR(资产预测!Y81+资产预测!Y82+资产预测!Y85+资产预测!Y86),"—",资产预测!Y81+资产预测!Y82+资产预测!Y85+资产预测!Y86)</f>
        <v>0</v>
      </c>
      <c r="AV69" s="59"/>
      <c r="AW69" s="59"/>
      <c r="AX69" s="59"/>
    </row>
    <row r="70" spans="2:50" ht="13.75">
      <c r="C70" s="99" t="s">
        <v>162</v>
      </c>
      <c r="E70" s="218"/>
      <c r="F70" s="218"/>
      <c r="G70" s="218"/>
      <c r="H70" s="218"/>
      <c r="I70" s="218"/>
      <c r="J70" s="218"/>
      <c r="K70" s="218"/>
      <c r="L70" s="218"/>
      <c r="M70" s="218"/>
      <c r="N70" s="218"/>
      <c r="O70" s="218"/>
      <c r="P70" s="218"/>
      <c r="Q70" s="218"/>
      <c r="R70" s="218"/>
      <c r="S70" s="218"/>
      <c r="T70" s="218"/>
      <c r="U70" s="218"/>
      <c r="V70" s="218"/>
      <c r="W70" s="218"/>
      <c r="X70" s="218"/>
      <c r="Y70" s="218"/>
      <c r="Z70" s="218"/>
      <c r="AA70" s="218"/>
      <c r="AB70" s="218"/>
      <c r="AC70" s="218"/>
      <c r="AD70" s="218"/>
      <c r="AE70" s="218"/>
      <c r="AF70" s="218"/>
      <c r="AG70" s="218"/>
      <c r="AH70" s="218"/>
      <c r="AI70" s="218"/>
      <c r="AJ70" s="218"/>
      <c r="AK70" s="218"/>
      <c r="AL70" s="218">
        <f>IF(ISERROR(资产负债表!AL60-资产负债表!AG60),"—",资产负债表!AL60-资产负债表!AG60)</f>
        <v>0</v>
      </c>
      <c r="AM70" s="218">
        <f>IF(ISERROR(资产负债表!AM60-资产负债表!AL60),"—",资产负债表!AM60-资产负债表!AL60)</f>
        <v>0</v>
      </c>
      <c r="AN70" s="218">
        <f>IF(ISERROR(资产负债表!AN60-资产负债表!AM60),"—",资产负债表!AN60-资产负债表!AM60)</f>
        <v>0</v>
      </c>
      <c r="AO70" s="218">
        <f>IF(ISERROR(资产负债表!AO60-资产负债表!AN60),"—",资产负债表!AO60-资产负债表!AN60)</f>
        <v>0</v>
      </c>
      <c r="AP70" s="218">
        <f>IF(ISERROR(资产负债表!AP60-资产负债表!AO60),"—",资产负债表!AP60-资产负债表!AO60)</f>
        <v>0</v>
      </c>
      <c r="AQ70" s="218">
        <f>IF(ISERROR(资产负债表!AQ60-资产负债表!AP60),"—",资产负债表!AQ60-资产负债表!AP60)</f>
        <v>0</v>
      </c>
      <c r="AR70" s="218">
        <f>IF(ISERROR(资产负债表!AR60-资产负债表!AQ60),"—",资产负债表!AR60-资产负债表!AQ60)</f>
        <v>0</v>
      </c>
      <c r="AS70" s="218">
        <f>IF(ISERROR(资产负债表!AS60-资产负债表!AR60),"—",资产负债表!AS60-资产负债表!AR60)</f>
        <v>0</v>
      </c>
      <c r="AT70" s="218">
        <f>IF(ISERROR(资产负债表!AT60-资产负债表!AS60),"—",资产负债表!AT60-资产负债表!AS60)</f>
        <v>0</v>
      </c>
      <c r="AU70" s="218">
        <f>IF(ISERROR(资产负债表!AU60-资产负债表!AT60),"—",资产负债表!AU60-资产负债表!AT60)</f>
        <v>0</v>
      </c>
      <c r="AV70" s="59"/>
      <c r="AW70" s="59"/>
      <c r="AX70" s="59"/>
    </row>
    <row r="71" spans="2:50" ht="14.15">
      <c r="B71" s="54"/>
      <c r="C71" s="99" t="s">
        <v>908</v>
      </c>
      <c r="E71" s="218"/>
      <c r="F71" s="218"/>
      <c r="G71" s="218"/>
      <c r="H71" s="218"/>
      <c r="I71" s="218"/>
      <c r="J71" s="218"/>
      <c r="K71" s="218"/>
      <c r="L71" s="218"/>
      <c r="M71" s="218"/>
      <c r="N71" s="218"/>
      <c r="O71" s="218"/>
      <c r="P71" s="218"/>
      <c r="Q71" s="218"/>
      <c r="R71" s="218"/>
      <c r="S71" s="218"/>
      <c r="T71" s="218"/>
      <c r="U71" s="218"/>
      <c r="V71" s="218"/>
      <c r="W71" s="218"/>
      <c r="X71" s="218"/>
      <c r="Y71" s="218"/>
      <c r="Z71" s="218"/>
      <c r="AA71" s="218"/>
      <c r="AB71" s="218"/>
      <c r="AC71" s="218"/>
      <c r="AD71" s="218"/>
      <c r="AE71" s="218"/>
      <c r="AF71" s="218"/>
      <c r="AG71" s="218"/>
      <c r="AH71" s="218"/>
      <c r="AI71" s="218"/>
      <c r="AJ71" s="218"/>
      <c r="AK71" s="218"/>
      <c r="AL71" s="218">
        <f>IF(ISERROR(资产负债表!AL65-资产负债表!AG65),"—",资产负债表!AL65-资产负债表!AG65)</f>
        <v>0</v>
      </c>
      <c r="AM71" s="218">
        <f>IF(ISERROR(资产负债表!AM65-资产负债表!AL65),"—",资产负债表!AM65-资产负债表!AL65)</f>
        <v>0</v>
      </c>
      <c r="AN71" s="218">
        <f>IF(ISERROR(资产负债表!AN65-资产负债表!AM65),"—",资产负债表!AN65-资产负债表!AM65)</f>
        <v>0</v>
      </c>
      <c r="AO71" s="218">
        <f>IF(ISERROR(资产负债表!AO65-资产负债表!AN65),"—",资产负债表!AO65-资产负债表!AN65)</f>
        <v>0</v>
      </c>
      <c r="AP71" s="218">
        <f>IF(ISERROR(资产负债表!AP65-资产负债表!AO65),"—",资产负债表!AP65-资产负债表!AO65)</f>
        <v>0</v>
      </c>
      <c r="AQ71" s="218">
        <f>IF(ISERROR(资产负债表!AQ65-资产负债表!AP65),"—",资产负债表!AQ65-资产负债表!AP65)</f>
        <v>0</v>
      </c>
      <c r="AR71" s="218">
        <f>IF(ISERROR(资产负债表!AR65-资产负债表!AQ65),"—",资产负债表!AR65-资产负债表!AQ65)</f>
        <v>0</v>
      </c>
      <c r="AS71" s="218">
        <f>IF(ISERROR(资产负债表!AS65-资产负债表!AR65),"—",资产负债表!AS65-资产负债表!AR65)</f>
        <v>0</v>
      </c>
      <c r="AT71" s="218">
        <f>IF(ISERROR(资产负债表!AT65-资产负债表!AS65),"—",资产负债表!AT65-资产负债表!AS65)</f>
        <v>0</v>
      </c>
      <c r="AU71" s="218">
        <f>IF(ISERROR(资产负债表!AU65-资产负债表!AT65),"—",资产负债表!AU65-资产负债表!AT65)</f>
        <v>0</v>
      </c>
      <c r="AV71" s="59"/>
      <c r="AW71" s="59"/>
      <c r="AX71" s="59"/>
    </row>
    <row r="72" spans="2:50" ht="13.75">
      <c r="B72" s="54"/>
      <c r="C72" s="1" t="s">
        <v>163</v>
      </c>
      <c r="E72" s="218"/>
      <c r="F72" s="218"/>
      <c r="G72" s="218"/>
      <c r="H72" s="218"/>
      <c r="I72" s="218"/>
      <c r="J72" s="218"/>
      <c r="K72" s="218"/>
      <c r="L72" s="218"/>
      <c r="M72" s="218"/>
      <c r="N72" s="218"/>
      <c r="O72" s="218"/>
      <c r="P72" s="218"/>
      <c r="Q72" s="218"/>
      <c r="R72" s="218"/>
      <c r="S72" s="218"/>
      <c r="T72" s="218"/>
      <c r="U72" s="218"/>
      <c r="V72" s="218"/>
      <c r="W72" s="218"/>
      <c r="X72" s="218"/>
      <c r="Y72" s="218"/>
      <c r="Z72" s="218"/>
      <c r="AA72" s="218"/>
      <c r="AB72" s="218"/>
      <c r="AC72" s="218"/>
      <c r="AD72" s="218"/>
      <c r="AE72" s="218"/>
      <c r="AF72" s="218"/>
      <c r="AG72" s="218"/>
      <c r="AH72" s="218"/>
      <c r="AI72" s="218"/>
      <c r="AJ72" s="218"/>
      <c r="AK72" s="218"/>
      <c r="AL72" s="218">
        <f>IF(ISERROR(资产负债表!AL66-资产负债表!AG66),"—",资产负债表!AL66-资产负债表!AG66)</f>
        <v>0</v>
      </c>
      <c r="AM72" s="218">
        <f>IF(ISERROR(资产负债表!AM66-资产负债表!AL66),"—",资产负债表!AM66-资产负债表!AL66)</f>
        <v>0</v>
      </c>
      <c r="AN72" s="218">
        <f>IF(ISERROR(资产负债表!AN66-资产负债表!AM66),"—",资产负债表!AN66-资产负债表!AM66)</f>
        <v>0</v>
      </c>
      <c r="AO72" s="218">
        <f>IF(ISERROR(资产负债表!AO66-资产负债表!AN66),"—",资产负债表!AO66-资产负债表!AN66)</f>
        <v>0</v>
      </c>
      <c r="AP72" s="218">
        <f>IF(ISERROR(资产负债表!AP66-资产负债表!AO66),"—",资产负债表!AP66-资产负债表!AO66)</f>
        <v>0</v>
      </c>
      <c r="AQ72" s="218">
        <f>IF(ISERROR(资产负债表!AQ66-资产负债表!AP66),"—",资产负债表!AQ66-资产负债表!AP66)</f>
        <v>0</v>
      </c>
      <c r="AR72" s="218">
        <f>IF(ISERROR(资产负债表!AR66-资产负债表!AQ66),"—",资产负债表!AR66-资产负债表!AQ66)</f>
        <v>0</v>
      </c>
      <c r="AS72" s="218">
        <f>IF(ISERROR(资产负债表!AS66-资产负债表!AR66),"—",资产负债表!AS66-资产负债表!AR66)</f>
        <v>0</v>
      </c>
      <c r="AT72" s="218">
        <f>IF(ISERROR(资产负债表!AT66-资产负债表!AS66),"—",资产负债表!AT66-资产负债表!AS66)</f>
        <v>0</v>
      </c>
      <c r="AU72" s="218">
        <f>IF(ISERROR(资产负债表!AU66-资产负债表!AT66),"—",资产负债表!AU66-资产负债表!AT66)</f>
        <v>0</v>
      </c>
      <c r="AV72" s="59"/>
      <c r="AW72" s="59"/>
      <c r="AX72" s="59"/>
    </row>
    <row r="73" spans="2:50" ht="14.15">
      <c r="C73" s="99" t="s">
        <v>909</v>
      </c>
      <c r="E73" s="218"/>
      <c r="F73" s="218"/>
      <c r="G73" s="218"/>
      <c r="H73" s="218"/>
      <c r="I73" s="218"/>
      <c r="J73" s="218"/>
      <c r="K73" s="218"/>
      <c r="L73" s="218"/>
      <c r="M73" s="218"/>
      <c r="N73" s="218"/>
      <c r="O73" s="218"/>
      <c r="P73" s="218"/>
      <c r="Q73" s="218"/>
      <c r="R73" s="218"/>
      <c r="S73" s="218"/>
      <c r="T73" s="218"/>
      <c r="U73" s="218"/>
      <c r="V73" s="218"/>
      <c r="W73" s="218"/>
      <c r="X73" s="218"/>
      <c r="Y73" s="218"/>
      <c r="Z73" s="218"/>
      <c r="AA73" s="218"/>
      <c r="AB73" s="218"/>
      <c r="AC73" s="218"/>
      <c r="AD73" s="218"/>
      <c r="AE73" s="218"/>
      <c r="AF73" s="218"/>
      <c r="AG73" s="218"/>
      <c r="AH73" s="218"/>
      <c r="AI73" s="218"/>
      <c r="AJ73" s="218"/>
      <c r="AK73" s="218"/>
      <c r="AL73" s="218">
        <f>IF(ISERROR(资产负债表!AL68-资产负债表!AG68+资产负债表!AL67-资产负债表!AG67),"—",资产负债表!AL68-资产负债表!AG68+资产负债表!AL67-资产负债表!AG67)</f>
        <v>0</v>
      </c>
      <c r="AM73" s="218">
        <f>IF(ISERROR(资产负债表!AM68-资产负债表!AL68+资产负债表!AM67-资产负债表!AL67),"—",资产负债表!AM68-资产负债表!AL68+资产负债表!AM67-资产负债表!AL67)</f>
        <v>0</v>
      </c>
      <c r="AN73" s="218">
        <f>IF(ISERROR(资产负债表!AN68-资产负债表!AM68+资产负债表!AN67-资产负债表!AM67),"—",资产负债表!AN68-资产负债表!AM68+资产负债表!AN67-资产负债表!AM67)</f>
        <v>0</v>
      </c>
      <c r="AO73" s="218">
        <f>IF(ISERROR(资产负债表!AO68-资产负债表!AN68+资产负债表!AO67-资产负债表!AN67),"—",资产负债表!AO68-资产负债表!AN68+资产负债表!AO67-资产负债表!AN67)</f>
        <v>0</v>
      </c>
      <c r="AP73" s="218">
        <f>IF(ISERROR(资产负债表!AP68-资产负债表!AO68+资产负债表!AP67-资产负债表!AO67),"—",资产负债表!AP68-资产负债表!AO68+资产负债表!AP67-资产负债表!AO67)</f>
        <v>0</v>
      </c>
      <c r="AQ73" s="218">
        <f>IF(ISERROR(资产负债表!AQ68-资产负债表!AP68+资产负债表!AQ67-资产负债表!AP67),"—",资产负债表!AQ68-资产负债表!AP68+资产负债表!AQ67-资产负债表!AP67)</f>
        <v>0</v>
      </c>
      <c r="AR73" s="218">
        <f>IF(ISERROR(资产负债表!AR68-资产负债表!AQ68+资产负债表!AR67-资产负债表!AQ67),"—",资产负债表!AR68-资产负债表!AQ68+资产负债表!AR67-资产负债表!AQ67)</f>
        <v>0</v>
      </c>
      <c r="AS73" s="218">
        <f>IF(ISERROR(资产负债表!AS68-资产负债表!AR68+资产负债表!AS67-资产负债表!AR67),"—",资产负债表!AS68-资产负债表!AR68+资产负债表!AS67-资产负债表!AR67)</f>
        <v>0</v>
      </c>
      <c r="AT73" s="218">
        <f>IF(ISERROR(资产负债表!AT68-资产负债表!AS68+资产负债表!AT67-资产负债表!AS67),"—",资产负债表!AT68-资产负债表!AS68+资产负债表!AT67-资产负债表!AS67)</f>
        <v>0</v>
      </c>
      <c r="AU73" s="218">
        <f>IF(ISERROR(资产负债表!AU68-资产负债表!AT68+资产负债表!AU67-资产负债表!AT67),"—",资产负债表!AU68-资产负债表!AT68+资产负债表!AU67-资产负债表!AT67)</f>
        <v>0</v>
      </c>
      <c r="AV73" s="59"/>
      <c r="AW73" s="59"/>
      <c r="AX73" s="59"/>
    </row>
    <row r="74" spans="2:50" ht="13.75">
      <c r="C74" s="42" t="s">
        <v>586</v>
      </c>
      <c r="E74" s="218">
        <f>-财务基础数据!J301*目录!$D$6</f>
        <v>0</v>
      </c>
      <c r="F74" s="218">
        <f>-财务基础数据!K301*目录!$D$6</f>
        <v>0</v>
      </c>
      <c r="G74" s="218">
        <f>-财务基础数据!L301*目录!$D$6</f>
        <v>0</v>
      </c>
      <c r="H74" s="218">
        <f>-财务基础数据!M301*目录!$D$6</f>
        <v>0</v>
      </c>
      <c r="I74" s="218">
        <f>-财务基础数据!N301*目录!$D$6</f>
        <v>0</v>
      </c>
      <c r="J74" s="218">
        <f>-财务基础数据!O301*目录!$D$6</f>
        <v>0</v>
      </c>
      <c r="K74" s="218">
        <f>-财务基础数据!P301*目录!$D$6</f>
        <v>0</v>
      </c>
      <c r="L74" s="218">
        <f>-财务基础数据!Q301*目录!$D$6</f>
        <v>0</v>
      </c>
      <c r="M74" s="218">
        <f>-财务基础数据!R301*目录!$D$6</f>
        <v>0</v>
      </c>
      <c r="N74" s="218">
        <f>-财务基础数据!S301*目录!$D$6</f>
        <v>0</v>
      </c>
      <c r="O74" s="218">
        <f>-财务基础数据!T301*目录!$D$6</f>
        <v>0</v>
      </c>
      <c r="P74" s="218">
        <f>-财务基础数据!U301*目录!$D$6</f>
        <v>0</v>
      </c>
      <c r="Q74" s="218">
        <f>-财务基础数据!V301*目录!$D$6</f>
        <v>0</v>
      </c>
      <c r="R74" s="218">
        <f>-财务基础数据!W301*目录!$D$6</f>
        <v>0</v>
      </c>
      <c r="S74" s="218">
        <f>-财务基础数据!X301*目录!$D$6</f>
        <v>0</v>
      </c>
      <c r="T74" s="218">
        <f>-财务基础数据!Y301*目录!$D$6</f>
        <v>0</v>
      </c>
      <c r="U74" s="218">
        <f>-财务基础数据!Z301*目录!$D$6</f>
        <v>0</v>
      </c>
      <c r="V74" s="218">
        <f>-财务基础数据!AA301*目录!$D$6</f>
        <v>0</v>
      </c>
      <c r="W74" s="218">
        <f>-财务基础数据!AB301*目录!$D$6</f>
        <v>0</v>
      </c>
      <c r="X74" s="218">
        <f>-财务基础数据!AC301*目录!$D$6</f>
        <v>0</v>
      </c>
      <c r="Y74" s="218">
        <f>-财务基础数据!AD301*目录!$D$6</f>
        <v>0</v>
      </c>
      <c r="Z74" s="218">
        <f>-财务基础数据!AE301*目录!$D$6</f>
        <v>0</v>
      </c>
      <c r="AA74" s="218">
        <f>-财务基础数据!AF301*目录!$D$6</f>
        <v>0</v>
      </c>
      <c r="AB74" s="218">
        <f>-财务基础数据!AG301*目录!$D$6</f>
        <v>0</v>
      </c>
      <c r="AC74" s="218">
        <f>-财务基础数据!AH301*目录!$D$6</f>
        <v>0</v>
      </c>
      <c r="AD74" s="218">
        <f>-财务基础数据!AI301*目录!$D$6</f>
        <v>0</v>
      </c>
      <c r="AE74" s="218">
        <f>-财务基础数据!AJ301*目录!$D$6</f>
        <v>0</v>
      </c>
      <c r="AF74" s="218">
        <f>-财务基础数据!AK301*目录!$D$6</f>
        <v>0</v>
      </c>
      <c r="AG74" s="218">
        <f>-财务基础数据!AL301*目录!$D$6</f>
        <v>0</v>
      </c>
      <c r="AH74" s="218">
        <f>-财务基础数据!AM301*目录!$D$6</f>
        <v>0</v>
      </c>
      <c r="AI74" s="218">
        <f>-财务基础数据!AN301*目录!$D$6</f>
        <v>0</v>
      </c>
      <c r="AJ74" s="218">
        <f>-财务基础数据!AO301*目录!$D$6</f>
        <v>0</v>
      </c>
      <c r="AK74" s="218">
        <f>-财务基础数据!AP301*目录!$D$6</f>
        <v>0</v>
      </c>
      <c r="AL74" s="218">
        <f>IF(ISERROR(-资产预测!P217-利润表!AL31),"0",-资产预测!P217-利润表!AL31)</f>
        <v>0</v>
      </c>
      <c r="AM74" s="218">
        <f>IF(ISERROR(-资产预测!Q217-利润表!AM31),"0",-资产预测!Q217-利润表!AM31)</f>
        <v>0</v>
      </c>
      <c r="AN74" s="218">
        <f>IF(ISERROR(-资产预测!R217-利润表!AN31),"0",-资产预测!R217-利润表!AN31)</f>
        <v>0</v>
      </c>
      <c r="AO74" s="218">
        <f>IF(ISERROR(-资产预测!S217-利润表!AO31),"0",-资产预测!S217-利润表!AO31)</f>
        <v>0</v>
      </c>
      <c r="AP74" s="218">
        <f>IF(ISERROR(-资产预测!T217-利润表!AP31),"0",-资产预测!T217-利润表!AP31)</f>
        <v>0</v>
      </c>
      <c r="AQ74" s="218">
        <f>IF(ISERROR(-资产预测!U217-利润表!AQ31),"0",-资产预测!U217-利润表!AQ31)</f>
        <v>0</v>
      </c>
      <c r="AR74" s="218">
        <f>IF(ISERROR(-资产预测!V217-利润表!AR31),"0",-资产预测!V217-利润表!AR31)</f>
        <v>0</v>
      </c>
      <c r="AS74" s="218">
        <f>IF(ISERROR(-资产预测!W217-利润表!AS31),"0",-资产预测!W217-利润表!AS31)</f>
        <v>0</v>
      </c>
      <c r="AT74" s="218">
        <f>IF(ISERROR(-资产预测!X217-利润表!AT31),"0",-资产预测!X217-利润表!AT31)</f>
        <v>0</v>
      </c>
      <c r="AU74" s="218">
        <f>IF(ISERROR(-资产预测!Y217-利润表!AU31),"0",-资产预测!Y217-利润表!AU31)</f>
        <v>0</v>
      </c>
      <c r="AV74" s="59"/>
      <c r="AW74" s="59"/>
      <c r="AX74" s="59"/>
    </row>
    <row r="75" spans="2:50">
      <c r="E75" s="218"/>
      <c r="F75" s="218"/>
      <c r="G75" s="218"/>
      <c r="H75" s="218"/>
      <c r="I75" s="218"/>
      <c r="J75" s="218"/>
      <c r="K75" s="218"/>
      <c r="L75" s="218"/>
      <c r="M75" s="218"/>
      <c r="N75" s="218"/>
      <c r="O75" s="218"/>
      <c r="P75" s="218"/>
      <c r="Q75" s="218"/>
      <c r="R75" s="218"/>
      <c r="S75" s="218"/>
      <c r="T75" s="218"/>
      <c r="U75" s="218"/>
      <c r="V75" s="218"/>
      <c r="W75" s="218"/>
      <c r="X75" s="218"/>
      <c r="Y75" s="218"/>
      <c r="Z75" s="218"/>
      <c r="AA75" s="218"/>
      <c r="AB75" s="218"/>
      <c r="AC75" s="218"/>
      <c r="AD75" s="218"/>
      <c r="AE75" s="218"/>
      <c r="AF75" s="218"/>
      <c r="AG75" s="218"/>
      <c r="AH75" s="218"/>
      <c r="AI75" s="218"/>
      <c r="AJ75" s="218"/>
      <c r="AK75" s="218"/>
      <c r="AL75" s="218"/>
      <c r="AM75" s="218"/>
      <c r="AN75" s="218"/>
      <c r="AO75" s="218"/>
      <c r="AP75" s="218"/>
      <c r="AQ75" s="218"/>
      <c r="AR75" s="218"/>
      <c r="AS75" s="218"/>
      <c r="AT75" s="218"/>
      <c r="AU75" s="218"/>
      <c r="AV75" s="59"/>
      <c r="AW75" s="59"/>
      <c r="AX75" s="59"/>
    </row>
    <row r="76" spans="2:50" ht="13.75">
      <c r="C76" s="42" t="s">
        <v>587</v>
      </c>
      <c r="E76" s="218">
        <f>(财务基础数据!J297-财务基础数据!J309)*目录!$D$6</f>
        <v>0</v>
      </c>
      <c r="F76" s="218">
        <f>(财务基础数据!K297-财务基础数据!K309)*目录!$D$6</f>
        <v>0</v>
      </c>
      <c r="G76" s="218">
        <f>(财务基础数据!L297-财务基础数据!L309)*目录!$D$6</f>
        <v>0</v>
      </c>
      <c r="H76" s="218">
        <f>(财务基础数据!M297-财务基础数据!M309)*目录!$D$6</f>
        <v>0</v>
      </c>
      <c r="I76" s="218">
        <f>(财务基础数据!N297-财务基础数据!N309)*目录!$D$6</f>
        <v>0</v>
      </c>
      <c r="J76" s="218">
        <f>(财务基础数据!O297-财务基础数据!O309)*目录!$D$6</f>
        <v>0</v>
      </c>
      <c r="K76" s="218">
        <f>(财务基础数据!P297-财务基础数据!P309)*目录!$D$6</f>
        <v>0</v>
      </c>
      <c r="L76" s="218">
        <f>(财务基础数据!Q297-财务基础数据!Q309)*目录!$D$6</f>
        <v>0</v>
      </c>
      <c r="M76" s="218">
        <f>(财务基础数据!R297-财务基础数据!R309)*目录!$D$6</f>
        <v>0</v>
      </c>
      <c r="N76" s="218">
        <f>(财务基础数据!S297-财务基础数据!S309)*目录!$D$6</f>
        <v>0</v>
      </c>
      <c r="O76" s="218">
        <f>(财务基础数据!T297-财务基础数据!T309)*目录!$D$6</f>
        <v>0</v>
      </c>
      <c r="P76" s="218">
        <f>(财务基础数据!U297-财务基础数据!U309)*目录!$D$6</f>
        <v>0</v>
      </c>
      <c r="Q76" s="218">
        <f>(财务基础数据!V297-财务基础数据!V309)*目录!$D$6</f>
        <v>0</v>
      </c>
      <c r="R76" s="218">
        <f>(财务基础数据!W297-财务基础数据!W309)*目录!$D$6</f>
        <v>0</v>
      </c>
      <c r="S76" s="218">
        <f>(财务基础数据!X297-财务基础数据!X309)*目录!$D$6</f>
        <v>0</v>
      </c>
      <c r="T76" s="218">
        <f>(财务基础数据!Y297-财务基础数据!Y309)*目录!$D$6</f>
        <v>0</v>
      </c>
      <c r="U76" s="218">
        <f>(财务基础数据!Z297-财务基础数据!Z309)*目录!$D$6</f>
        <v>0</v>
      </c>
      <c r="V76" s="218">
        <f>(财务基础数据!AA297-财务基础数据!AA309)*目录!$D$6</f>
        <v>0</v>
      </c>
      <c r="W76" s="218">
        <f>(财务基础数据!AB297-财务基础数据!AB309)*目录!$D$6</f>
        <v>0</v>
      </c>
      <c r="X76" s="218">
        <f>(财务基础数据!AC297-财务基础数据!AC309)*目录!$D$6</f>
        <v>0</v>
      </c>
      <c r="Y76" s="218">
        <f>(财务基础数据!AD297-财务基础数据!AD309)*目录!$D$6</f>
        <v>0</v>
      </c>
      <c r="Z76" s="218">
        <f>(财务基础数据!AE297-财务基础数据!AE309)*目录!$D$6</f>
        <v>0</v>
      </c>
      <c r="AA76" s="218">
        <f>(财务基础数据!AF297-财务基础数据!AF309)*目录!$D$6</f>
        <v>0</v>
      </c>
      <c r="AB76" s="218">
        <f>(财务基础数据!AG297-财务基础数据!AG309)*目录!$D$6</f>
        <v>0</v>
      </c>
      <c r="AC76" s="218">
        <f>(财务基础数据!AH297-财务基础数据!AH309)*目录!$D$6</f>
        <v>0</v>
      </c>
      <c r="AD76" s="218">
        <f>(财务基础数据!AI297-财务基础数据!AI309)*目录!$D$6</f>
        <v>0</v>
      </c>
      <c r="AE76" s="218">
        <f>(财务基础数据!AJ297-财务基础数据!AJ309)*目录!$D$6</f>
        <v>0</v>
      </c>
      <c r="AF76" s="218">
        <f>(财务基础数据!AK297-财务基础数据!AK309)*目录!$D$6</f>
        <v>0</v>
      </c>
      <c r="AG76" s="218">
        <f>(财务基础数据!AL297-财务基础数据!AL309)*目录!$D$6</f>
        <v>0</v>
      </c>
      <c r="AH76" s="218">
        <f>(财务基础数据!AM297-财务基础数据!AM309)*目录!$D$6</f>
        <v>0</v>
      </c>
      <c r="AI76" s="218">
        <f>(财务基础数据!AN297-财务基础数据!AN309)*目录!$D$6</f>
        <v>0</v>
      </c>
      <c r="AJ76" s="218">
        <f>(财务基础数据!AO297-财务基础数据!AO309)*目录!$D$6</f>
        <v>0</v>
      </c>
      <c r="AK76" s="218">
        <f>(财务基础数据!AP297-财务基础数据!AP309)*目录!$D$6</f>
        <v>0</v>
      </c>
      <c r="AL76" s="486">
        <f>IF(ISERROR(资产负债表!AL84-资产负债表!AG84+资产负债表!AL88-资产负债表!AG88+资产负债表!AL85-资产负债表!AG85+资产负债表!AL69-资产负债表!AG69+资产负债表!AL70-资产负债表!AG70+资产负债表!AL72-资产负债表!AG72+资产负债表!AL79+资产负债表!AL82-资产负债表!AL83-(资产负债表!AG79+资产负债表!AG82-资产负债表!AG83)),"—",资产负债表!AL84-资产负债表!AG84+资产负债表!AL88-资产负债表!AG88+资产负债表!AL85-资产负债表!AG85+资产负债表!AL69-资产负债表!AG69+资产负债表!AL70-资产负债表!AG70+资产负债表!AL72-资产负债表!AG72+资产负债表!AL79+资产负债表!AL82-资产负债表!AL83-(资产负债表!AG79+资产负债表!AG82-资产负债表!AG83))</f>
        <v>0</v>
      </c>
      <c r="AM76" s="218">
        <f>IF(ISERROR(资产负债表!AM84-资产负债表!AL84+资产负债表!AM88-资产负债表!AL88+资产负债表!AM85-资产负债表!AL85+资产负债表!AM69-资产负债表!AL69+资产负债表!AM70-资产负债表!AL70+资产负债表!AM72-资产负债表!AL72+资产负债表!AM79+资产负债表!AM82-资产负债表!AM83-(资产负债表!AL79+资产负债表!AL82-资产负债表!AL83)),"—",资产负债表!AM84-资产负债表!AL84+资产负债表!AM88-资产负债表!AL88+资产负债表!AM85-资产负债表!AL85+资产负债表!AM69-资产负债表!AL69+资产负债表!AM70-资产负债表!AL70+资产负债表!AM72-资产负债表!AL72+资产负债表!AM79+资产负债表!AM82-资产负债表!AM83-(资产负债表!AL79+资产负债表!AL82-资产负债表!AL83))</f>
        <v>0</v>
      </c>
      <c r="AN76" s="218">
        <f>IF(ISERROR(资产负债表!AN84-资产负债表!AM84+资产负债表!AN88-资产负债表!AM88+资产负债表!AN85-资产负债表!AM85+资产负债表!AN69-资产负债表!AM69+资产负债表!AN70-资产负债表!AM70+资产负债表!AN72-资产负债表!AM72+资产负债表!AN79+资产负债表!AN82-资产负债表!AN83-(资产负债表!AM79+资产负债表!AM82-资产负债表!AM83)),"—",资产负债表!AN84-资产负债表!AM84+资产负债表!AN88-资产负债表!AM88+资产负债表!AN85-资产负债表!AM85+资产负债表!AN69-资产负债表!AM69+资产负债表!AN70-资产负债表!AM70+资产负债表!AN72-资产负债表!AM72+资产负债表!AN79+资产负债表!AN82-资产负债表!AN83-(资产负债表!AM79+资产负债表!AM82-资产负债表!AM83))</f>
        <v>0</v>
      </c>
      <c r="AO76" s="218">
        <f>IF(ISERROR(资产负债表!AO84-资产负债表!AN84+资产负债表!AO88-资产负债表!AN88+资产负债表!AO85-资产负债表!AN85+资产负债表!AO69-资产负债表!AN69+资产负债表!AO70-资产负债表!AN70+资产负债表!AO72-资产负债表!AN72+资产负债表!AO79+资产负债表!AO82-资产负债表!AO83-(资产负债表!AN79+资产负债表!AN82-资产负债表!AN83)),"—",资产负债表!AO84-资产负债表!AN84+资产负债表!AO88-资产负债表!AN88+资产负债表!AO85-资产负债表!AN85+资产负债表!AO69-资产负债表!AN69+资产负债表!AO70-资产负债表!AN70+资产负债表!AO72-资产负债表!AN72+资产负债表!AO79+资产负债表!AO82-资产负债表!AO83-(资产负债表!AN79+资产负债表!AN82-资产负债表!AN83))</f>
        <v>0</v>
      </c>
      <c r="AP76" s="218">
        <f>IF(ISERROR(资产负债表!AP84-资产负债表!AO84+资产负债表!AP88-资产负债表!AO88+资产负债表!AP85-资产负债表!AO85+资产负债表!AP69-资产负债表!AO69+资产负债表!AP70-资产负债表!AO70+资产负债表!AP72-资产负债表!AO72+资产负债表!AP79+资产负债表!AP82-资产负债表!AP83-(资产负债表!AO79+资产负债表!AO82-资产负债表!AO83)),"—",资产负债表!AP84-资产负债表!AO84+资产负债表!AP88-资产负债表!AO88+资产负债表!AP85-资产负债表!AO85+资产负债表!AP69-资产负债表!AO69+资产负债表!AP70-资产负债表!AO70+资产负债表!AP72-资产负债表!AO72+资产负债表!AP79+资产负债表!AP82-资产负债表!AP83-(资产负债表!AO79+资产负债表!AO82-资产负债表!AO83))</f>
        <v>0</v>
      </c>
      <c r="AQ76" s="218">
        <f>IF(ISERROR(资产负债表!AQ84-资产负债表!AP84+资产负债表!AQ88-资产负债表!AP88+资产负债表!AQ85-资产负债表!AP85+资产负债表!AQ69-资产负债表!AP69+资产负债表!AQ70-资产负债表!AP70+资产负债表!AQ72-资产负债表!AP72+资产负债表!AQ79+资产负债表!AQ82-资产负债表!AQ83-(资产负债表!AP79+资产负债表!AP82-资产负债表!AP83)),"—",资产负债表!AQ84-资产负债表!AP84+资产负债表!AQ88-资产负债表!AP88+资产负债表!AQ85-资产负债表!AP85+资产负债表!AQ69-资产负债表!AP69+资产负债表!AQ70-资产负债表!AP70+资产负债表!AQ72-资产负债表!AP72+资产负债表!AQ79+资产负债表!AQ82-资产负债表!AQ83-(资产负债表!AP79+资产负债表!AP82-资产负债表!AP83))</f>
        <v>0</v>
      </c>
      <c r="AR76" s="218">
        <f>IF(ISERROR(资产负债表!AR84-资产负债表!AQ84+资产负债表!AR88-资产负债表!AQ88+资产负债表!AR85-资产负债表!AQ85+资产负债表!AR69-资产负债表!AQ69+资产负债表!AR70-资产负债表!AQ70+资产负债表!AR72-资产负债表!AQ72+资产负债表!AR79+资产负债表!AR82-资产负债表!AR83-(资产负债表!AQ79+资产负债表!AQ82-资产负债表!AQ83)),"—",资产负债表!AR84-资产负债表!AQ84+资产负债表!AR88-资产负债表!AQ88+资产负债表!AR85-资产负债表!AQ85+资产负债表!AR69-资产负债表!AQ69+资产负债表!AR70-资产负债表!AQ70+资产负债表!AR72-资产负债表!AQ72+资产负债表!AR79+资产负债表!AR82-资产负债表!AR83-(资产负债表!AQ79+资产负债表!AQ82-资产负债表!AQ83))</f>
        <v>0</v>
      </c>
      <c r="AS76" s="218">
        <f>IF(ISERROR(资产负债表!AS84-资产负债表!AR84+资产负债表!AS88-资产负债表!AR88+资产负债表!AS85-资产负债表!AR85+资产负债表!AS69-资产负债表!AR69+资产负债表!AS70-资产负债表!AR70+资产负债表!AS72-资产负债表!AR72+资产负债表!AS79+资产负债表!AS82-资产负债表!AS83-(资产负债表!AR79+资产负债表!AR82-资产负债表!AR83)),"—",资产负债表!AS84-资产负债表!AR84+资产负债表!AS88-资产负债表!AR88+资产负债表!AS85-资产负债表!AR85+资产负债表!AS69-资产负债表!AR69+资产负债表!AS70-资产负债表!AR70+资产负债表!AS72-资产负债表!AR72+资产负债表!AS79+资产负债表!AS82-资产负债表!AS83-(资产负债表!AR79+资产负债表!AR82-资产负债表!AR83))</f>
        <v>0</v>
      </c>
      <c r="AT76" s="218">
        <f>IF(ISERROR(资产负债表!AT84-资产负债表!AS84+资产负债表!AT88-资产负债表!AS88+资产负债表!AT85-资产负债表!AS85+资产负债表!AT69-资产负债表!AS69+资产负债表!AT70-资产负债表!AS70+资产负债表!AT72-资产负债表!AS72+资产负债表!AT79+资产负债表!AT82-资产负债表!AT83-(资产负债表!AS79+资产负债表!AS82-资产负债表!AS83)),"—",资产负债表!AT84-资产负债表!AS84+资产负债表!AT88-资产负债表!AS88+资产负债表!AT85-资产负债表!AS85+资产负债表!AT69-资产负债表!AS69+资产负债表!AT70-资产负债表!AS70+资产负债表!AT72-资产负债表!AS72+资产负债表!AT79+资产负债表!AT82-资产负债表!AT83-(资产负债表!AS79+资产负债表!AS82-资产负债表!AS83))</f>
        <v>0</v>
      </c>
      <c r="AU76" s="218">
        <f>IF(ISERROR(资产负债表!AU84-资产负债表!AT84+资产负债表!AU88-资产负债表!AT88+资产负债表!AU85-资产负债表!AT85+资产负债表!AU69-资产负债表!AT69+资产负债表!AU70-资产负债表!AT70+资产负债表!AU72-资产负债表!AT72+资产负债表!AU79+资产负债表!AU82-资产负债表!AU83-(资产负债表!AT79+资产负债表!AT82-资产负债表!AT83)),"—",资产负债表!AU84-资产负债表!AT84+资产负债表!AU88-资产负债表!AT88+资产负债表!AU85-资产负债表!AT85+资产负债表!AU69-资产负债表!AT69+资产负债表!AU70-资产负债表!AT70+资产负债表!AU72-资产负债表!AT72+资产负债表!AU79+资产负债表!AU82-资产负债表!AU83-(资产负债表!AT79+资产负债表!AT82-资产负债表!AT83))</f>
        <v>0</v>
      </c>
      <c r="AV76" s="59"/>
      <c r="AW76" s="59"/>
      <c r="AX76" s="59"/>
    </row>
    <row r="77" spans="2:50" ht="13.75">
      <c r="C77" s="42" t="s">
        <v>588</v>
      </c>
      <c r="E77" s="218">
        <f>E67+E68+E74+E76</f>
        <v>0</v>
      </c>
      <c r="F77" s="218"/>
      <c r="G77" s="218">
        <f>G67+G68+G74+G76</f>
        <v>0</v>
      </c>
      <c r="H77" s="218"/>
      <c r="I77" s="218">
        <f>I67+I68+I74+I76</f>
        <v>0</v>
      </c>
      <c r="J77" s="218"/>
      <c r="K77" s="218">
        <f>K67+K68+K74+K76</f>
        <v>0</v>
      </c>
      <c r="L77" s="218"/>
      <c r="M77" s="218">
        <f>M67+M68+M74+M76</f>
        <v>0</v>
      </c>
      <c r="N77" s="218"/>
      <c r="O77" s="218">
        <f t="shared" ref="O77:Y77" si="16">O67+O68+O74+O76</f>
        <v>0</v>
      </c>
      <c r="P77" s="218">
        <f t="shared" si="16"/>
        <v>0</v>
      </c>
      <c r="Q77" s="218">
        <f t="shared" si="16"/>
        <v>0</v>
      </c>
      <c r="R77" s="218">
        <f t="shared" si="16"/>
        <v>0</v>
      </c>
      <c r="S77" s="218">
        <f t="shared" si="16"/>
        <v>0</v>
      </c>
      <c r="T77" s="218">
        <f t="shared" si="16"/>
        <v>0</v>
      </c>
      <c r="U77" s="218">
        <f t="shared" si="16"/>
        <v>0</v>
      </c>
      <c r="V77" s="218">
        <f t="shared" si="16"/>
        <v>0</v>
      </c>
      <c r="W77" s="218">
        <f t="shared" si="16"/>
        <v>0</v>
      </c>
      <c r="X77" s="218">
        <f t="shared" si="16"/>
        <v>0</v>
      </c>
      <c r="Y77" s="218">
        <f t="shared" si="16"/>
        <v>0</v>
      </c>
      <c r="Z77" s="218"/>
      <c r="AA77" s="218">
        <f>AA67+AA68+AA74+AA76</f>
        <v>0</v>
      </c>
      <c r="AB77" s="218"/>
      <c r="AC77" s="218">
        <f>AC67+AC68+AC74+AC76</f>
        <v>0</v>
      </c>
      <c r="AD77" s="218"/>
      <c r="AE77" s="218">
        <f t="shared" ref="AE77:AK77" si="17">AE67+AE68+AE74+AE76</f>
        <v>0</v>
      </c>
      <c r="AF77" s="218">
        <f t="shared" si="17"/>
        <v>0</v>
      </c>
      <c r="AG77" s="218">
        <f t="shared" si="17"/>
        <v>0</v>
      </c>
      <c r="AH77" s="218">
        <f t="shared" si="17"/>
        <v>0</v>
      </c>
      <c r="AI77" s="218">
        <f t="shared" si="17"/>
        <v>0</v>
      </c>
      <c r="AJ77" s="218">
        <f t="shared" si="17"/>
        <v>0</v>
      </c>
      <c r="AK77" s="218">
        <f t="shared" si="17"/>
        <v>0</v>
      </c>
      <c r="AL77" s="218">
        <f t="shared" ref="AL77:AU77" si="18">IF(ISERROR(AL67+AL68+AL74+AL76),"—",AL67+AL68+AL74+AL76)</f>
        <v>0</v>
      </c>
      <c r="AM77" s="218">
        <f t="shared" si="18"/>
        <v>0</v>
      </c>
      <c r="AN77" s="218">
        <f t="shared" si="18"/>
        <v>0</v>
      </c>
      <c r="AO77" s="218">
        <f t="shared" si="18"/>
        <v>0</v>
      </c>
      <c r="AP77" s="218">
        <f t="shared" si="18"/>
        <v>0</v>
      </c>
      <c r="AQ77" s="218">
        <f t="shared" si="18"/>
        <v>0</v>
      </c>
      <c r="AR77" s="218">
        <f t="shared" si="18"/>
        <v>0</v>
      </c>
      <c r="AS77" s="218">
        <f t="shared" si="18"/>
        <v>0</v>
      </c>
      <c r="AT77" s="218">
        <f t="shared" si="18"/>
        <v>0</v>
      </c>
      <c r="AU77" s="218">
        <f t="shared" si="18"/>
        <v>0</v>
      </c>
      <c r="AV77" s="59"/>
      <c r="AW77" s="59"/>
      <c r="AX77" s="59"/>
    </row>
    <row r="78" spans="2:50" ht="13.75">
      <c r="C78" s="275" t="s">
        <v>694</v>
      </c>
      <c r="E78" s="218"/>
      <c r="F78" s="218"/>
      <c r="G78" s="218"/>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f>IF(ISERROR(资产预测!P242+资产预测!P243),"—",资产预测!P242+资产预测!P243)</f>
        <v>0</v>
      </c>
      <c r="AM78" s="218">
        <f>IF(ISERROR(资产预测!Q242+资产预测!Q243),"—",资产预测!Q242+资产预测!Q243)</f>
        <v>0</v>
      </c>
      <c r="AN78" s="218">
        <f>IF(ISERROR(资产预测!R242+资产预测!R243),"—",资产预测!R242+资产预测!R243)</f>
        <v>0</v>
      </c>
      <c r="AO78" s="218">
        <f>IF(ISERROR(资产预测!S242+资产预测!S243),"—",资产预测!S242+资产预测!S243)</f>
        <v>0</v>
      </c>
      <c r="AP78" s="218">
        <f>IF(ISERROR(资产预测!T242+资产预测!T243),"—",资产预测!T242+资产预测!T243)</f>
        <v>0</v>
      </c>
      <c r="AQ78" s="218">
        <f>IF(ISERROR(资产预测!U242+资产预测!U243),"—",资产预测!U242+资产预测!U243)</f>
        <v>0</v>
      </c>
      <c r="AR78" s="218">
        <f>IF(ISERROR(资产预测!V242+资产预测!V243),"—",资产预测!V242+资产预测!V243)</f>
        <v>0</v>
      </c>
      <c r="AS78" s="218">
        <f>IF(ISERROR(资产预测!W242+资产预测!W243),"—",资产预测!W242+资产预测!W243)</f>
        <v>0</v>
      </c>
      <c r="AT78" s="218">
        <f>IF(ISERROR(资产预测!X242+资产预测!X243),"—",资产预测!X242+资产预测!X243)</f>
        <v>0</v>
      </c>
      <c r="AU78" s="218">
        <f>IF(ISERROR(资产预测!Y242+资产预测!Y243),"—",资产预测!Y242+资产预测!Y243)</f>
        <v>0</v>
      </c>
      <c r="AV78" s="59"/>
      <c r="AW78" s="59"/>
      <c r="AX78" s="59"/>
    </row>
    <row r="79" spans="2:50" ht="13.75">
      <c r="B79" s="43" t="s">
        <v>589</v>
      </c>
      <c r="C79" s="44"/>
      <c r="D79" s="44"/>
      <c r="E79" s="223">
        <f>(财务基础数据!J311)*目录!$D$6</f>
        <v>0</v>
      </c>
      <c r="F79" s="223">
        <f>(财务基础数据!K311)*目录!$D$6</f>
        <v>0</v>
      </c>
      <c r="G79" s="223">
        <f>(财务基础数据!L311)*目录!$D$6</f>
        <v>0</v>
      </c>
      <c r="H79" s="223">
        <f>(财务基础数据!M311)*目录!$D$6</f>
        <v>0</v>
      </c>
      <c r="I79" s="223">
        <f>(财务基础数据!N311)*目录!$D$6</f>
        <v>0</v>
      </c>
      <c r="J79" s="223">
        <f>(财务基础数据!O311)*目录!$D$6</f>
        <v>0</v>
      </c>
      <c r="K79" s="223">
        <f>(财务基础数据!P311)*目录!$D$6</f>
        <v>0</v>
      </c>
      <c r="L79" s="223">
        <f>(财务基础数据!Q311)*目录!$D$6</f>
        <v>0</v>
      </c>
      <c r="M79" s="223">
        <f>(财务基础数据!R311)*目录!$D$6</f>
        <v>0</v>
      </c>
      <c r="N79" s="223">
        <f>(财务基础数据!S311)*目录!$D$6</f>
        <v>0</v>
      </c>
      <c r="O79" s="223">
        <f>(财务基础数据!T311)*目录!$D$6</f>
        <v>0</v>
      </c>
      <c r="P79" s="223">
        <f>(财务基础数据!U311)*目录!$D$6</f>
        <v>0</v>
      </c>
      <c r="Q79" s="223">
        <f>(财务基础数据!V311)*目录!$D$6</f>
        <v>0</v>
      </c>
      <c r="R79" s="223">
        <f>(财务基础数据!W311)*目录!$D$6</f>
        <v>0</v>
      </c>
      <c r="S79" s="223">
        <f>(财务基础数据!X311)*目录!$D$6</f>
        <v>0</v>
      </c>
      <c r="T79" s="223">
        <f>(财务基础数据!Y311)*目录!$D$6</f>
        <v>0</v>
      </c>
      <c r="U79" s="223">
        <f>(财务基础数据!Z311)*目录!$D$6</f>
        <v>0</v>
      </c>
      <c r="V79" s="223">
        <f>(财务基础数据!AA311)*目录!$D$6</f>
        <v>0</v>
      </c>
      <c r="W79" s="223">
        <f>(财务基础数据!AB311)*目录!$D$6</f>
        <v>0</v>
      </c>
      <c r="X79" s="223">
        <f>(财务基础数据!AC311)*目录!$D$6</f>
        <v>0</v>
      </c>
      <c r="Y79" s="223">
        <f>(财务基础数据!AD311)*目录!$D$6</f>
        <v>0</v>
      </c>
      <c r="Z79" s="223">
        <f>(财务基础数据!AE311)*目录!$D$6</f>
        <v>0</v>
      </c>
      <c r="AA79" s="223">
        <f>(财务基础数据!AF311)*目录!$D$6</f>
        <v>0</v>
      </c>
      <c r="AB79" s="223">
        <f>(财务基础数据!AG311)*目录!$D$6</f>
        <v>0</v>
      </c>
      <c r="AC79" s="223">
        <f>(财务基础数据!AH311)*目录!$D$6</f>
        <v>0</v>
      </c>
      <c r="AD79" s="223">
        <f>(财务基础数据!AI311)*目录!$D$6</f>
        <v>0</v>
      </c>
      <c r="AE79" s="223">
        <f>(财务基础数据!AJ311)*目录!$D$6</f>
        <v>0</v>
      </c>
      <c r="AF79" s="223">
        <f>(财务基础数据!AK311)*目录!$D$6</f>
        <v>0</v>
      </c>
      <c r="AG79" s="223">
        <f>(财务基础数据!AL311)*目录!$D$6</f>
        <v>0</v>
      </c>
      <c r="AH79" s="223">
        <f>(财务基础数据!AM311)*目录!$D$6</f>
        <v>0</v>
      </c>
      <c r="AI79" s="223">
        <f>(财务基础数据!AN311)*目录!$D$6</f>
        <v>0</v>
      </c>
      <c r="AJ79" s="223">
        <f>(财务基础数据!AO311)*目录!$D$6</f>
        <v>0</v>
      </c>
      <c r="AK79" s="223">
        <f>(财务基础数据!AP311)*目录!$D$6</f>
        <v>0</v>
      </c>
      <c r="AL79" s="223">
        <f t="shared" ref="AL79:AU79" si="19">IF(ISERROR(AL77+AL78),"—",AL77+AL78)</f>
        <v>0</v>
      </c>
      <c r="AM79" s="223">
        <f t="shared" si="19"/>
        <v>0</v>
      </c>
      <c r="AN79" s="223">
        <f t="shared" si="19"/>
        <v>0</v>
      </c>
      <c r="AO79" s="223">
        <f t="shared" si="19"/>
        <v>0</v>
      </c>
      <c r="AP79" s="223">
        <f t="shared" si="19"/>
        <v>0</v>
      </c>
      <c r="AQ79" s="223">
        <f t="shared" si="19"/>
        <v>0</v>
      </c>
      <c r="AR79" s="223">
        <f t="shared" si="19"/>
        <v>0</v>
      </c>
      <c r="AS79" s="223">
        <f t="shared" si="19"/>
        <v>0</v>
      </c>
      <c r="AT79" s="223">
        <f t="shared" si="19"/>
        <v>0</v>
      </c>
      <c r="AU79" s="223">
        <f t="shared" si="19"/>
        <v>0</v>
      </c>
      <c r="AV79" s="59"/>
      <c r="AW79" s="59"/>
      <c r="AX79" s="59"/>
    </row>
    <row r="80" spans="2:50" s="260" customFormat="1" ht="13.75">
      <c r="B80" s="261"/>
      <c r="C80" s="262"/>
      <c r="D80" s="262"/>
      <c r="E80" s="486"/>
      <c r="F80" s="486"/>
      <c r="G80" s="486"/>
      <c r="H80" s="486"/>
      <c r="I80" s="486"/>
      <c r="J80" s="486"/>
      <c r="K80" s="486"/>
      <c r="L80" s="486"/>
      <c r="M80" s="486"/>
      <c r="N80" s="486"/>
      <c r="O80" s="486"/>
      <c r="P80" s="486"/>
      <c r="Q80" s="486"/>
      <c r="R80" s="486"/>
      <c r="S80" s="486"/>
      <c r="T80" s="486"/>
      <c r="U80" s="486"/>
      <c r="V80" s="486"/>
      <c r="W80" s="486"/>
      <c r="X80" s="486"/>
      <c r="Y80" s="486"/>
      <c r="Z80" s="486"/>
      <c r="AA80" s="486"/>
      <c r="AB80" s="486"/>
      <c r="AC80" s="486"/>
      <c r="AD80" s="486"/>
      <c r="AE80" s="486"/>
      <c r="AF80" s="486"/>
      <c r="AG80" s="486"/>
      <c r="AH80" s="486"/>
      <c r="AI80" s="486"/>
      <c r="AJ80" s="486"/>
      <c r="AK80" s="486"/>
      <c r="AL80" s="486"/>
      <c r="AM80" s="486"/>
      <c r="AN80" s="486"/>
      <c r="AO80" s="486"/>
      <c r="AP80" s="486"/>
      <c r="AQ80" s="486"/>
      <c r="AR80" s="486"/>
      <c r="AS80" s="486"/>
      <c r="AT80" s="486"/>
      <c r="AU80" s="486"/>
      <c r="AV80" s="304"/>
      <c r="AW80" s="304"/>
      <c r="AX80" s="304"/>
    </row>
    <row r="81" spans="2:50" ht="13.75">
      <c r="B81" s="42" t="s">
        <v>169</v>
      </c>
      <c r="D81" s="112" t="s">
        <v>699</v>
      </c>
      <c r="E81" s="218">
        <f>财务基础数据!J312*目录!$D$6</f>
        <v>0</v>
      </c>
      <c r="F81" s="218"/>
      <c r="G81" s="218">
        <f>财务基础数据!L312*目录!$D$6</f>
        <v>0</v>
      </c>
      <c r="H81" s="218"/>
      <c r="I81" s="218">
        <f>财务基础数据!N312*目录!$D$6</f>
        <v>0</v>
      </c>
      <c r="J81" s="218"/>
      <c r="K81" s="218">
        <f>财务基础数据!P312*目录!$D$6</f>
        <v>0</v>
      </c>
      <c r="L81" s="218"/>
      <c r="M81" s="218">
        <f>财务基础数据!R312*目录!$D$6</f>
        <v>0</v>
      </c>
      <c r="N81" s="218"/>
      <c r="O81" s="218">
        <f>财务基础数据!T312*目录!$D$6</f>
        <v>0</v>
      </c>
      <c r="P81" s="218">
        <f>财务基础数据!U312*目录!$D$6</f>
        <v>0</v>
      </c>
      <c r="Q81" s="218">
        <f>财务基础数据!V312*目录!$D$6</f>
        <v>0</v>
      </c>
      <c r="R81" s="218">
        <f>财务基础数据!W312*目录!$D$6</f>
        <v>0</v>
      </c>
      <c r="S81" s="218">
        <f>财务基础数据!X312*目录!$D$6</f>
        <v>0</v>
      </c>
      <c r="T81" s="218">
        <f>财务基础数据!Y312*目录!$D$6</f>
        <v>0</v>
      </c>
      <c r="U81" s="218">
        <f>财务基础数据!Z312*目录!$D$6</f>
        <v>0</v>
      </c>
      <c r="V81" s="218">
        <f>财务基础数据!AA312*目录!$D$6</f>
        <v>0</v>
      </c>
      <c r="W81" s="218">
        <f>财务基础数据!AB312*目录!$D$6</f>
        <v>0</v>
      </c>
      <c r="X81" s="218">
        <f>财务基础数据!AC312*目录!$D$6</f>
        <v>0</v>
      </c>
      <c r="Y81" s="218">
        <f>财务基础数据!AD312*目录!$D$6</f>
        <v>0</v>
      </c>
      <c r="Z81" s="218"/>
      <c r="AA81" s="218">
        <f>财务基础数据!AF312*目录!$D$6</f>
        <v>0</v>
      </c>
      <c r="AB81" s="218"/>
      <c r="AC81" s="218">
        <f>财务基础数据!AH312*目录!$D$6</f>
        <v>0</v>
      </c>
      <c r="AD81" s="218"/>
      <c r="AE81" s="218">
        <f>财务基础数据!AJ312*目录!$D$6</f>
        <v>0</v>
      </c>
      <c r="AF81" s="218">
        <f>财务基础数据!AK312*目录!$D$6</f>
        <v>0</v>
      </c>
      <c r="AG81" s="218">
        <f>财务基础数据!AL312*目录!$D$6</f>
        <v>0</v>
      </c>
      <c r="AH81" s="218">
        <f>财务基础数据!AM312*目录!$D$6</f>
        <v>0</v>
      </c>
      <c r="AI81" s="218">
        <f>财务基础数据!AN312*目录!$D$6</f>
        <v>0</v>
      </c>
      <c r="AJ81" s="218">
        <f>财务基础数据!AO312*目录!$D$6</f>
        <v>0</v>
      </c>
      <c r="AK81" s="218">
        <f>财务基础数据!AP312*目录!$D$6</f>
        <v>0</v>
      </c>
      <c r="AL81" s="108">
        <v>0</v>
      </c>
      <c r="AM81" s="108">
        <v>0</v>
      </c>
      <c r="AN81" s="108">
        <v>0</v>
      </c>
      <c r="AO81" s="108">
        <v>0</v>
      </c>
      <c r="AP81" s="108">
        <v>0</v>
      </c>
      <c r="AQ81" s="108">
        <v>0</v>
      </c>
      <c r="AR81" s="108">
        <v>0</v>
      </c>
      <c r="AS81" s="108">
        <v>0</v>
      </c>
      <c r="AT81" s="108">
        <v>0</v>
      </c>
      <c r="AU81" s="108">
        <v>0</v>
      </c>
      <c r="AV81" s="59"/>
      <c r="AW81" s="59"/>
      <c r="AX81" s="59"/>
    </row>
    <row r="82" spans="2:50" ht="13.75">
      <c r="B82" s="42"/>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658"/>
      <c r="AM82" s="41"/>
      <c r="AN82" s="41"/>
      <c r="AO82" s="218"/>
      <c r="AP82" s="41"/>
      <c r="AQ82" s="41"/>
      <c r="AR82" s="41"/>
      <c r="AS82" s="41"/>
      <c r="AT82" s="41"/>
      <c r="AU82" s="41"/>
      <c r="AV82" s="59"/>
      <c r="AW82" s="59"/>
      <c r="AX82" s="59"/>
    </row>
    <row r="83" spans="2:50" ht="13.75">
      <c r="B83" s="42" t="s">
        <v>385</v>
      </c>
      <c r="E83" s="218">
        <f>财务基础数据!J313*目录!$D$6</f>
        <v>0</v>
      </c>
      <c r="F83" s="218">
        <f>财务基础数据!K313*目录!$D$6</f>
        <v>0</v>
      </c>
      <c r="G83" s="218">
        <f>财务基础数据!L313*目录!$D$6</f>
        <v>0</v>
      </c>
      <c r="H83" s="218">
        <f>财务基础数据!M313*目录!$D$6</f>
        <v>0</v>
      </c>
      <c r="I83" s="218">
        <f>财务基础数据!N313*目录!$D$6</f>
        <v>0</v>
      </c>
      <c r="J83" s="218">
        <f>财务基础数据!O313*目录!$D$6</f>
        <v>0</v>
      </c>
      <c r="K83" s="218">
        <f>财务基础数据!P313*目录!$D$6</f>
        <v>0</v>
      </c>
      <c r="L83" s="218">
        <f>财务基础数据!Q313*目录!$D$6</f>
        <v>0</v>
      </c>
      <c r="M83" s="218">
        <f>财务基础数据!R313*目录!$D$6</f>
        <v>0</v>
      </c>
      <c r="N83" s="218">
        <f>财务基础数据!S313*目录!$D$6</f>
        <v>0</v>
      </c>
      <c r="O83" s="218">
        <f>财务基础数据!T313*目录!$D$6</f>
        <v>0</v>
      </c>
      <c r="P83" s="218">
        <f>财务基础数据!U313*目录!$D$6</f>
        <v>0</v>
      </c>
      <c r="Q83" s="218">
        <f>财务基础数据!V313*目录!$D$6</f>
        <v>0</v>
      </c>
      <c r="R83" s="218">
        <f>财务基础数据!W313*目录!$D$6</f>
        <v>0</v>
      </c>
      <c r="S83" s="218">
        <f>财务基础数据!X313*目录!$D$6</f>
        <v>0</v>
      </c>
      <c r="T83" s="218">
        <f>财务基础数据!Y313*目录!$D$6</f>
        <v>0</v>
      </c>
      <c r="U83" s="218">
        <f>财务基础数据!Z313*目录!$D$6</f>
        <v>0</v>
      </c>
      <c r="V83" s="218">
        <f>财务基础数据!AA313*目录!$D$6</f>
        <v>0</v>
      </c>
      <c r="W83" s="218">
        <f>财务基础数据!AB313*目录!$D$6</f>
        <v>0</v>
      </c>
      <c r="X83" s="218">
        <f>财务基础数据!AC313*目录!$D$6</f>
        <v>0</v>
      </c>
      <c r="Y83" s="218">
        <f>财务基础数据!AD313*目录!$D$6</f>
        <v>0</v>
      </c>
      <c r="Z83" s="218">
        <f>财务基础数据!AE313*目录!$D$6</f>
        <v>0</v>
      </c>
      <c r="AA83" s="218">
        <f>财务基础数据!AF313*目录!$D$6</f>
        <v>0</v>
      </c>
      <c r="AB83" s="218">
        <f>财务基础数据!AG313*目录!$D$6</f>
        <v>0</v>
      </c>
      <c r="AC83" s="218">
        <f>财务基础数据!AH313*目录!$D$6</f>
        <v>0</v>
      </c>
      <c r="AD83" s="218">
        <f>财务基础数据!AI313*目录!$D$6</f>
        <v>0</v>
      </c>
      <c r="AE83" s="218">
        <f>财务基础数据!AJ313*目录!$D$6</f>
        <v>0</v>
      </c>
      <c r="AF83" s="218">
        <f>财务基础数据!AK313*目录!$D$6</f>
        <v>0</v>
      </c>
      <c r="AG83" s="218">
        <f>财务基础数据!AL313*目录!$D$6</f>
        <v>0</v>
      </c>
      <c r="AH83" s="218">
        <f>财务基础数据!AM313*目录!$D$6</f>
        <v>0</v>
      </c>
      <c r="AI83" s="218">
        <f>财务基础数据!AN313*目录!$D$6</f>
        <v>0</v>
      </c>
      <c r="AJ83" s="218">
        <f>财务基础数据!AO313*目录!$D$6</f>
        <v>0</v>
      </c>
      <c r="AK83" s="218">
        <f>财务基础数据!AP313*目录!$D$6</f>
        <v>0</v>
      </c>
      <c r="AL83" s="218" t="str">
        <f>IF(ISERROR(AL41+AL64+AL79+AL81),"—",AL41+AL64+AL79+AL81)</f>
        <v>—</v>
      </c>
      <c r="AM83" s="218" t="str">
        <f t="shared" ref="AM83:AU83" si="20">IF(ISERROR(AM41+AM64+AM79+AM81),"—",AM41+AM64+AM79+AM81)</f>
        <v>—</v>
      </c>
      <c r="AN83" s="218" t="str">
        <f t="shared" si="20"/>
        <v>—</v>
      </c>
      <c r="AO83" s="218">
        <f t="shared" si="20"/>
        <v>0</v>
      </c>
      <c r="AP83" s="218">
        <f t="shared" si="20"/>
        <v>0</v>
      </c>
      <c r="AQ83" s="218">
        <f t="shared" si="20"/>
        <v>0</v>
      </c>
      <c r="AR83" s="218">
        <f t="shared" si="20"/>
        <v>0</v>
      </c>
      <c r="AS83" s="218">
        <f t="shared" si="20"/>
        <v>0</v>
      </c>
      <c r="AT83" s="218">
        <f t="shared" si="20"/>
        <v>0</v>
      </c>
      <c r="AU83" s="218">
        <f t="shared" si="20"/>
        <v>0</v>
      </c>
      <c r="AV83" s="59"/>
      <c r="AW83" s="59"/>
      <c r="AX83" s="59"/>
    </row>
    <row r="84" spans="2:50">
      <c r="E84" s="218"/>
      <c r="F84" s="218"/>
      <c r="G84" s="218"/>
      <c r="H84" s="218"/>
      <c r="I84" s="218"/>
      <c r="J84" s="218"/>
      <c r="K84" s="218"/>
      <c r="L84" s="218"/>
      <c r="M84" s="218"/>
      <c r="N84" s="218"/>
      <c r="O84" s="218"/>
      <c r="P84" s="218"/>
      <c r="Q84" s="218"/>
      <c r="R84" s="218"/>
      <c r="S84" s="218"/>
      <c r="T84" s="218"/>
      <c r="U84" s="218"/>
      <c r="V84" s="218"/>
      <c r="W84" s="218"/>
      <c r="X84" s="218"/>
      <c r="Y84" s="218"/>
      <c r="Z84" s="218"/>
      <c r="AA84" s="218"/>
      <c r="AB84" s="218"/>
      <c r="AC84" s="218"/>
      <c r="AD84" s="218"/>
      <c r="AE84" s="218"/>
      <c r="AF84" s="218"/>
      <c r="AG84" s="218"/>
      <c r="AH84" s="218"/>
      <c r="AI84" s="218"/>
      <c r="AJ84" s="218"/>
      <c r="AK84" s="218"/>
      <c r="AL84" s="218"/>
      <c r="AM84" s="218"/>
      <c r="AN84" s="218"/>
      <c r="AO84" s="218"/>
      <c r="AP84" s="218"/>
      <c r="AQ84" s="218"/>
      <c r="AR84" s="218"/>
      <c r="AS84" s="218"/>
      <c r="AT84" s="218"/>
      <c r="AU84" s="218"/>
      <c r="AV84" s="59"/>
      <c r="AW84" s="59"/>
      <c r="AX84" s="59"/>
    </row>
    <row r="85" spans="2:50" s="260" customFormat="1" ht="13.75">
      <c r="B85" s="261" t="s">
        <v>386</v>
      </c>
      <c r="C85" s="262"/>
      <c r="D85" s="262"/>
      <c r="E85" s="486">
        <f>财务基础数据!J314*目录!$D$6</f>
        <v>0</v>
      </c>
      <c r="F85" s="486">
        <f>财务基础数据!K314*目录!$D$6</f>
        <v>0</v>
      </c>
      <c r="G85" s="486">
        <f>财务基础数据!L314*目录!$D$6</f>
        <v>0</v>
      </c>
      <c r="H85" s="486">
        <f>财务基础数据!M314*目录!$D$6</f>
        <v>0</v>
      </c>
      <c r="I85" s="486">
        <f>财务基础数据!N314*目录!$D$6</f>
        <v>0</v>
      </c>
      <c r="J85" s="486">
        <f>财务基础数据!O314*目录!$D$6</f>
        <v>0</v>
      </c>
      <c r="K85" s="486">
        <f>财务基础数据!P314*目录!$D$6</f>
        <v>0</v>
      </c>
      <c r="L85" s="486">
        <f>财务基础数据!Q314*目录!$D$6</f>
        <v>0</v>
      </c>
      <c r="M85" s="486">
        <f>财务基础数据!R314*目录!$D$6</f>
        <v>0</v>
      </c>
      <c r="N85" s="486">
        <f>财务基础数据!S314*目录!$D$6</f>
        <v>0</v>
      </c>
      <c r="O85" s="486">
        <f>财务基础数据!T314*目录!$D$6</f>
        <v>0</v>
      </c>
      <c r="P85" s="486">
        <f>财务基础数据!U314*目录!$D$6</f>
        <v>0</v>
      </c>
      <c r="Q85" s="486">
        <f>财务基础数据!V314*目录!$D$6</f>
        <v>0</v>
      </c>
      <c r="R85" s="486">
        <f>财务基础数据!W314*目录!$D$6</f>
        <v>0</v>
      </c>
      <c r="S85" s="486">
        <f>财务基础数据!X314*目录!$D$6</f>
        <v>0</v>
      </c>
      <c r="T85" s="486">
        <f>财务基础数据!Y314*目录!$D$6</f>
        <v>0</v>
      </c>
      <c r="U85" s="486">
        <f>财务基础数据!Z314*目录!$D$6</f>
        <v>0</v>
      </c>
      <c r="V85" s="486">
        <f>财务基础数据!AA314*目录!$D$6</f>
        <v>0</v>
      </c>
      <c r="W85" s="486">
        <f>财务基础数据!AB314*目录!$D$6</f>
        <v>0</v>
      </c>
      <c r="X85" s="486">
        <f>财务基础数据!AC314*目录!$D$6</f>
        <v>0</v>
      </c>
      <c r="Y85" s="486">
        <f>财务基础数据!AD314*目录!$D$6</f>
        <v>0</v>
      </c>
      <c r="Z85" s="486">
        <f>财务基础数据!AE314*目录!$D$6</f>
        <v>0</v>
      </c>
      <c r="AA85" s="486">
        <f>财务基础数据!AF314*目录!$D$6</f>
        <v>0</v>
      </c>
      <c r="AB85" s="486">
        <f>财务基础数据!AG314*目录!$D$6</f>
        <v>0</v>
      </c>
      <c r="AC85" s="486">
        <f>财务基础数据!AH314*目录!$D$6</f>
        <v>0</v>
      </c>
      <c r="AD85" s="486">
        <f>财务基础数据!AI314*目录!$D$6</f>
        <v>0</v>
      </c>
      <c r="AE85" s="486">
        <f>财务基础数据!AJ314*目录!$D$6</f>
        <v>0</v>
      </c>
      <c r="AF85" s="486">
        <f>财务基础数据!AK314*目录!$D$6</f>
        <v>0</v>
      </c>
      <c r="AG85" s="486">
        <f>财务基础数据!AL314*目录!$D$6</f>
        <v>0</v>
      </c>
      <c r="AH85" s="486">
        <f>财务基础数据!AM314*目录!$D$6</f>
        <v>0</v>
      </c>
      <c r="AI85" s="486">
        <f>财务基础数据!AN314*目录!$D$6</f>
        <v>0</v>
      </c>
      <c r="AJ85" s="486">
        <f>财务基础数据!AO314*目录!$D$6</f>
        <v>0</v>
      </c>
      <c r="AK85" s="486">
        <f>财务基础数据!AP314*目录!$D$6</f>
        <v>0</v>
      </c>
      <c r="AL85" s="486">
        <f>IF(ISERROR(资产负债表!AG8),"—",资产负债表!AG8)</f>
        <v>0</v>
      </c>
      <c r="AM85" s="486" t="str">
        <f>IF(ISERROR(资产负债表!AL8),"—",资产负债表!AL8)</f>
        <v>—</v>
      </c>
      <c r="AN85" s="486" t="str">
        <f>IF(ISERROR(资产负债表!AM8),"—",资产负债表!AM8)</f>
        <v>—</v>
      </c>
      <c r="AO85" s="486" t="str">
        <f>IF(ISERROR(资产负债表!AN8),"—",资产负债表!AN8)</f>
        <v>—</v>
      </c>
      <c r="AP85" s="486" t="str">
        <f>IF(ISERROR(资产负债表!AO8),"—",资产负债表!AO8)</f>
        <v>—</v>
      </c>
      <c r="AQ85" s="486" t="str">
        <f>IF(ISERROR(资产负债表!AP8),"—",资产负债表!AP8)</f>
        <v>—</v>
      </c>
      <c r="AR85" s="486" t="str">
        <f>IF(ISERROR(资产负债表!AQ8),"—",资产负债表!AQ8)</f>
        <v>—</v>
      </c>
      <c r="AS85" s="486" t="str">
        <f>IF(ISERROR(资产负债表!AR8),"—",资产负债表!AR8)</f>
        <v>—</v>
      </c>
      <c r="AT85" s="486" t="str">
        <f>IF(ISERROR(资产负债表!AS8),"—",资产负债表!AS8)</f>
        <v>—</v>
      </c>
      <c r="AU85" s="486" t="str">
        <f>IF(ISERROR(资产负债表!AT8),"—",资产负债表!AT8)</f>
        <v>—</v>
      </c>
      <c r="AV85" s="304"/>
      <c r="AW85" s="304"/>
      <c r="AX85" s="304"/>
    </row>
    <row r="86" spans="2:50" s="260" customFormat="1">
      <c r="B86" s="262"/>
      <c r="C86" s="262"/>
      <c r="D86" s="262"/>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304"/>
      <c r="AW86" s="304"/>
      <c r="AX86" s="304"/>
    </row>
    <row r="87" spans="2:50" s="260" customFormat="1" ht="13.75">
      <c r="B87" s="261" t="s">
        <v>387</v>
      </c>
      <c r="C87" s="262"/>
      <c r="D87" s="262"/>
      <c r="E87" s="486">
        <f>财务基础数据!J315*目录!$D$6</f>
        <v>0</v>
      </c>
      <c r="F87" s="486">
        <f>财务基础数据!K315*目录!$D$6</f>
        <v>0</v>
      </c>
      <c r="G87" s="486">
        <f>财务基础数据!L315*目录!$D$6</f>
        <v>0</v>
      </c>
      <c r="H87" s="486">
        <f>财务基础数据!M315*目录!$D$6</f>
        <v>0</v>
      </c>
      <c r="I87" s="486">
        <f>财务基础数据!N315*目录!$D$6</f>
        <v>0</v>
      </c>
      <c r="J87" s="486">
        <f>财务基础数据!O315*目录!$D$6</f>
        <v>0</v>
      </c>
      <c r="K87" s="486">
        <f>财务基础数据!P315*目录!$D$6</f>
        <v>0</v>
      </c>
      <c r="L87" s="486">
        <f>财务基础数据!Q315*目录!$D$6</f>
        <v>0</v>
      </c>
      <c r="M87" s="486">
        <f>财务基础数据!R315*目录!$D$6</f>
        <v>0</v>
      </c>
      <c r="N87" s="486">
        <f>财务基础数据!S315*目录!$D$6</f>
        <v>0</v>
      </c>
      <c r="O87" s="486">
        <f>财务基础数据!T315*目录!$D$6</f>
        <v>0</v>
      </c>
      <c r="P87" s="486">
        <f>财务基础数据!U315*目录!$D$6</f>
        <v>0</v>
      </c>
      <c r="Q87" s="486">
        <f>财务基础数据!V315*目录!$D$6</f>
        <v>0</v>
      </c>
      <c r="R87" s="486">
        <f>财务基础数据!W315*目录!$D$6</f>
        <v>0</v>
      </c>
      <c r="S87" s="486">
        <f>财务基础数据!X315*目录!$D$6</f>
        <v>0</v>
      </c>
      <c r="T87" s="486">
        <f>财务基础数据!Y315*目录!$D$6</f>
        <v>0</v>
      </c>
      <c r="U87" s="486">
        <f>财务基础数据!Z315*目录!$D$6</f>
        <v>0</v>
      </c>
      <c r="V87" s="486">
        <f>财务基础数据!AA315*目录!$D$6</f>
        <v>0</v>
      </c>
      <c r="W87" s="486">
        <f>财务基础数据!AB315*目录!$D$6</f>
        <v>0</v>
      </c>
      <c r="X87" s="486">
        <f>财务基础数据!AC315*目录!$D$6</f>
        <v>0</v>
      </c>
      <c r="Y87" s="486">
        <f>财务基础数据!AD315*目录!$D$6</f>
        <v>0</v>
      </c>
      <c r="Z87" s="486">
        <f>财务基础数据!AE315*目录!$D$6</f>
        <v>0</v>
      </c>
      <c r="AA87" s="486">
        <f>财务基础数据!AF315*目录!$D$6</f>
        <v>0</v>
      </c>
      <c r="AB87" s="486">
        <f>财务基础数据!AG315*目录!$D$6</f>
        <v>0</v>
      </c>
      <c r="AC87" s="486">
        <f>财务基础数据!AH315*目录!$D$6</f>
        <v>0</v>
      </c>
      <c r="AD87" s="486">
        <f>财务基础数据!AI315*目录!$D$6</f>
        <v>0</v>
      </c>
      <c r="AE87" s="486">
        <f>财务基础数据!AJ315*目录!$D$6</f>
        <v>0</v>
      </c>
      <c r="AF87" s="486">
        <f>财务基础数据!AK315*目录!$D$6</f>
        <v>0</v>
      </c>
      <c r="AG87" s="486">
        <f>财务基础数据!AL315*目录!$D$6</f>
        <v>0</v>
      </c>
      <c r="AH87" s="486">
        <f>财务基础数据!AM315*目录!$D$6</f>
        <v>0</v>
      </c>
      <c r="AI87" s="486">
        <f>财务基础数据!AN315*目录!$D$6</f>
        <v>0</v>
      </c>
      <c r="AJ87" s="486">
        <f>财务基础数据!AO315*目录!$D$6</f>
        <v>0</v>
      </c>
      <c r="AK87" s="486">
        <f>财务基础数据!AP315*目录!$D$6</f>
        <v>0</v>
      </c>
      <c r="AL87" s="486" t="str">
        <f>IF(ISERROR(AL85+AL83),"—",AL85+AL83)</f>
        <v>—</v>
      </c>
      <c r="AM87" s="486" t="str">
        <f t="shared" ref="AM87:AU87" si="21">IF(ISERROR(AM85+AM83),"—",AM85+AM83)</f>
        <v>—</v>
      </c>
      <c r="AN87" s="486" t="str">
        <f t="shared" si="21"/>
        <v>—</v>
      </c>
      <c r="AO87" s="486" t="str">
        <f t="shared" si="21"/>
        <v>—</v>
      </c>
      <c r="AP87" s="486" t="str">
        <f t="shared" si="21"/>
        <v>—</v>
      </c>
      <c r="AQ87" s="486" t="str">
        <f t="shared" si="21"/>
        <v>—</v>
      </c>
      <c r="AR87" s="486" t="str">
        <f t="shared" si="21"/>
        <v>—</v>
      </c>
      <c r="AS87" s="486" t="str">
        <f t="shared" si="21"/>
        <v>—</v>
      </c>
      <c r="AT87" s="486" t="str">
        <f t="shared" si="21"/>
        <v>—</v>
      </c>
      <c r="AU87" s="486" t="str">
        <f t="shared" si="21"/>
        <v>—</v>
      </c>
      <c r="AV87" s="304"/>
      <c r="AW87" s="304"/>
      <c r="AX87" s="304"/>
    </row>
    <row r="88" spans="2:50" s="260" customFormat="1">
      <c r="B88" s="262"/>
      <c r="C88" s="262"/>
      <c r="D88" s="262"/>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304"/>
      <c r="AW88" s="304"/>
      <c r="AX88" s="304"/>
    </row>
    <row r="89" spans="2:50" ht="13.75">
      <c r="B89" s="42" t="s">
        <v>444</v>
      </c>
      <c r="E89" s="218" t="str">
        <f>IF(ISERROR(E41/利润表!E92),"—",E41/利润表!E92)</f>
        <v>—</v>
      </c>
      <c r="F89" s="218" t="str">
        <f>IF(ISERROR(F41/利润表!F92),"—",F41/利润表!F92)</f>
        <v>—</v>
      </c>
      <c r="G89" s="218" t="str">
        <f>IF(ISERROR(G41/利润表!G92),"—",G41/利润表!G92)</f>
        <v>—</v>
      </c>
      <c r="H89" s="218" t="str">
        <f>IF(ISERROR(H41/利润表!H92),"—",H41/利润表!H92)</f>
        <v>—</v>
      </c>
      <c r="I89" s="218" t="str">
        <f>IF(ISERROR(I41/利润表!I92),"—",I41/利润表!I92)</f>
        <v>—</v>
      </c>
      <c r="J89" s="218" t="str">
        <f>IF(ISERROR(J41/利润表!J92),"—",J41/利润表!J92)</f>
        <v>—</v>
      </c>
      <c r="K89" s="218" t="str">
        <f>IF(ISERROR(K41/利润表!K92),"—",K41/利润表!K92)</f>
        <v>—</v>
      </c>
      <c r="L89" s="218" t="str">
        <f>IF(ISERROR(L41/利润表!L92),"—",L41/利润表!L92)</f>
        <v>—</v>
      </c>
      <c r="M89" s="218" t="str">
        <f>IF(ISERROR(M41/利润表!M92),"—",M41/利润表!M92)</f>
        <v>—</v>
      </c>
      <c r="N89" s="218" t="str">
        <f>IF(ISERROR(N41/利润表!N92),"—",N41/利润表!N92)</f>
        <v>—</v>
      </c>
      <c r="O89" s="218" t="str">
        <f>IF(ISERROR(O41/利润表!O92),"—",O41/利润表!O92)</f>
        <v>—</v>
      </c>
      <c r="P89" s="218" t="str">
        <f>IF(ISERROR(P41/利润表!P92),"—",P41/利润表!P92)</f>
        <v>—</v>
      </c>
      <c r="Q89" s="218" t="str">
        <f>IF(ISERROR(Q41/利润表!Q92),"—",Q41/利润表!Q92)</f>
        <v>—</v>
      </c>
      <c r="R89" s="218" t="str">
        <f>IF(ISERROR(R41/利润表!R92),"—",R41/利润表!R92)</f>
        <v>—</v>
      </c>
      <c r="S89" s="218" t="str">
        <f>IF(ISERROR(S41/利润表!S92),"—",S41/利润表!S92)</f>
        <v>—</v>
      </c>
      <c r="T89" s="218" t="str">
        <f>IF(ISERROR(T41/利润表!T92),"—",T41/利润表!T92)</f>
        <v>—</v>
      </c>
      <c r="U89" s="218" t="str">
        <f>IF(ISERROR(U41/利润表!U92),"—",U41/利润表!U92)</f>
        <v>—</v>
      </c>
      <c r="V89" s="218" t="str">
        <f>IF(ISERROR(V41/利润表!V92),"—",V41/利润表!V92)</f>
        <v>—</v>
      </c>
      <c r="W89" s="218" t="str">
        <f>IF(ISERROR(W41/利润表!W92),"—",W41/利润表!W92)</f>
        <v>—</v>
      </c>
      <c r="X89" s="218" t="str">
        <f>IF(ISERROR(X41/利润表!X92),"—",X41/利润表!X92)</f>
        <v>—</v>
      </c>
      <c r="Y89" s="218" t="str">
        <f>IF(ISERROR(Y41/利润表!Y92),"—",Y41/利润表!Y92)</f>
        <v>—</v>
      </c>
      <c r="Z89" s="218" t="str">
        <f>IF(ISERROR(Z41/利润表!Z92),"—",Z41/利润表!Z92)</f>
        <v>—</v>
      </c>
      <c r="AA89" s="218" t="str">
        <f>IF(ISERROR(AA41/利润表!AA92),"—",AA41/利润表!AA92)</f>
        <v>—</v>
      </c>
      <c r="AB89" s="218" t="str">
        <f>IF(ISERROR(AB41/利润表!AB92),"—",AB41/利润表!AB92)</f>
        <v>—</v>
      </c>
      <c r="AC89" s="218" t="str">
        <f>IF(ISERROR(AC41/利润表!AC92),"—",AC41/利润表!AC92)</f>
        <v>—</v>
      </c>
      <c r="AD89" s="218" t="str">
        <f>IF(ISERROR(AD41/利润表!AD92),"—",AD41/利润表!AD92)</f>
        <v>—</v>
      </c>
      <c r="AE89" s="218" t="str">
        <f>IF(ISERROR(AE41/利润表!AE92),"—",AE41/利润表!AE92)</f>
        <v>—</v>
      </c>
      <c r="AF89" s="218" t="str">
        <f>IF(ISERROR(AF41/利润表!AF92),"—",AF41/利润表!AF92)</f>
        <v>—</v>
      </c>
      <c r="AG89" s="218" t="str">
        <f>IF(ISERROR(AG41/利润表!AG92),"—",AG41/利润表!AG92)</f>
        <v>—</v>
      </c>
      <c r="AH89" s="218" t="str">
        <f>IF(ISERROR(AH41/利润表!AH92),"—",AH41/利润表!AH92)</f>
        <v>—</v>
      </c>
      <c r="AI89" s="218" t="str">
        <f>IF(ISERROR(AI41/利润表!AI92),"—",AI41/利润表!AI92)</f>
        <v>—</v>
      </c>
      <c r="AJ89" s="218" t="str">
        <f>IF(ISERROR(AJ41/利润表!AJ92),"—",AJ41/利润表!AJ92)</f>
        <v>—</v>
      </c>
      <c r="AK89" s="218" t="str">
        <f>IF(ISERROR(AK41/利润表!AK92),"—",AK41/利润表!AK92)</f>
        <v>—</v>
      </c>
      <c r="AL89" s="218" t="str">
        <f>IF(ISERROR(AL41/利润表!AL92),"—",AL41/利润表!AL92)</f>
        <v>—</v>
      </c>
      <c r="AM89" s="218" t="str">
        <f>IF(ISERROR(AM41/利润表!AM92),"—",AM41/利润表!AM92)</f>
        <v>—</v>
      </c>
      <c r="AN89" s="218" t="str">
        <f>IF(ISERROR(AN41/利润表!AN92),"—",AN41/利润表!AN92)</f>
        <v>—</v>
      </c>
      <c r="AO89" s="218" t="str">
        <f>IF(ISERROR(AO41/利润表!AO92),"—",AO41/利润表!AO92)</f>
        <v>—</v>
      </c>
      <c r="AP89" s="218" t="str">
        <f>IF(ISERROR(AP41/利润表!#REF!),"—",AP41/利润表!#REF!)</f>
        <v>—</v>
      </c>
      <c r="AQ89" s="218" t="str">
        <f>IF(ISERROR(AQ41/利润表!#REF!),"—",AQ41/利润表!#REF!)</f>
        <v>—</v>
      </c>
      <c r="AR89" s="218" t="str">
        <f>IF(ISERROR(AR41/利润表!#REF!),"—",AR41/利润表!#REF!)</f>
        <v>—</v>
      </c>
      <c r="AS89" s="218" t="str">
        <f>IF(ISERROR(AS41/利润表!#REF!),"—",AS41/利润表!#REF!)</f>
        <v>—</v>
      </c>
      <c r="AT89" s="218" t="str">
        <f>IF(ISERROR(AT41/利润表!AP92),"—",AT41/利润表!AP92)</f>
        <v>—</v>
      </c>
      <c r="AU89" s="218" t="str">
        <f>IF(ISERROR(AU41/利润表!#REF!),"—",AU41/利润表!#REF!)</f>
        <v>—</v>
      </c>
      <c r="AV89" s="59"/>
      <c r="AW89" s="59"/>
      <c r="AX89" s="59"/>
    </row>
    <row r="90" spans="2:50">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218"/>
      <c r="AP90" s="36"/>
      <c r="AQ90" s="36"/>
      <c r="AR90" s="36"/>
      <c r="AS90" s="36"/>
      <c r="AT90" s="36"/>
      <c r="AU90" s="36"/>
    </row>
    <row r="91" spans="2:50">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218"/>
      <c r="AP91" s="36"/>
      <c r="AQ91" s="36"/>
      <c r="AR91" s="36"/>
      <c r="AS91" s="36"/>
      <c r="AT91" s="36"/>
      <c r="AU91" s="36"/>
    </row>
    <row r="92" spans="2:50" s="717" customFormat="1" ht="15">
      <c r="B92" s="719" t="s">
        <v>1233</v>
      </c>
      <c r="C92" s="709"/>
      <c r="D92" s="709"/>
      <c r="E92" s="725"/>
      <c r="F92" s="725"/>
      <c r="G92" s="725"/>
      <c r="H92" s="725"/>
      <c r="I92" s="725"/>
      <c r="J92" s="725"/>
      <c r="K92" s="725"/>
      <c r="L92" s="725"/>
      <c r="M92" s="725"/>
      <c r="N92" s="725"/>
      <c r="O92" s="725"/>
      <c r="P92" s="725"/>
      <c r="Q92" s="725"/>
      <c r="R92" s="725"/>
      <c r="S92" s="725"/>
      <c r="T92" s="725"/>
      <c r="U92" s="725"/>
      <c r="V92" s="725"/>
      <c r="W92" s="725"/>
      <c r="X92" s="725"/>
      <c r="Y92" s="725"/>
      <c r="Z92" s="725"/>
      <c r="AA92" s="725"/>
      <c r="AB92" s="725"/>
      <c r="AC92" s="725"/>
      <c r="AD92" s="725"/>
      <c r="AE92" s="725"/>
      <c r="AF92" s="725"/>
      <c r="AG92" s="725"/>
      <c r="AH92" s="725"/>
      <c r="AI92" s="725"/>
      <c r="AJ92" s="725"/>
      <c r="AK92" s="725"/>
      <c r="AL92" s="725"/>
      <c r="AM92" s="725"/>
      <c r="AN92" s="725"/>
      <c r="AO92" s="726"/>
      <c r="AP92" s="725"/>
      <c r="AQ92" s="725"/>
      <c r="AR92" s="725"/>
      <c r="AS92" s="725"/>
      <c r="AT92" s="725"/>
      <c r="AU92" s="725"/>
    </row>
    <row r="93" spans="2:50" s="717" customFormat="1" ht="15">
      <c r="B93" s="709" t="s">
        <v>1259</v>
      </c>
      <c r="C93" s="709"/>
      <c r="D93" s="709"/>
      <c r="E93" s="725"/>
      <c r="F93" s="725"/>
      <c r="G93" s="725"/>
      <c r="H93" s="725"/>
      <c r="I93" s="725"/>
      <c r="J93" s="725"/>
      <c r="K93" s="725"/>
      <c r="L93" s="725"/>
      <c r="M93" s="725"/>
      <c r="N93" s="725"/>
      <c r="O93" s="725"/>
      <c r="P93" s="725"/>
      <c r="Q93" s="725"/>
      <c r="R93" s="725"/>
      <c r="S93" s="725"/>
      <c r="T93" s="725"/>
      <c r="U93" s="725"/>
      <c r="V93" s="725"/>
      <c r="W93" s="725"/>
      <c r="X93" s="725"/>
      <c r="Y93" s="725"/>
      <c r="Z93" s="725"/>
      <c r="AA93" s="725"/>
      <c r="AB93" s="725"/>
      <c r="AC93" s="725"/>
      <c r="AD93" s="725"/>
      <c r="AE93" s="725"/>
      <c r="AF93" s="725"/>
      <c r="AG93" s="725"/>
      <c r="AH93" s="725"/>
      <c r="AI93" s="725"/>
      <c r="AJ93" s="725"/>
      <c r="AK93" s="725"/>
      <c r="AL93" s="725"/>
      <c r="AM93" s="725"/>
      <c r="AN93" s="725"/>
      <c r="AO93" s="726"/>
      <c r="AP93" s="725"/>
      <c r="AQ93" s="725"/>
      <c r="AR93" s="725"/>
      <c r="AS93" s="725"/>
      <c r="AT93" s="725"/>
      <c r="AU93" s="725"/>
    </row>
    <row r="94" spans="2:50">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218"/>
      <c r="AP94" s="36"/>
      <c r="AQ94" s="36"/>
      <c r="AR94" s="36"/>
      <c r="AS94" s="36"/>
      <c r="AT94" s="36"/>
      <c r="AU94" s="36"/>
    </row>
    <row r="95" spans="2:50">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218"/>
      <c r="AP95" s="36"/>
      <c r="AQ95" s="36"/>
      <c r="AR95" s="36"/>
      <c r="AS95" s="36"/>
      <c r="AT95" s="36"/>
      <c r="AU95" s="36"/>
    </row>
    <row r="96" spans="2:50">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218"/>
      <c r="AP96" s="36"/>
      <c r="AQ96" s="36"/>
      <c r="AR96" s="36"/>
      <c r="AS96" s="36"/>
      <c r="AT96" s="36"/>
      <c r="AU96" s="36"/>
    </row>
    <row r="97" spans="5:47">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218"/>
      <c r="AP97" s="36"/>
      <c r="AQ97" s="36"/>
      <c r="AR97" s="36"/>
      <c r="AS97" s="36"/>
      <c r="AT97" s="36"/>
      <c r="AU97" s="36"/>
    </row>
    <row r="98" spans="5:47">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218"/>
      <c r="AP98" s="36"/>
      <c r="AQ98" s="36"/>
      <c r="AR98" s="36"/>
      <c r="AS98" s="36"/>
      <c r="AT98" s="36"/>
      <c r="AU98" s="36"/>
    </row>
    <row r="99" spans="5:47">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O99" s="218"/>
      <c r="AP99" s="36"/>
      <c r="AQ99" s="36"/>
      <c r="AR99" s="36"/>
      <c r="AS99" s="36"/>
      <c r="AT99" s="36"/>
      <c r="AU99" s="36"/>
    </row>
    <row r="100" spans="5:47">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218"/>
      <c r="AP100" s="36"/>
      <c r="AQ100" s="36"/>
      <c r="AR100" s="36"/>
      <c r="AS100" s="36"/>
      <c r="AT100" s="36"/>
      <c r="AU100" s="36"/>
    </row>
    <row r="101" spans="5:47">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218"/>
      <c r="AP101" s="36"/>
      <c r="AQ101" s="36"/>
      <c r="AR101" s="36"/>
      <c r="AS101" s="36"/>
      <c r="AT101" s="36"/>
      <c r="AU101" s="36"/>
    </row>
    <row r="102" spans="5:47">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218"/>
      <c r="AP102" s="36"/>
      <c r="AQ102" s="36"/>
      <c r="AR102" s="36"/>
      <c r="AS102" s="36"/>
      <c r="AT102" s="36"/>
      <c r="AU102" s="36"/>
    </row>
    <row r="103" spans="5:47">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218"/>
      <c r="AP103" s="36"/>
      <c r="AQ103" s="36"/>
      <c r="AR103" s="36"/>
      <c r="AS103" s="36"/>
      <c r="AT103" s="36"/>
      <c r="AU103" s="36"/>
    </row>
    <row r="104" spans="5:47">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218"/>
      <c r="AP104" s="36"/>
      <c r="AQ104" s="36"/>
      <c r="AR104" s="36"/>
      <c r="AS104" s="36"/>
      <c r="AT104" s="36"/>
      <c r="AU104" s="36"/>
    </row>
    <row r="105" spans="5:47">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218"/>
      <c r="AP105" s="36"/>
      <c r="AQ105" s="36"/>
      <c r="AR105" s="36"/>
      <c r="AS105" s="36"/>
      <c r="AT105" s="36"/>
      <c r="AU105" s="36"/>
    </row>
    <row r="106" spans="5:47">
      <c r="E106" s="65"/>
      <c r="F106" s="65"/>
      <c r="G106" s="65"/>
      <c r="H106" s="65"/>
      <c r="I106" s="65"/>
      <c r="J106" s="65"/>
      <c r="K106" s="65"/>
      <c r="L106" s="65"/>
      <c r="M106" s="65"/>
      <c r="N106" s="65"/>
      <c r="O106" s="65"/>
      <c r="P106" s="65"/>
      <c r="Q106" s="65"/>
      <c r="R106" s="65"/>
      <c r="S106" s="65"/>
      <c r="T106" s="65"/>
      <c r="U106" s="37"/>
      <c r="V106" s="37"/>
      <c r="W106" s="37"/>
      <c r="X106" s="37"/>
      <c r="Y106" s="37"/>
      <c r="Z106" s="37"/>
      <c r="AA106" s="37"/>
      <c r="AB106" s="37"/>
      <c r="AC106" s="37"/>
      <c r="AD106" s="37"/>
      <c r="AE106" s="37"/>
      <c r="AF106" s="37"/>
      <c r="AG106" s="37"/>
      <c r="AH106" s="37"/>
      <c r="AI106" s="37"/>
      <c r="AJ106" s="37"/>
      <c r="AK106" s="37"/>
      <c r="AL106" s="37"/>
      <c r="AM106" s="37"/>
      <c r="AN106" s="37"/>
      <c r="AP106" s="37"/>
      <c r="AQ106" s="37"/>
      <c r="AR106" s="37"/>
      <c r="AS106" s="37"/>
      <c r="AT106" s="37"/>
      <c r="AU106" s="37"/>
    </row>
    <row r="107" spans="5:47">
      <c r="E107" s="65"/>
      <c r="F107" s="65"/>
      <c r="G107" s="65"/>
      <c r="H107" s="65"/>
      <c r="I107" s="65"/>
      <c r="J107" s="65"/>
      <c r="K107" s="65"/>
      <c r="L107" s="65"/>
      <c r="M107" s="65"/>
      <c r="N107" s="65"/>
      <c r="O107" s="65"/>
      <c r="P107" s="65"/>
      <c r="Q107" s="65"/>
      <c r="R107" s="65"/>
      <c r="S107" s="65"/>
      <c r="T107" s="65"/>
      <c r="U107" s="37"/>
      <c r="V107" s="37"/>
      <c r="W107" s="37"/>
      <c r="X107" s="37"/>
      <c r="Y107" s="37"/>
      <c r="Z107" s="37"/>
      <c r="AA107" s="37"/>
      <c r="AB107" s="37"/>
      <c r="AC107" s="37"/>
      <c r="AD107" s="37"/>
      <c r="AE107" s="37"/>
      <c r="AF107" s="37"/>
      <c r="AG107" s="37"/>
      <c r="AH107" s="37"/>
      <c r="AI107" s="37"/>
      <c r="AJ107" s="37"/>
      <c r="AK107" s="37"/>
      <c r="AL107" s="37"/>
      <c r="AM107" s="37"/>
      <c r="AN107" s="37"/>
      <c r="AP107" s="37"/>
      <c r="AQ107" s="37"/>
      <c r="AR107" s="37"/>
      <c r="AS107" s="37"/>
      <c r="AT107" s="37"/>
      <c r="AU107" s="37"/>
    </row>
    <row r="108" spans="5:47">
      <c r="E108" s="65"/>
      <c r="F108" s="65"/>
      <c r="G108" s="65"/>
      <c r="H108" s="65"/>
      <c r="I108" s="65"/>
      <c r="J108" s="65"/>
      <c r="K108" s="65"/>
      <c r="L108" s="65"/>
      <c r="M108" s="65"/>
      <c r="N108" s="65"/>
      <c r="O108" s="65"/>
      <c r="P108" s="65"/>
      <c r="Q108" s="65"/>
      <c r="R108" s="65"/>
      <c r="S108" s="65"/>
      <c r="T108" s="65"/>
      <c r="U108" s="37"/>
      <c r="V108" s="37"/>
      <c r="W108" s="37"/>
      <c r="X108" s="37"/>
      <c r="Y108" s="37"/>
      <c r="Z108" s="37"/>
      <c r="AA108" s="37"/>
      <c r="AB108" s="37"/>
      <c r="AC108" s="37"/>
      <c r="AD108" s="37"/>
      <c r="AE108" s="37"/>
      <c r="AF108" s="37"/>
      <c r="AG108" s="37"/>
      <c r="AH108" s="37"/>
      <c r="AI108" s="37"/>
      <c r="AJ108" s="37"/>
      <c r="AK108" s="37"/>
      <c r="AL108" s="37"/>
      <c r="AM108" s="37"/>
      <c r="AN108" s="37"/>
      <c r="AP108" s="37"/>
      <c r="AQ108" s="37"/>
      <c r="AR108" s="37"/>
      <c r="AS108" s="37"/>
      <c r="AT108" s="37"/>
      <c r="AU108" s="37"/>
    </row>
    <row r="109" spans="5:47">
      <c r="E109" s="65"/>
      <c r="F109" s="65"/>
      <c r="G109" s="65"/>
      <c r="H109" s="65"/>
      <c r="I109" s="65"/>
      <c r="J109" s="65"/>
      <c r="K109" s="65"/>
      <c r="L109" s="65"/>
      <c r="M109" s="65"/>
      <c r="N109" s="65"/>
      <c r="O109" s="65"/>
      <c r="P109" s="65"/>
      <c r="Q109" s="65"/>
      <c r="R109" s="65"/>
      <c r="S109" s="65"/>
      <c r="T109" s="65"/>
      <c r="U109" s="37"/>
      <c r="V109" s="37"/>
      <c r="W109" s="37"/>
      <c r="X109" s="37"/>
      <c r="Y109" s="37"/>
      <c r="Z109" s="37"/>
      <c r="AA109" s="37"/>
      <c r="AB109" s="37"/>
      <c r="AC109" s="37"/>
      <c r="AD109" s="37"/>
      <c r="AE109" s="37"/>
      <c r="AF109" s="37"/>
      <c r="AG109" s="37"/>
      <c r="AH109" s="37"/>
      <c r="AI109" s="37"/>
      <c r="AJ109" s="37"/>
      <c r="AK109" s="37"/>
      <c r="AL109" s="37"/>
      <c r="AM109" s="37"/>
      <c r="AN109" s="37"/>
      <c r="AP109" s="37"/>
      <c r="AQ109" s="37"/>
      <c r="AR109" s="37"/>
      <c r="AS109" s="37"/>
      <c r="AT109" s="37"/>
      <c r="AU109" s="37"/>
    </row>
    <row r="110" spans="5:47">
      <c r="E110" s="65"/>
      <c r="F110" s="65"/>
      <c r="G110" s="65"/>
      <c r="H110" s="65"/>
      <c r="I110" s="65"/>
      <c r="J110" s="65"/>
      <c r="K110" s="65"/>
      <c r="L110" s="65"/>
      <c r="M110" s="65"/>
      <c r="N110" s="65"/>
      <c r="O110" s="65"/>
      <c r="P110" s="65"/>
      <c r="Q110" s="65"/>
      <c r="R110" s="65"/>
      <c r="S110" s="65"/>
      <c r="T110" s="65"/>
      <c r="U110" s="37"/>
      <c r="V110" s="37"/>
      <c r="W110" s="37"/>
      <c r="X110" s="37"/>
      <c r="Y110" s="37"/>
      <c r="Z110" s="37"/>
      <c r="AA110" s="37"/>
      <c r="AB110" s="37"/>
      <c r="AC110" s="37"/>
      <c r="AD110" s="37"/>
      <c r="AE110" s="37"/>
      <c r="AF110" s="37"/>
      <c r="AG110" s="37"/>
      <c r="AH110" s="37"/>
      <c r="AI110" s="37"/>
      <c r="AJ110" s="37"/>
      <c r="AK110" s="37"/>
      <c r="AL110" s="37"/>
      <c r="AM110" s="37"/>
      <c r="AN110" s="37"/>
      <c r="AP110" s="37"/>
      <c r="AQ110" s="37"/>
      <c r="AR110" s="37"/>
      <c r="AS110" s="37"/>
      <c r="AT110" s="37"/>
      <c r="AU110" s="37"/>
    </row>
  </sheetData>
  <phoneticPr fontId="2" type="noConversion"/>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目录</vt:lpstr>
      <vt:lpstr>说明</vt:lpstr>
      <vt:lpstr>压力测试</vt:lpstr>
      <vt:lpstr>压力测试 日志</vt:lpstr>
      <vt:lpstr>财务基础数据</vt:lpstr>
      <vt:lpstr>财务附注数据</vt:lpstr>
      <vt:lpstr>收入成本</vt:lpstr>
      <vt:lpstr>销售预测</vt:lpstr>
      <vt:lpstr>资产预测</vt:lpstr>
      <vt:lpstr>折旧摊销测算</vt:lpstr>
      <vt:lpstr>资产负债表</vt:lpstr>
      <vt:lpstr>利润表</vt:lpstr>
      <vt:lpstr>现金流量表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袁天宇</dc:creator>
  <cp:lastModifiedBy>u3588064@connect.hku.hk</cp:lastModifiedBy>
  <cp:revision>1</cp:revision>
  <dcterms:created xsi:type="dcterms:W3CDTF">2007-10-16T01:41:45Z</dcterms:created>
  <dcterms:modified xsi:type="dcterms:W3CDTF">2024-05-28T05:53:10Z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ear1">
    <vt:lpwstr>2020</vt:lpwstr>
  </property>
  <property fmtid="{D5CDD505-2E9C-101B-9397-08002B2CF9AE}" pid="3" name="year2">
    <vt:lpwstr>2017</vt:lpwstr>
  </property>
  <property fmtid="{D5CDD505-2E9C-101B-9397-08002B2CF9AE}" pid="4" name="FinancialCLOSEPRICE">
    <vt:lpwstr>5</vt:lpwstr>
  </property>
  <property fmtid="{D5CDD505-2E9C-101B-9397-08002B2CF9AE}" pid="5" name="LRFPB_Start">
    <vt:lpwstr>6</vt:lpwstr>
  </property>
  <property fmtid="{D5CDD505-2E9C-101B-9397-08002B2CF9AE}" pid="6" name="LRFPB_End">
    <vt:lpwstr>75</vt:lpwstr>
  </property>
  <property fmtid="{D5CDD505-2E9C-101B-9397-08002B2CF9AE}" pid="7" name="ZCFZB_Start">
    <vt:lpwstr>82</vt:lpwstr>
  </property>
  <property fmtid="{D5CDD505-2E9C-101B-9397-08002B2CF9AE}" pid="8" name="ZCFZB_End">
    <vt:lpwstr>249</vt:lpwstr>
  </property>
  <property fmtid="{D5CDD505-2E9C-101B-9397-08002B2CF9AE}" pid="9" name="XJLLB_Start">
    <vt:lpwstr>256</vt:lpwstr>
  </property>
  <property fmtid="{D5CDD505-2E9C-101B-9397-08002B2CF9AE}" pid="10" name="XJLLB_End">
    <vt:lpwstr>360</vt:lpwstr>
  </property>
  <property fmtid="{D5CDD505-2E9C-101B-9397-08002B2CF9AE}" pid="11" name="FenHong_Start">
    <vt:lpwstr>363</vt:lpwstr>
  </property>
  <property fmtid="{D5CDD505-2E9C-101B-9397-08002B2CF9AE}" pid="12" name="FenHong_End">
    <vt:lpwstr>365</vt:lpwstr>
  </property>
  <property fmtid="{D5CDD505-2E9C-101B-9397-08002B2CF9AE}" pid="13" name="mulu_sname">
    <vt:lpwstr>2,F</vt:lpwstr>
  </property>
  <property fmtid="{D5CDD505-2E9C-101B-9397-08002B2CF9AE}" pid="14" name="lastReportDate">
    <vt:lpwstr>3,F</vt:lpwstr>
  </property>
  <property fmtid="{D5CDD505-2E9C-101B-9397-08002B2CF9AE}" pid="15" name="lastYearReportDate">
    <vt:lpwstr>4,F</vt:lpwstr>
  </property>
  <property fmtid="{D5CDD505-2E9C-101B-9397-08002B2CF9AE}" pid="16" name="valuationDate">
    <vt:lpwstr>5,F</vt:lpwstr>
  </property>
  <property fmtid="{D5CDD505-2E9C-101B-9397-08002B2CF9AE}" pid="17" name="lastClosePrice">
    <vt:lpwstr>6,F</vt:lpwstr>
  </property>
  <property fmtid="{D5CDD505-2E9C-101B-9397-08002B2CF9AE}" pid="18" name="lastTotalShare">
    <vt:lpwstr>7,F</vt:lpwstr>
  </property>
  <property fmtid="{D5CDD505-2E9C-101B-9397-08002B2CF9AE}" pid="19" name="lastFL_ASHR">
    <vt:lpwstr>8,F</vt:lpwstr>
  </property>
  <property fmtid="{D5CDD505-2E9C-101B-9397-08002B2CF9AE}" pid="20" name="peiping">
    <vt:lpwstr>239</vt:lpwstr>
  </property>
  <property fmtid="{D5CDD505-2E9C-101B-9397-08002B2CF9AE}" pid="21" name="CWFZSJ_Start">
    <vt:lpwstr>6</vt:lpwstr>
  </property>
  <property fmtid="{D5CDD505-2E9C-101B-9397-08002B2CF9AE}" pid="22" name="CWFZSJ_End">
    <vt:lpwstr>35</vt:lpwstr>
  </property>
  <property fmtid="{D5CDD505-2E9C-101B-9397-08002B2CF9AE}" pid="23" name="ModelVersion">
    <vt:lpwstr>1.1.0.7</vt:lpwstr>
  </property>
  <property fmtid="{D5CDD505-2E9C-101B-9397-08002B2CF9AE}" pid="24" name="ModelType">
    <vt:lpwstr>0</vt:lpwstr>
  </property>
  <property fmtid="{D5CDD505-2E9C-101B-9397-08002B2CF9AE}" pid="25" name="EM_Doc_Temp_ID">
    <vt:lpwstr>92a6376e</vt:lpwstr>
  </property>
</Properties>
</file>